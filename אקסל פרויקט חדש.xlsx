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az Abisror\Desktop\לימודים\שנה ג\כריית מידע\פרויקט כריית מידע\פרויקט2\"/>
    </mc:Choice>
  </mc:AlternateContent>
  <xr:revisionPtr revIDLastSave="0" documentId="13_ncr:1_{AE9199A0-0085-4A35-86A8-365A1D1D370C}" xr6:coauthVersionLast="47" xr6:coauthVersionMax="47" xr10:uidLastSave="{00000000-0000-0000-0000-000000000000}"/>
  <bookViews>
    <workbookView xWindow="-110" yWindow="-110" windowWidth="19420" windowHeight="10420" activeTab="2" xr2:uid="{B96293E3-0A15-4C7A-A1BC-ECB80FD51EE5}"/>
  </bookViews>
  <sheets>
    <sheet name="student-merged" sheetId="1" r:id="rId1"/>
    <sheet name="Relevant Data" sheetId="4" r:id="rId2"/>
    <sheet name="Work shee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" i="4" l="1"/>
  <c r="AB3" i="4"/>
  <c r="AC3" i="4"/>
  <c r="AD3" i="4"/>
  <c r="AA4" i="4"/>
  <c r="AB4" i="4"/>
  <c r="AC4" i="4"/>
  <c r="AD4" i="4"/>
  <c r="AA5" i="4"/>
  <c r="AB5" i="4"/>
  <c r="AC5" i="4"/>
  <c r="AD5" i="4"/>
  <c r="AA6" i="4"/>
  <c r="AB6" i="4"/>
  <c r="AC6" i="4"/>
  <c r="AD6" i="4"/>
  <c r="AA7" i="4"/>
  <c r="AB7" i="4"/>
  <c r="AC7" i="4"/>
  <c r="AD7" i="4"/>
  <c r="AA8" i="4"/>
  <c r="AB8" i="4"/>
  <c r="AC8" i="4"/>
  <c r="AD8" i="4"/>
  <c r="AA9" i="4"/>
  <c r="AB9" i="4"/>
  <c r="AC9" i="4"/>
  <c r="AD9" i="4"/>
  <c r="AA10" i="4"/>
  <c r="AB10" i="4"/>
  <c r="AC10" i="4"/>
  <c r="AD10" i="4"/>
  <c r="AA11" i="4"/>
  <c r="AB11" i="4"/>
  <c r="AC11" i="4"/>
  <c r="AD11" i="4"/>
  <c r="AA12" i="4"/>
  <c r="AB12" i="4"/>
  <c r="AC12" i="4"/>
  <c r="AD12" i="4"/>
  <c r="AA13" i="4"/>
  <c r="AB13" i="4"/>
  <c r="AC13" i="4"/>
  <c r="AD13" i="4"/>
  <c r="AA14" i="4"/>
  <c r="AB14" i="4"/>
  <c r="AC14" i="4"/>
  <c r="AD14" i="4"/>
  <c r="AA15" i="4"/>
  <c r="AB15" i="4"/>
  <c r="AC15" i="4"/>
  <c r="AD15" i="4"/>
  <c r="AA16" i="4"/>
  <c r="AB16" i="4"/>
  <c r="AC16" i="4"/>
  <c r="AD16" i="4"/>
  <c r="AA17" i="4"/>
  <c r="AB17" i="4"/>
  <c r="AC17" i="4"/>
  <c r="AD17" i="4"/>
  <c r="AA18" i="4"/>
  <c r="AB18" i="4"/>
  <c r="AC18" i="4"/>
  <c r="AD18" i="4"/>
  <c r="AA19" i="4"/>
  <c r="AB19" i="4"/>
  <c r="AC19" i="4"/>
  <c r="AD19" i="4"/>
  <c r="AA20" i="4"/>
  <c r="AB20" i="4"/>
  <c r="AC20" i="4"/>
  <c r="AD20" i="4"/>
  <c r="AA21" i="4"/>
  <c r="AB21" i="4"/>
  <c r="AC21" i="4"/>
  <c r="AD21" i="4"/>
  <c r="AA22" i="4"/>
  <c r="AB22" i="4"/>
  <c r="AC22" i="4"/>
  <c r="AD22" i="4"/>
  <c r="AA23" i="4"/>
  <c r="AB23" i="4"/>
  <c r="AC23" i="4"/>
  <c r="AD23" i="4"/>
  <c r="AA24" i="4"/>
  <c r="AB24" i="4"/>
  <c r="AC24" i="4"/>
  <c r="AD24" i="4"/>
  <c r="AA25" i="4"/>
  <c r="AB25" i="4"/>
  <c r="AC25" i="4"/>
  <c r="AD25" i="4"/>
  <c r="AA26" i="4"/>
  <c r="AB26" i="4"/>
  <c r="AC26" i="4"/>
  <c r="AD26" i="4"/>
  <c r="AA27" i="4"/>
  <c r="AB27" i="4"/>
  <c r="AC27" i="4"/>
  <c r="AD27" i="4"/>
  <c r="AA28" i="4"/>
  <c r="AB28" i="4"/>
  <c r="AC28" i="4"/>
  <c r="AD28" i="4"/>
  <c r="AA29" i="4"/>
  <c r="AB29" i="4"/>
  <c r="AC29" i="4"/>
  <c r="AD29" i="4"/>
  <c r="AA30" i="4"/>
  <c r="AB30" i="4"/>
  <c r="AC30" i="4"/>
  <c r="AD30" i="4"/>
  <c r="AA31" i="4"/>
  <c r="AC31" i="4" s="1"/>
  <c r="AB31" i="4"/>
  <c r="AD31" i="4"/>
  <c r="AA32" i="4"/>
  <c r="AB32" i="4"/>
  <c r="AC32" i="4"/>
  <c r="AD32" i="4"/>
  <c r="AA33" i="4"/>
  <c r="AB33" i="4"/>
  <c r="AC33" i="4"/>
  <c r="AD33" i="4"/>
  <c r="AA34" i="4"/>
  <c r="AB34" i="4"/>
  <c r="AC34" i="4"/>
  <c r="AD34" i="4"/>
  <c r="AA35" i="4"/>
  <c r="AB35" i="4"/>
  <c r="AC35" i="4"/>
  <c r="AD35" i="4"/>
  <c r="AA36" i="4"/>
  <c r="AB36" i="4"/>
  <c r="AC36" i="4"/>
  <c r="AD36" i="4"/>
  <c r="AA37" i="4"/>
  <c r="AB37" i="4"/>
  <c r="AC37" i="4"/>
  <c r="AD37" i="4"/>
  <c r="AA38" i="4"/>
  <c r="AB38" i="4"/>
  <c r="AC38" i="4"/>
  <c r="AD38" i="4"/>
  <c r="AA39" i="4"/>
  <c r="AB39" i="4"/>
  <c r="AC39" i="4"/>
  <c r="AD39" i="4"/>
  <c r="AA40" i="4"/>
  <c r="AB40" i="4"/>
  <c r="AC40" i="4"/>
  <c r="AD40" i="4"/>
  <c r="AA41" i="4"/>
  <c r="AB41" i="4"/>
  <c r="AC41" i="4"/>
  <c r="AD41" i="4"/>
  <c r="AA42" i="4"/>
  <c r="AB42" i="4"/>
  <c r="AC42" i="4"/>
  <c r="AD42" i="4"/>
  <c r="AA43" i="4"/>
  <c r="AB43" i="4"/>
  <c r="AC43" i="4"/>
  <c r="AD43" i="4"/>
  <c r="AA44" i="4"/>
  <c r="AB44" i="4"/>
  <c r="AC44" i="4"/>
  <c r="AD44" i="4"/>
  <c r="AA45" i="4"/>
  <c r="AB45" i="4"/>
  <c r="AC45" i="4"/>
  <c r="AD45" i="4"/>
  <c r="AA46" i="4"/>
  <c r="AB46" i="4"/>
  <c r="AC46" i="4"/>
  <c r="AD46" i="4"/>
  <c r="AA47" i="4"/>
  <c r="AB47" i="4"/>
  <c r="AC47" i="4"/>
  <c r="AD47" i="4"/>
  <c r="AA48" i="4"/>
  <c r="AB48" i="4"/>
  <c r="AC48" i="4"/>
  <c r="AD48" i="4"/>
  <c r="AA49" i="4"/>
  <c r="AB49" i="4"/>
  <c r="AC49" i="4"/>
  <c r="AD49" i="4"/>
  <c r="AA50" i="4"/>
  <c r="AB50" i="4"/>
  <c r="AC50" i="4"/>
  <c r="AD50" i="4"/>
  <c r="AA51" i="4"/>
  <c r="AB51" i="4"/>
  <c r="AC51" i="4"/>
  <c r="AD51" i="4"/>
  <c r="AA52" i="4"/>
  <c r="AB52" i="4"/>
  <c r="AC52" i="4"/>
  <c r="AD52" i="4"/>
  <c r="AA53" i="4"/>
  <c r="AB53" i="4"/>
  <c r="AC53" i="4"/>
  <c r="AD53" i="4"/>
  <c r="AA54" i="4"/>
  <c r="AB54" i="4"/>
  <c r="AC54" i="4"/>
  <c r="AD54" i="4"/>
  <c r="AA55" i="4"/>
  <c r="AB55" i="4"/>
  <c r="AC55" i="4"/>
  <c r="AD55" i="4"/>
  <c r="AA56" i="4"/>
  <c r="AB56" i="4"/>
  <c r="AC56" i="4"/>
  <c r="AD56" i="4"/>
  <c r="AA57" i="4"/>
  <c r="AB57" i="4"/>
  <c r="AC57" i="4"/>
  <c r="AD57" i="4"/>
  <c r="AA58" i="4"/>
  <c r="AB58" i="4"/>
  <c r="AC58" i="4"/>
  <c r="AD58" i="4"/>
  <c r="AA59" i="4"/>
  <c r="AB59" i="4"/>
  <c r="AC59" i="4"/>
  <c r="AD59" i="4"/>
  <c r="AA60" i="4"/>
  <c r="AB60" i="4"/>
  <c r="AC60" i="4"/>
  <c r="AD60" i="4"/>
  <c r="AA61" i="4"/>
  <c r="AB61" i="4"/>
  <c r="AC61" i="4"/>
  <c r="AD61" i="4"/>
  <c r="AA62" i="4"/>
  <c r="AB62" i="4"/>
  <c r="AC62" i="4"/>
  <c r="AD62" i="4"/>
  <c r="AA63" i="4"/>
  <c r="AB63" i="4"/>
  <c r="AC63" i="4"/>
  <c r="AD63" i="4"/>
  <c r="AA64" i="4"/>
  <c r="AB64" i="4"/>
  <c r="AC64" i="4"/>
  <c r="AD64" i="4"/>
  <c r="AA65" i="4"/>
  <c r="AB65" i="4"/>
  <c r="AC65" i="4"/>
  <c r="AD65" i="4"/>
  <c r="AA66" i="4"/>
  <c r="AB66" i="4"/>
  <c r="AC66" i="4"/>
  <c r="AD66" i="4"/>
  <c r="AA67" i="4"/>
  <c r="AB67" i="4"/>
  <c r="AC67" i="4"/>
  <c r="AD67" i="4"/>
  <c r="AA68" i="4"/>
  <c r="AB68" i="4"/>
  <c r="AC68" i="4"/>
  <c r="AD68" i="4"/>
  <c r="AA69" i="4"/>
  <c r="AB69" i="4"/>
  <c r="AC69" i="4"/>
  <c r="AD69" i="4"/>
  <c r="AA70" i="4"/>
  <c r="AB70" i="4"/>
  <c r="AC70" i="4"/>
  <c r="AD70" i="4"/>
  <c r="AA71" i="4"/>
  <c r="AB71" i="4"/>
  <c r="AC71" i="4"/>
  <c r="AD71" i="4"/>
  <c r="AA72" i="4"/>
  <c r="AB72" i="4"/>
  <c r="AC72" i="4"/>
  <c r="AD72" i="4"/>
  <c r="AA73" i="4"/>
  <c r="AB73" i="4"/>
  <c r="AC73" i="4"/>
  <c r="AD73" i="4"/>
  <c r="AA74" i="4"/>
  <c r="AB74" i="4"/>
  <c r="AC74" i="4"/>
  <c r="AD74" i="4"/>
  <c r="AA75" i="4"/>
  <c r="AB75" i="4"/>
  <c r="AC75" i="4"/>
  <c r="AD75" i="4"/>
  <c r="AA76" i="4"/>
  <c r="AB76" i="4"/>
  <c r="AC76" i="4"/>
  <c r="AD76" i="4"/>
  <c r="AA77" i="4"/>
  <c r="AB77" i="4"/>
  <c r="AC77" i="4"/>
  <c r="AD77" i="4"/>
  <c r="AA78" i="4"/>
  <c r="AB78" i="4"/>
  <c r="AC78" i="4"/>
  <c r="AD78" i="4"/>
  <c r="AA79" i="4"/>
  <c r="AB79" i="4"/>
  <c r="AC79" i="4"/>
  <c r="AD79" i="4"/>
  <c r="AA80" i="4"/>
  <c r="AB80" i="4"/>
  <c r="AC80" i="4"/>
  <c r="AD80" i="4"/>
  <c r="AA81" i="4"/>
  <c r="AB81" i="4"/>
  <c r="AC81" i="4"/>
  <c r="AD81" i="4"/>
  <c r="AA82" i="4"/>
  <c r="AB82" i="4"/>
  <c r="AC82" i="4"/>
  <c r="AD82" i="4"/>
  <c r="AA83" i="4"/>
  <c r="AB83" i="4"/>
  <c r="AC83" i="4"/>
  <c r="AD83" i="4"/>
  <c r="AA84" i="4"/>
  <c r="AB84" i="4"/>
  <c r="AC84" i="4"/>
  <c r="AD84" i="4"/>
  <c r="AA85" i="4"/>
  <c r="AB85" i="4"/>
  <c r="AC85" i="4"/>
  <c r="AD85" i="4"/>
  <c r="AA86" i="4"/>
  <c r="AB86" i="4"/>
  <c r="AC86" i="4"/>
  <c r="AD86" i="4"/>
  <c r="AA87" i="4"/>
  <c r="AB87" i="4"/>
  <c r="AC87" i="4"/>
  <c r="AD87" i="4"/>
  <c r="AA88" i="4"/>
  <c r="AB88" i="4"/>
  <c r="AC88" i="4"/>
  <c r="AD88" i="4"/>
  <c r="AA89" i="4"/>
  <c r="AB89" i="4"/>
  <c r="AC89" i="4"/>
  <c r="AD89" i="4"/>
  <c r="AA90" i="4"/>
  <c r="AB90" i="4"/>
  <c r="AC90" i="4"/>
  <c r="AD90" i="4"/>
  <c r="AA91" i="4"/>
  <c r="AB91" i="4"/>
  <c r="AC91" i="4"/>
  <c r="AD91" i="4"/>
  <c r="AA92" i="4"/>
  <c r="AB92" i="4"/>
  <c r="AC92" i="4"/>
  <c r="AD92" i="4"/>
  <c r="AA93" i="4"/>
  <c r="AB93" i="4"/>
  <c r="AC93" i="4"/>
  <c r="AD93" i="4"/>
  <c r="AA94" i="4"/>
  <c r="AB94" i="4"/>
  <c r="AC94" i="4"/>
  <c r="AD94" i="4"/>
  <c r="AA95" i="4"/>
  <c r="AC95" i="4" s="1"/>
  <c r="AB95" i="4"/>
  <c r="AD95" i="4"/>
  <c r="AA96" i="4"/>
  <c r="AB96" i="4"/>
  <c r="AC96" i="4"/>
  <c r="AD96" i="4"/>
  <c r="AA97" i="4"/>
  <c r="AC97" i="4" s="1"/>
  <c r="AB97" i="4"/>
  <c r="AD97" i="4"/>
  <c r="AA98" i="4"/>
  <c r="AB98" i="4"/>
  <c r="AC98" i="4"/>
  <c r="AD98" i="4"/>
  <c r="AA99" i="4"/>
  <c r="AC99" i="4" s="1"/>
  <c r="AB99" i="4"/>
  <c r="AD99" i="4"/>
  <c r="AA100" i="4"/>
  <c r="AB100" i="4"/>
  <c r="AC100" i="4"/>
  <c r="AD100" i="4"/>
  <c r="AA101" i="4"/>
  <c r="AC101" i="4" s="1"/>
  <c r="AB101" i="4"/>
  <c r="AD101" i="4"/>
  <c r="AA102" i="4"/>
  <c r="AB102" i="4"/>
  <c r="AC102" i="4"/>
  <c r="AD102" i="4"/>
  <c r="AA103" i="4"/>
  <c r="AC103" i="4" s="1"/>
  <c r="AB103" i="4"/>
  <c r="AD103" i="4"/>
  <c r="AA104" i="4"/>
  <c r="AB104" i="4"/>
  <c r="AC104" i="4"/>
  <c r="AD104" i="4"/>
  <c r="AA105" i="4"/>
  <c r="AC105" i="4" s="1"/>
  <c r="AB105" i="4"/>
  <c r="AD105" i="4"/>
  <c r="AA106" i="4"/>
  <c r="AB106" i="4"/>
  <c r="AC106" i="4"/>
  <c r="AD106" i="4"/>
  <c r="AA107" i="4"/>
  <c r="AC107" i="4" s="1"/>
  <c r="AB107" i="4"/>
  <c r="AD107" i="4"/>
  <c r="AA108" i="4"/>
  <c r="AB108" i="4"/>
  <c r="AC108" i="4"/>
  <c r="AD108" i="4"/>
  <c r="AA109" i="4"/>
  <c r="AC109" i="4" s="1"/>
  <c r="AB109" i="4"/>
  <c r="AD109" i="4"/>
  <c r="AA110" i="4"/>
  <c r="AB110" i="4"/>
  <c r="AC110" i="4"/>
  <c r="AD110" i="4"/>
  <c r="AA111" i="4"/>
  <c r="AC111" i="4" s="1"/>
  <c r="AB111" i="4"/>
  <c r="AD111" i="4"/>
  <c r="AA112" i="4"/>
  <c r="AB112" i="4"/>
  <c r="AC112" i="4"/>
  <c r="AD112" i="4"/>
  <c r="AA113" i="4"/>
  <c r="AC113" i="4" s="1"/>
  <c r="AB113" i="4"/>
  <c r="AD113" i="4"/>
  <c r="AA114" i="4"/>
  <c r="AB114" i="4"/>
  <c r="AC114" i="4"/>
  <c r="AD114" i="4"/>
  <c r="AA115" i="4"/>
  <c r="AC115" i="4" s="1"/>
  <c r="AB115" i="4"/>
  <c r="AD115" i="4"/>
  <c r="AA116" i="4"/>
  <c r="AB116" i="4"/>
  <c r="AC116" i="4"/>
  <c r="AD116" i="4"/>
  <c r="AA117" i="4"/>
  <c r="AC117" i="4" s="1"/>
  <c r="AB117" i="4"/>
  <c r="AD117" i="4"/>
  <c r="AA118" i="4"/>
  <c r="AB118" i="4"/>
  <c r="AC118" i="4"/>
  <c r="AD118" i="4"/>
  <c r="AA119" i="4"/>
  <c r="AC119" i="4" s="1"/>
  <c r="AB119" i="4"/>
  <c r="AD119" i="4"/>
  <c r="AA120" i="4"/>
  <c r="AB120" i="4"/>
  <c r="AC120" i="4"/>
  <c r="AD120" i="4"/>
  <c r="AA121" i="4"/>
  <c r="AC121" i="4" s="1"/>
  <c r="AB121" i="4"/>
  <c r="AD121" i="4"/>
  <c r="AA122" i="4"/>
  <c r="AB122" i="4"/>
  <c r="AC122" i="4"/>
  <c r="AD122" i="4"/>
  <c r="AA123" i="4"/>
  <c r="AC123" i="4" s="1"/>
  <c r="AB123" i="4"/>
  <c r="AD123" i="4"/>
  <c r="AA124" i="4"/>
  <c r="AB124" i="4"/>
  <c r="AC124" i="4"/>
  <c r="AD124" i="4"/>
  <c r="AA125" i="4"/>
  <c r="AC125" i="4" s="1"/>
  <c r="AB125" i="4"/>
  <c r="AD125" i="4"/>
  <c r="AA126" i="4"/>
  <c r="AB126" i="4"/>
  <c r="AC126" i="4"/>
  <c r="AD126" i="4"/>
  <c r="AA127" i="4"/>
  <c r="AC127" i="4" s="1"/>
  <c r="AB127" i="4"/>
  <c r="AD127" i="4"/>
  <c r="AA128" i="4"/>
  <c r="AB128" i="4"/>
  <c r="AC128" i="4"/>
  <c r="AD128" i="4"/>
  <c r="AA129" i="4"/>
  <c r="AC129" i="4" s="1"/>
  <c r="AB129" i="4"/>
  <c r="AD129" i="4"/>
  <c r="AA130" i="4"/>
  <c r="AB130" i="4"/>
  <c r="AC130" i="4"/>
  <c r="AD130" i="4"/>
  <c r="AA131" i="4"/>
  <c r="AC131" i="4" s="1"/>
  <c r="AB131" i="4"/>
  <c r="AD131" i="4"/>
  <c r="AA132" i="4"/>
  <c r="AB132" i="4"/>
  <c r="AC132" i="4"/>
  <c r="AD132" i="4"/>
  <c r="AA133" i="4"/>
  <c r="AC133" i="4" s="1"/>
  <c r="AB133" i="4"/>
  <c r="AD133" i="4"/>
  <c r="AA134" i="4"/>
  <c r="AB134" i="4"/>
  <c r="AC134" i="4"/>
  <c r="AD134" i="4"/>
  <c r="AA135" i="4"/>
  <c r="AC135" i="4" s="1"/>
  <c r="AB135" i="4"/>
  <c r="AD135" i="4"/>
  <c r="AA136" i="4"/>
  <c r="AB136" i="4"/>
  <c r="AC136" i="4"/>
  <c r="AD136" i="4"/>
  <c r="AA137" i="4"/>
  <c r="AC137" i="4" s="1"/>
  <c r="AB137" i="4"/>
  <c r="AD137" i="4"/>
  <c r="AA138" i="4"/>
  <c r="AB138" i="4"/>
  <c r="AC138" i="4"/>
  <c r="AD138" i="4"/>
  <c r="AA139" i="4"/>
  <c r="AC139" i="4" s="1"/>
  <c r="AB139" i="4"/>
  <c r="AD139" i="4"/>
  <c r="AA140" i="4"/>
  <c r="AB140" i="4"/>
  <c r="AC140" i="4"/>
  <c r="AD140" i="4"/>
  <c r="AA141" i="4"/>
  <c r="AC141" i="4" s="1"/>
  <c r="AB141" i="4"/>
  <c r="AD141" i="4"/>
  <c r="AA142" i="4"/>
  <c r="AB142" i="4"/>
  <c r="AC142" i="4"/>
  <c r="AD142" i="4"/>
  <c r="AA143" i="4"/>
  <c r="AC143" i="4" s="1"/>
  <c r="AB143" i="4"/>
  <c r="AD143" i="4"/>
  <c r="AA144" i="4"/>
  <c r="AB144" i="4"/>
  <c r="AC144" i="4"/>
  <c r="AD144" i="4"/>
  <c r="AA145" i="4"/>
  <c r="AC145" i="4" s="1"/>
  <c r="AB145" i="4"/>
  <c r="AD145" i="4"/>
  <c r="AA146" i="4"/>
  <c r="AB146" i="4"/>
  <c r="AC146" i="4"/>
  <c r="AD146" i="4"/>
  <c r="AA147" i="4"/>
  <c r="AC147" i="4" s="1"/>
  <c r="AB147" i="4"/>
  <c r="AD147" i="4"/>
  <c r="AA148" i="4"/>
  <c r="AB148" i="4"/>
  <c r="AC148" i="4"/>
  <c r="AD148" i="4"/>
  <c r="AA149" i="4"/>
  <c r="AC149" i="4" s="1"/>
  <c r="AB149" i="4"/>
  <c r="AD149" i="4"/>
  <c r="AA150" i="4"/>
  <c r="AB150" i="4"/>
  <c r="AC150" i="4"/>
  <c r="AD150" i="4"/>
  <c r="AA151" i="4"/>
  <c r="AC151" i="4" s="1"/>
  <c r="AB151" i="4"/>
  <c r="AD151" i="4"/>
  <c r="AA152" i="4"/>
  <c r="AB152" i="4"/>
  <c r="AC152" i="4"/>
  <c r="AD152" i="4"/>
  <c r="AA153" i="4"/>
  <c r="AC153" i="4" s="1"/>
  <c r="AB153" i="4"/>
  <c r="AD153" i="4"/>
  <c r="AA154" i="4"/>
  <c r="AB154" i="4"/>
  <c r="AC154" i="4"/>
  <c r="AD154" i="4"/>
  <c r="AA155" i="4"/>
  <c r="AC155" i="4" s="1"/>
  <c r="AB155" i="4"/>
  <c r="AD155" i="4"/>
  <c r="AA156" i="4"/>
  <c r="AB156" i="4"/>
  <c r="AC156" i="4"/>
  <c r="AD156" i="4"/>
  <c r="AA157" i="4"/>
  <c r="AC157" i="4" s="1"/>
  <c r="AB157" i="4"/>
  <c r="AD157" i="4"/>
  <c r="AA158" i="4"/>
  <c r="AB158" i="4"/>
  <c r="AC158" i="4"/>
  <c r="AD158" i="4"/>
  <c r="AA159" i="4"/>
  <c r="AC159" i="4" s="1"/>
  <c r="AB159" i="4"/>
  <c r="AD159" i="4"/>
  <c r="AA160" i="4"/>
  <c r="AB160" i="4"/>
  <c r="AC160" i="4"/>
  <c r="AD160" i="4"/>
  <c r="AA161" i="4"/>
  <c r="AC161" i="4" s="1"/>
  <c r="AB161" i="4"/>
  <c r="AD161" i="4"/>
  <c r="AA162" i="4"/>
  <c r="AB162" i="4"/>
  <c r="AC162" i="4"/>
  <c r="AD162" i="4"/>
  <c r="AA163" i="4"/>
  <c r="AC163" i="4" s="1"/>
  <c r="AB163" i="4"/>
  <c r="AD163" i="4"/>
  <c r="AA164" i="4"/>
  <c r="AB164" i="4"/>
  <c r="AC164" i="4"/>
  <c r="AD164" i="4"/>
  <c r="AA165" i="4"/>
  <c r="AC165" i="4" s="1"/>
  <c r="AB165" i="4"/>
  <c r="AD165" i="4"/>
  <c r="AA166" i="4"/>
  <c r="AB166" i="4"/>
  <c r="AC166" i="4"/>
  <c r="AD166" i="4"/>
  <c r="AA167" i="4"/>
  <c r="AC167" i="4" s="1"/>
  <c r="AB167" i="4"/>
  <c r="AD167" i="4"/>
  <c r="AA168" i="4"/>
  <c r="AB168" i="4"/>
  <c r="AC168" i="4"/>
  <c r="AD168" i="4"/>
  <c r="AA169" i="4"/>
  <c r="AC169" i="4" s="1"/>
  <c r="AB169" i="4"/>
  <c r="AD169" i="4"/>
  <c r="AA170" i="4"/>
  <c r="AB170" i="4"/>
  <c r="AC170" i="4"/>
  <c r="AD170" i="4"/>
  <c r="AA171" i="4"/>
  <c r="AC171" i="4" s="1"/>
  <c r="AB171" i="4"/>
  <c r="AD171" i="4"/>
  <c r="AA172" i="4"/>
  <c r="AB172" i="4"/>
  <c r="AC172" i="4"/>
  <c r="AD172" i="4"/>
  <c r="AA173" i="4"/>
  <c r="AC173" i="4" s="1"/>
  <c r="AB173" i="4"/>
  <c r="AD173" i="4"/>
  <c r="AA174" i="4"/>
  <c r="AB174" i="4"/>
  <c r="AC174" i="4"/>
  <c r="AD174" i="4"/>
  <c r="AA175" i="4"/>
  <c r="AC175" i="4" s="1"/>
  <c r="AB175" i="4"/>
  <c r="AD175" i="4"/>
  <c r="AA176" i="4"/>
  <c r="AB176" i="4"/>
  <c r="AC176" i="4"/>
  <c r="AD176" i="4"/>
  <c r="AA177" i="4"/>
  <c r="AC177" i="4" s="1"/>
  <c r="AB177" i="4"/>
  <c r="AD177" i="4"/>
  <c r="AA178" i="4"/>
  <c r="AB178" i="4"/>
  <c r="AC178" i="4"/>
  <c r="AD178" i="4"/>
  <c r="AA179" i="4"/>
  <c r="AC179" i="4" s="1"/>
  <c r="AB179" i="4"/>
  <c r="AD179" i="4"/>
  <c r="AA180" i="4"/>
  <c r="AB180" i="4"/>
  <c r="AC180" i="4"/>
  <c r="AD180" i="4"/>
  <c r="AA181" i="4"/>
  <c r="AC181" i="4" s="1"/>
  <c r="AB181" i="4"/>
  <c r="AD181" i="4"/>
  <c r="AA182" i="4"/>
  <c r="AB182" i="4"/>
  <c r="AC182" i="4"/>
  <c r="AD182" i="4"/>
  <c r="AA183" i="4"/>
  <c r="AC183" i="4" s="1"/>
  <c r="AB183" i="4"/>
  <c r="AD183" i="4"/>
  <c r="AA184" i="4"/>
  <c r="AB184" i="4"/>
  <c r="AC184" i="4"/>
  <c r="AD184" i="4"/>
  <c r="AA185" i="4"/>
  <c r="AC185" i="4" s="1"/>
  <c r="AB185" i="4"/>
  <c r="AD185" i="4"/>
  <c r="AA186" i="4"/>
  <c r="AB186" i="4"/>
  <c r="AC186" i="4"/>
  <c r="AD186" i="4"/>
  <c r="AA187" i="4"/>
  <c r="AC187" i="4" s="1"/>
  <c r="AB187" i="4"/>
  <c r="AD187" i="4"/>
  <c r="AA188" i="4"/>
  <c r="AB188" i="4"/>
  <c r="AC188" i="4"/>
  <c r="AD188" i="4"/>
  <c r="AA189" i="4"/>
  <c r="AC189" i="4" s="1"/>
  <c r="AB189" i="4"/>
  <c r="AD189" i="4"/>
  <c r="AA190" i="4"/>
  <c r="AB190" i="4"/>
  <c r="AC190" i="4"/>
  <c r="AD190" i="4"/>
  <c r="AA191" i="4"/>
  <c r="AC191" i="4" s="1"/>
  <c r="AB191" i="4"/>
  <c r="AD191" i="4"/>
  <c r="AA192" i="4"/>
  <c r="AB192" i="4"/>
  <c r="AC192" i="4"/>
  <c r="AD192" i="4"/>
  <c r="AA193" i="4"/>
  <c r="AC193" i="4" s="1"/>
  <c r="AB193" i="4"/>
  <c r="AD193" i="4"/>
  <c r="AA194" i="4"/>
  <c r="AB194" i="4"/>
  <c r="AC194" i="4"/>
  <c r="AD194" i="4"/>
  <c r="AA195" i="4"/>
  <c r="AC195" i="4" s="1"/>
  <c r="AB195" i="4"/>
  <c r="AD195" i="4"/>
  <c r="AA196" i="4"/>
  <c r="AB196" i="4"/>
  <c r="AC196" i="4"/>
  <c r="AD196" i="4"/>
  <c r="AA197" i="4"/>
  <c r="AC197" i="4" s="1"/>
  <c r="AB197" i="4"/>
  <c r="AD197" i="4"/>
  <c r="AA198" i="4"/>
  <c r="AB198" i="4"/>
  <c r="AC198" i="4"/>
  <c r="AD198" i="4"/>
  <c r="AA199" i="4"/>
  <c r="AC199" i="4" s="1"/>
  <c r="AB199" i="4"/>
  <c r="AD199" i="4"/>
  <c r="AA200" i="4"/>
  <c r="AB200" i="4"/>
  <c r="AC200" i="4"/>
  <c r="AD200" i="4"/>
  <c r="AA201" i="4"/>
  <c r="AC201" i="4" s="1"/>
  <c r="AB201" i="4"/>
  <c r="AD201" i="4"/>
  <c r="AA202" i="4"/>
  <c r="AB202" i="4"/>
  <c r="AC202" i="4"/>
  <c r="AD202" i="4"/>
  <c r="AA203" i="4"/>
  <c r="AC203" i="4" s="1"/>
  <c r="AB203" i="4"/>
  <c r="AD203" i="4"/>
  <c r="AA204" i="4"/>
  <c r="AB204" i="4"/>
  <c r="AC204" i="4"/>
  <c r="AD204" i="4"/>
  <c r="AA205" i="4"/>
  <c r="AC205" i="4" s="1"/>
  <c r="AB205" i="4"/>
  <c r="AD205" i="4"/>
  <c r="AA206" i="4"/>
  <c r="AB206" i="4"/>
  <c r="AC206" i="4"/>
  <c r="AD206" i="4"/>
  <c r="AA207" i="4"/>
  <c r="AC207" i="4" s="1"/>
  <c r="AB207" i="4"/>
  <c r="AD207" i="4"/>
  <c r="AA208" i="4"/>
  <c r="AB208" i="4"/>
  <c r="AC208" i="4"/>
  <c r="AD208" i="4"/>
  <c r="AA209" i="4"/>
  <c r="AC209" i="4" s="1"/>
  <c r="AB209" i="4"/>
  <c r="AD209" i="4"/>
  <c r="AA210" i="4"/>
  <c r="AB210" i="4"/>
  <c r="AC210" i="4"/>
  <c r="AD210" i="4"/>
  <c r="AA211" i="4"/>
  <c r="AC211" i="4" s="1"/>
  <c r="AB211" i="4"/>
  <c r="AD211" i="4"/>
  <c r="AA212" i="4"/>
  <c r="AB212" i="4"/>
  <c r="AC212" i="4"/>
  <c r="AD212" i="4"/>
  <c r="AA213" i="4"/>
  <c r="AC213" i="4" s="1"/>
  <c r="AB213" i="4"/>
  <c r="AD213" i="4"/>
  <c r="AA214" i="4"/>
  <c r="AB214" i="4"/>
  <c r="AC214" i="4"/>
  <c r="AD214" i="4"/>
  <c r="AA215" i="4"/>
  <c r="AC215" i="4" s="1"/>
  <c r="AB215" i="4"/>
  <c r="AD215" i="4"/>
  <c r="AA216" i="4"/>
  <c r="AB216" i="4"/>
  <c r="AC216" i="4"/>
  <c r="AD216" i="4"/>
  <c r="AA217" i="4"/>
  <c r="AC217" i="4" s="1"/>
  <c r="AB217" i="4"/>
  <c r="AD217" i="4"/>
  <c r="AA218" i="4"/>
  <c r="AB218" i="4"/>
  <c r="AC218" i="4"/>
  <c r="AD218" i="4"/>
  <c r="AA219" i="4"/>
  <c r="AC219" i="4" s="1"/>
  <c r="AB219" i="4"/>
  <c r="AD219" i="4"/>
  <c r="AA220" i="4"/>
  <c r="AB220" i="4"/>
  <c r="AC220" i="4"/>
  <c r="AD220" i="4"/>
  <c r="AA221" i="4"/>
  <c r="AC221" i="4" s="1"/>
  <c r="AB221" i="4"/>
  <c r="AD221" i="4"/>
  <c r="AA222" i="4"/>
  <c r="AB222" i="4"/>
  <c r="AC222" i="4"/>
  <c r="AD222" i="4"/>
  <c r="AA223" i="4"/>
  <c r="AC223" i="4" s="1"/>
  <c r="AB223" i="4"/>
  <c r="AD223" i="4"/>
  <c r="AA224" i="4"/>
  <c r="AB224" i="4"/>
  <c r="AC224" i="4"/>
  <c r="AD224" i="4"/>
  <c r="AA225" i="4"/>
  <c r="AC225" i="4" s="1"/>
  <c r="AB225" i="4"/>
  <c r="AD225" i="4"/>
  <c r="AA226" i="4"/>
  <c r="AB226" i="4"/>
  <c r="AC226" i="4"/>
  <c r="AD226" i="4"/>
  <c r="AA227" i="4"/>
  <c r="AC227" i="4" s="1"/>
  <c r="AB227" i="4"/>
  <c r="AD227" i="4"/>
  <c r="AA228" i="4"/>
  <c r="AB228" i="4"/>
  <c r="AC228" i="4"/>
  <c r="AD228" i="4"/>
  <c r="AA229" i="4"/>
  <c r="AC229" i="4" s="1"/>
  <c r="AB229" i="4"/>
  <c r="AD229" i="4"/>
  <c r="AA230" i="4"/>
  <c r="AB230" i="4"/>
  <c r="AC230" i="4"/>
  <c r="AD230" i="4"/>
  <c r="AA231" i="4"/>
  <c r="AC231" i="4" s="1"/>
  <c r="AB231" i="4"/>
  <c r="AD231" i="4"/>
  <c r="AA232" i="4"/>
  <c r="AB232" i="4"/>
  <c r="AC232" i="4"/>
  <c r="AD232" i="4"/>
  <c r="AA233" i="4"/>
  <c r="AC233" i="4" s="1"/>
  <c r="AB233" i="4"/>
  <c r="AD233" i="4"/>
  <c r="AA234" i="4"/>
  <c r="AB234" i="4"/>
  <c r="AC234" i="4"/>
  <c r="AD234" i="4"/>
  <c r="AA235" i="4"/>
  <c r="AC235" i="4" s="1"/>
  <c r="AB235" i="4"/>
  <c r="AD235" i="4"/>
  <c r="AA236" i="4"/>
  <c r="AB236" i="4"/>
  <c r="AC236" i="4"/>
  <c r="AD236" i="4"/>
  <c r="AA237" i="4"/>
  <c r="AC237" i="4" s="1"/>
  <c r="AB237" i="4"/>
  <c r="AD237" i="4"/>
  <c r="AA238" i="4"/>
  <c r="AB238" i="4"/>
  <c r="AC238" i="4"/>
  <c r="AD238" i="4"/>
  <c r="AA239" i="4"/>
  <c r="AC239" i="4" s="1"/>
  <c r="AB239" i="4"/>
  <c r="AD239" i="4"/>
  <c r="AA240" i="4"/>
  <c r="AB240" i="4"/>
  <c r="AC240" i="4"/>
  <c r="AD240" i="4"/>
  <c r="AA241" i="4"/>
  <c r="AC241" i="4" s="1"/>
  <c r="AB241" i="4"/>
  <c r="AD241" i="4"/>
  <c r="AA242" i="4"/>
  <c r="AB242" i="4"/>
  <c r="AC242" i="4"/>
  <c r="AD242" i="4"/>
  <c r="AA243" i="4"/>
  <c r="AC243" i="4" s="1"/>
  <c r="AB243" i="4"/>
  <c r="AD243" i="4"/>
  <c r="AA244" i="4"/>
  <c r="AB244" i="4"/>
  <c r="AC244" i="4"/>
  <c r="AD244" i="4"/>
  <c r="AA245" i="4"/>
  <c r="AC245" i="4" s="1"/>
  <c r="AB245" i="4"/>
  <c r="AD245" i="4"/>
  <c r="AA246" i="4"/>
  <c r="AB246" i="4"/>
  <c r="AC246" i="4"/>
  <c r="AD246" i="4"/>
  <c r="AA247" i="4"/>
  <c r="AC247" i="4" s="1"/>
  <c r="AB247" i="4"/>
  <c r="AD247" i="4"/>
  <c r="AA248" i="4"/>
  <c r="AB248" i="4"/>
  <c r="AC248" i="4"/>
  <c r="AD248" i="4"/>
  <c r="AA249" i="4"/>
  <c r="AC249" i="4" s="1"/>
  <c r="AB249" i="4"/>
  <c r="AD249" i="4"/>
  <c r="AA250" i="4"/>
  <c r="AB250" i="4"/>
  <c r="AC250" i="4"/>
  <c r="AD250" i="4"/>
  <c r="AA251" i="4"/>
  <c r="AC251" i="4" s="1"/>
  <c r="AB251" i="4"/>
  <c r="AD251" i="4"/>
  <c r="AA252" i="4"/>
  <c r="AB252" i="4"/>
  <c r="AC252" i="4"/>
  <c r="AD252" i="4"/>
  <c r="AA253" i="4"/>
  <c r="AC253" i="4" s="1"/>
  <c r="AB253" i="4"/>
  <c r="AD253" i="4"/>
  <c r="AA254" i="4"/>
  <c r="AB254" i="4"/>
  <c r="AC254" i="4"/>
  <c r="AD254" i="4"/>
  <c r="AA255" i="4"/>
  <c r="AC255" i="4" s="1"/>
  <c r="AB255" i="4"/>
  <c r="AD255" i="4"/>
  <c r="AA256" i="4"/>
  <c r="AB256" i="4"/>
  <c r="AC256" i="4"/>
  <c r="AD256" i="4"/>
  <c r="AA257" i="4"/>
  <c r="AC257" i="4" s="1"/>
  <c r="AB257" i="4"/>
  <c r="AD257" i="4"/>
  <c r="AA258" i="4"/>
  <c r="AB258" i="4"/>
  <c r="AC258" i="4"/>
  <c r="AD258" i="4"/>
  <c r="AA259" i="4"/>
  <c r="AC259" i="4" s="1"/>
  <c r="AB259" i="4"/>
  <c r="AD259" i="4"/>
  <c r="AA260" i="4"/>
  <c r="AB260" i="4"/>
  <c r="AC260" i="4"/>
  <c r="AD260" i="4"/>
  <c r="AA261" i="4"/>
  <c r="AC261" i="4" s="1"/>
  <c r="AB261" i="4"/>
  <c r="AD261" i="4"/>
  <c r="AA262" i="4"/>
  <c r="AB262" i="4"/>
  <c r="AC262" i="4"/>
  <c r="AD262" i="4"/>
  <c r="AA263" i="4"/>
  <c r="AB263" i="4"/>
  <c r="AC263" i="4"/>
  <c r="AD263" i="4"/>
  <c r="AA264" i="4"/>
  <c r="AB264" i="4"/>
  <c r="AC264" i="4"/>
  <c r="AD264" i="4"/>
  <c r="AA265" i="4"/>
  <c r="AB265" i="4"/>
  <c r="AC265" i="4"/>
  <c r="AD265" i="4"/>
  <c r="AA266" i="4"/>
  <c r="AB266" i="4"/>
  <c r="AC266" i="4"/>
  <c r="AD266" i="4"/>
  <c r="AA267" i="4"/>
  <c r="AB267" i="4"/>
  <c r="AC267" i="4"/>
  <c r="AD267" i="4"/>
  <c r="AA268" i="4"/>
  <c r="AB268" i="4"/>
  <c r="AC268" i="4"/>
  <c r="AD268" i="4"/>
  <c r="AA269" i="4"/>
  <c r="AB269" i="4"/>
  <c r="AC269" i="4"/>
  <c r="AD269" i="4"/>
  <c r="AA270" i="4"/>
  <c r="AB270" i="4"/>
  <c r="AC270" i="4"/>
  <c r="AD270" i="4"/>
  <c r="AA271" i="4"/>
  <c r="AB271" i="4"/>
  <c r="AC271" i="4"/>
  <c r="AD271" i="4"/>
  <c r="AA272" i="4"/>
  <c r="AB272" i="4"/>
  <c r="AC272" i="4"/>
  <c r="AD272" i="4"/>
  <c r="AA273" i="4"/>
  <c r="AB273" i="4"/>
  <c r="AC273" i="4"/>
  <c r="AD273" i="4"/>
  <c r="AA274" i="4"/>
  <c r="AB274" i="4"/>
  <c r="AC274" i="4"/>
  <c r="AD274" i="4"/>
  <c r="AA275" i="4"/>
  <c r="AB275" i="4"/>
  <c r="AC275" i="4"/>
  <c r="AD275" i="4"/>
  <c r="AA276" i="4"/>
  <c r="AB276" i="4"/>
  <c r="AC276" i="4"/>
  <c r="AD276" i="4"/>
  <c r="AA277" i="4"/>
  <c r="AB277" i="4"/>
  <c r="AC277" i="4"/>
  <c r="AD277" i="4"/>
  <c r="AA278" i="4"/>
  <c r="AB278" i="4"/>
  <c r="AC278" i="4"/>
  <c r="AD278" i="4"/>
  <c r="AA279" i="4"/>
  <c r="AB279" i="4"/>
  <c r="AC279" i="4"/>
  <c r="AD279" i="4"/>
  <c r="AA280" i="4"/>
  <c r="AB280" i="4"/>
  <c r="AC280" i="4"/>
  <c r="AD280" i="4"/>
  <c r="AA281" i="4"/>
  <c r="AB281" i="4"/>
  <c r="AC281" i="4"/>
  <c r="AD281" i="4"/>
  <c r="AA282" i="4"/>
  <c r="AB282" i="4"/>
  <c r="AC282" i="4"/>
  <c r="AD282" i="4"/>
  <c r="AA283" i="4"/>
  <c r="AB283" i="4"/>
  <c r="AC283" i="4"/>
  <c r="AD283" i="4"/>
  <c r="AA284" i="4"/>
  <c r="AB284" i="4"/>
  <c r="AC284" i="4"/>
  <c r="AD284" i="4"/>
  <c r="AA285" i="4"/>
  <c r="AB285" i="4"/>
  <c r="AC285" i="4"/>
  <c r="AD285" i="4"/>
  <c r="AA286" i="4"/>
  <c r="AB286" i="4"/>
  <c r="AC286" i="4"/>
  <c r="AD286" i="4"/>
  <c r="AA287" i="4"/>
  <c r="AB287" i="4"/>
  <c r="AC287" i="4"/>
  <c r="AD287" i="4"/>
  <c r="AA288" i="4"/>
  <c r="AB288" i="4"/>
  <c r="AC288" i="4"/>
  <c r="AD288" i="4"/>
  <c r="AA289" i="4"/>
  <c r="AB289" i="4"/>
  <c r="AC289" i="4"/>
  <c r="AD289" i="4"/>
  <c r="AA290" i="4"/>
  <c r="AB290" i="4"/>
  <c r="AC290" i="4"/>
  <c r="AD290" i="4"/>
  <c r="AA291" i="4"/>
  <c r="AB291" i="4"/>
  <c r="AC291" i="4"/>
  <c r="AD291" i="4"/>
  <c r="AA292" i="4"/>
  <c r="AB292" i="4"/>
  <c r="AC292" i="4"/>
  <c r="AD292" i="4"/>
  <c r="AA293" i="4"/>
  <c r="AB293" i="4"/>
  <c r="AC293" i="4"/>
  <c r="AD293" i="4"/>
  <c r="AA294" i="4"/>
  <c r="AB294" i="4"/>
  <c r="AC294" i="4"/>
  <c r="AD294" i="4"/>
  <c r="AA295" i="4"/>
  <c r="AB295" i="4"/>
  <c r="AC295" i="4"/>
  <c r="AD295" i="4"/>
  <c r="AA296" i="4"/>
  <c r="AB296" i="4"/>
  <c r="AC296" i="4"/>
  <c r="AD296" i="4"/>
  <c r="AA297" i="4"/>
  <c r="AB297" i="4"/>
  <c r="AC297" i="4"/>
  <c r="AD297" i="4"/>
  <c r="AA298" i="4"/>
  <c r="AB298" i="4"/>
  <c r="AC298" i="4"/>
  <c r="AD298" i="4"/>
  <c r="AA299" i="4"/>
  <c r="AB299" i="4"/>
  <c r="AC299" i="4"/>
  <c r="AD299" i="4"/>
  <c r="AA300" i="4"/>
  <c r="AB300" i="4"/>
  <c r="AC300" i="4"/>
  <c r="AD300" i="4"/>
  <c r="AA301" i="4"/>
  <c r="AB301" i="4"/>
  <c r="AC301" i="4"/>
  <c r="AD301" i="4"/>
  <c r="AA302" i="4"/>
  <c r="AB302" i="4"/>
  <c r="AC302" i="4"/>
  <c r="AD302" i="4"/>
  <c r="AA303" i="4"/>
  <c r="AB303" i="4"/>
  <c r="AC303" i="4"/>
  <c r="AD303" i="4"/>
  <c r="AA304" i="4"/>
  <c r="AB304" i="4"/>
  <c r="AC304" i="4"/>
  <c r="AD304" i="4"/>
  <c r="AA305" i="4"/>
  <c r="AB305" i="4"/>
  <c r="AC305" i="4"/>
  <c r="AD305" i="4"/>
  <c r="AA306" i="4"/>
  <c r="AB306" i="4"/>
  <c r="AC306" i="4"/>
  <c r="AD306" i="4"/>
  <c r="AA307" i="4"/>
  <c r="AB307" i="4"/>
  <c r="AC307" i="4"/>
  <c r="AD307" i="4"/>
  <c r="AA308" i="4"/>
  <c r="AB308" i="4"/>
  <c r="AC308" i="4"/>
  <c r="AD308" i="4"/>
  <c r="AA309" i="4"/>
  <c r="AB309" i="4"/>
  <c r="AC309" i="4"/>
  <c r="AD309" i="4"/>
  <c r="AA310" i="4"/>
  <c r="AB310" i="4"/>
  <c r="AC310" i="4"/>
  <c r="AD310" i="4"/>
  <c r="AA311" i="4"/>
  <c r="AB311" i="4"/>
  <c r="AC311" i="4"/>
  <c r="AD311" i="4"/>
  <c r="AA312" i="4"/>
  <c r="AB312" i="4"/>
  <c r="AC312" i="4"/>
  <c r="AD312" i="4"/>
  <c r="AA313" i="4"/>
  <c r="AB313" i="4"/>
  <c r="AC313" i="4"/>
  <c r="AD313" i="4"/>
  <c r="AA314" i="4"/>
  <c r="AB314" i="4"/>
  <c r="AC314" i="4"/>
  <c r="AD314" i="4"/>
  <c r="AA315" i="4"/>
  <c r="AB315" i="4"/>
  <c r="AC315" i="4"/>
  <c r="AD315" i="4"/>
  <c r="AA316" i="4"/>
  <c r="AB316" i="4"/>
  <c r="AC316" i="4"/>
  <c r="AD316" i="4"/>
  <c r="AA317" i="4"/>
  <c r="AB317" i="4"/>
  <c r="AC317" i="4"/>
  <c r="AD317" i="4"/>
  <c r="AA318" i="4"/>
  <c r="AB318" i="4"/>
  <c r="AC318" i="4"/>
  <c r="AD318" i="4"/>
  <c r="AA319" i="4"/>
  <c r="AB319" i="4"/>
  <c r="AC319" i="4"/>
  <c r="AD319" i="4"/>
  <c r="AA320" i="4"/>
  <c r="AB320" i="4"/>
  <c r="AC320" i="4"/>
  <c r="AD320" i="4"/>
  <c r="AA321" i="4"/>
  <c r="AB321" i="4"/>
  <c r="AC321" i="4"/>
  <c r="AD321" i="4"/>
  <c r="AA322" i="4"/>
  <c r="AB322" i="4"/>
  <c r="AC322" i="4"/>
  <c r="AD322" i="4"/>
  <c r="AA323" i="4"/>
  <c r="AB323" i="4"/>
  <c r="AC323" i="4"/>
  <c r="AD323" i="4"/>
  <c r="AA324" i="4"/>
  <c r="AB324" i="4"/>
  <c r="AC324" i="4"/>
  <c r="AD324" i="4"/>
  <c r="AA325" i="4"/>
  <c r="AB325" i="4"/>
  <c r="AC325" i="4"/>
  <c r="AD325" i="4"/>
  <c r="AA326" i="4"/>
  <c r="AB326" i="4"/>
  <c r="AC326" i="4"/>
  <c r="AD326" i="4"/>
  <c r="AA327" i="4"/>
  <c r="AB327" i="4"/>
  <c r="AC327" i="4"/>
  <c r="AD327" i="4"/>
  <c r="AA328" i="4"/>
  <c r="AB328" i="4"/>
  <c r="AC328" i="4" s="1"/>
  <c r="AD328" i="4"/>
  <c r="AA329" i="4"/>
  <c r="AB329" i="4"/>
  <c r="AC329" i="4"/>
  <c r="AD329" i="4"/>
  <c r="AA330" i="4"/>
  <c r="AB330" i="4"/>
  <c r="AC330" i="4"/>
  <c r="AD330" i="4"/>
  <c r="AA331" i="4"/>
  <c r="AB331" i="4"/>
  <c r="AC331" i="4"/>
  <c r="AD331" i="4"/>
  <c r="AA332" i="4"/>
  <c r="AB332" i="4"/>
  <c r="AC332" i="4"/>
  <c r="AD332" i="4"/>
  <c r="AA333" i="4"/>
  <c r="AB333" i="4"/>
  <c r="AC333" i="4"/>
  <c r="AD333" i="4"/>
  <c r="AA334" i="4"/>
  <c r="AB334" i="4"/>
  <c r="AC334" i="4"/>
  <c r="AD334" i="4"/>
  <c r="AA335" i="4"/>
  <c r="AB335" i="4"/>
  <c r="AC335" i="4"/>
  <c r="AD335" i="4"/>
  <c r="AA336" i="4"/>
  <c r="AB336" i="4"/>
  <c r="AC336" i="4"/>
  <c r="AD336" i="4"/>
  <c r="AA337" i="4"/>
  <c r="AB337" i="4"/>
  <c r="AC337" i="4"/>
  <c r="AD337" i="4"/>
  <c r="AA338" i="4"/>
  <c r="AB338" i="4"/>
  <c r="AC338" i="4"/>
  <c r="AD338" i="4"/>
  <c r="AA339" i="4"/>
  <c r="AB339" i="4"/>
  <c r="AC339" i="4"/>
  <c r="AD339" i="4"/>
  <c r="AA340" i="4"/>
  <c r="AB340" i="4"/>
  <c r="AC340" i="4"/>
  <c r="AD340" i="4"/>
  <c r="AA341" i="4"/>
  <c r="AB341" i="4"/>
  <c r="AC341" i="4"/>
  <c r="AD341" i="4"/>
  <c r="AA342" i="4"/>
  <c r="AB342" i="4"/>
  <c r="AC342" i="4"/>
  <c r="AD342" i="4"/>
  <c r="AA343" i="4"/>
  <c r="AB343" i="4"/>
  <c r="AC343" i="4"/>
  <c r="AD343" i="4"/>
  <c r="AA344" i="4"/>
  <c r="AB344" i="4"/>
  <c r="AC344" i="4"/>
  <c r="AD344" i="4"/>
  <c r="AA345" i="4"/>
  <c r="AB345" i="4"/>
  <c r="AC345" i="4"/>
  <c r="AD345" i="4"/>
  <c r="AA346" i="4"/>
  <c r="AB346" i="4"/>
  <c r="AC346" i="4"/>
  <c r="AD346" i="4"/>
  <c r="AA347" i="4"/>
  <c r="AB347" i="4"/>
  <c r="AC347" i="4"/>
  <c r="AD347" i="4"/>
  <c r="AA348" i="4"/>
  <c r="AB348" i="4"/>
  <c r="AC348" i="4"/>
  <c r="AD348" i="4"/>
  <c r="AA349" i="4"/>
  <c r="AB349" i="4"/>
  <c r="AC349" i="4"/>
  <c r="AD349" i="4"/>
  <c r="AA350" i="4"/>
  <c r="AB350" i="4"/>
  <c r="AC350" i="4"/>
  <c r="AD350" i="4"/>
  <c r="AA351" i="4"/>
  <c r="AB351" i="4"/>
  <c r="AC351" i="4"/>
  <c r="AD351" i="4"/>
  <c r="AA352" i="4"/>
  <c r="AB352" i="4"/>
  <c r="AC352" i="4"/>
  <c r="AD352" i="4"/>
  <c r="AA353" i="4"/>
  <c r="AB353" i="4"/>
  <c r="AC353" i="4"/>
  <c r="AD353" i="4"/>
  <c r="AA354" i="4"/>
  <c r="AB354" i="4"/>
  <c r="AC354" i="4" s="1"/>
  <c r="AD354" i="4"/>
  <c r="AA355" i="4"/>
  <c r="AB355" i="4"/>
  <c r="AC355" i="4"/>
  <c r="AD355" i="4"/>
  <c r="AA356" i="4"/>
  <c r="AB356" i="4"/>
  <c r="AC356" i="4" s="1"/>
  <c r="AD356" i="4"/>
  <c r="AA357" i="4"/>
  <c r="AB357" i="4"/>
  <c r="AC357" i="4"/>
  <c r="AD357" i="4"/>
  <c r="AA358" i="4"/>
  <c r="AB358" i="4"/>
  <c r="AC358" i="4" s="1"/>
  <c r="AD358" i="4"/>
  <c r="AA359" i="4"/>
  <c r="AB359" i="4"/>
  <c r="AC359" i="4"/>
  <c r="AD359" i="4"/>
  <c r="AA360" i="4"/>
  <c r="AB360" i="4"/>
  <c r="AC360" i="4" s="1"/>
  <c r="AD360" i="4"/>
  <c r="AA361" i="4"/>
  <c r="AB361" i="4"/>
  <c r="AC361" i="4"/>
  <c r="AD361" i="4"/>
  <c r="AA362" i="4"/>
  <c r="AB362" i="4"/>
  <c r="AC362" i="4" s="1"/>
  <c r="AD362" i="4"/>
  <c r="AA363" i="4"/>
  <c r="AB363" i="4"/>
  <c r="AC363" i="4"/>
  <c r="AD363" i="4"/>
  <c r="AA364" i="4"/>
  <c r="AB364" i="4"/>
  <c r="AC364" i="4" s="1"/>
  <c r="AD364" i="4"/>
  <c r="AA365" i="4"/>
  <c r="AB365" i="4"/>
  <c r="AC365" i="4"/>
  <c r="AD365" i="4"/>
  <c r="AA366" i="4"/>
  <c r="AB366" i="4"/>
  <c r="AC366" i="4" s="1"/>
  <c r="AD366" i="4"/>
  <c r="AA367" i="4"/>
  <c r="AB367" i="4"/>
  <c r="AC367" i="4"/>
  <c r="AD367" i="4"/>
  <c r="AA368" i="4"/>
  <c r="AB368" i="4"/>
  <c r="AC368" i="4" s="1"/>
  <c r="AD368" i="4"/>
  <c r="AA369" i="4"/>
  <c r="AB369" i="4"/>
  <c r="AC369" i="4"/>
  <c r="AD369" i="4"/>
  <c r="AA370" i="4"/>
  <c r="AB370" i="4"/>
  <c r="AC370" i="4" s="1"/>
  <c r="AD370" i="4"/>
  <c r="AA371" i="4"/>
  <c r="AB371" i="4"/>
  <c r="AC371" i="4"/>
  <c r="AD371" i="4"/>
  <c r="AA372" i="4"/>
  <c r="AB372" i="4"/>
  <c r="AC372" i="4" s="1"/>
  <c r="AD372" i="4"/>
  <c r="AA373" i="4"/>
  <c r="AB373" i="4"/>
  <c r="AC373" i="4"/>
  <c r="AD373" i="4"/>
  <c r="AA374" i="4"/>
  <c r="AB374" i="4"/>
  <c r="AC374" i="4" s="1"/>
  <c r="AD374" i="4"/>
  <c r="AA375" i="4"/>
  <c r="AB375" i="4"/>
  <c r="AC375" i="4"/>
  <c r="AD375" i="4"/>
  <c r="AA376" i="4"/>
  <c r="AB376" i="4"/>
  <c r="AC376" i="4" s="1"/>
  <c r="AD376" i="4"/>
  <c r="AA377" i="4"/>
  <c r="AB377" i="4"/>
  <c r="AC377" i="4"/>
  <c r="AD377" i="4"/>
  <c r="AA378" i="4"/>
  <c r="AB378" i="4"/>
  <c r="AC378" i="4" s="1"/>
  <c r="AD378" i="4"/>
  <c r="AA379" i="4"/>
  <c r="AB379" i="4"/>
  <c r="AC379" i="4"/>
  <c r="AD379" i="4"/>
  <c r="AA380" i="4"/>
  <c r="AB380" i="4"/>
  <c r="AC380" i="4" s="1"/>
  <c r="AD380" i="4"/>
  <c r="AA381" i="4"/>
  <c r="AB381" i="4"/>
  <c r="AC381" i="4"/>
  <c r="AD381" i="4"/>
  <c r="AA382" i="4"/>
  <c r="AB382" i="4"/>
  <c r="AC382" i="4" s="1"/>
  <c r="AD382" i="4"/>
  <c r="AA383" i="4"/>
  <c r="AB383" i="4"/>
  <c r="AC383" i="4"/>
  <c r="AD383" i="4"/>
  <c r="AA384" i="4"/>
  <c r="AB384" i="4"/>
  <c r="AC384" i="4" s="1"/>
  <c r="AD384" i="4"/>
  <c r="AA385" i="4"/>
  <c r="AB385" i="4"/>
  <c r="AC385" i="4"/>
  <c r="AD385" i="4"/>
  <c r="AA386" i="4"/>
  <c r="AB386" i="4"/>
  <c r="AC386" i="4" s="1"/>
  <c r="AD386" i="4"/>
  <c r="AA387" i="4"/>
  <c r="AB387" i="4"/>
  <c r="AC387" i="4"/>
  <c r="AD387" i="4"/>
  <c r="AA388" i="4"/>
  <c r="AB388" i="4"/>
  <c r="AC388" i="4" s="1"/>
  <c r="AD388" i="4"/>
  <c r="AA389" i="4"/>
  <c r="AB389" i="4"/>
  <c r="AC389" i="4"/>
  <c r="AD389" i="4"/>
  <c r="AA390" i="4"/>
  <c r="AB390" i="4"/>
  <c r="AC390" i="4" s="1"/>
  <c r="AD390" i="4"/>
  <c r="AA391" i="4"/>
  <c r="AB391" i="4"/>
  <c r="AC391" i="4"/>
  <c r="AD391" i="4"/>
  <c r="AA392" i="4"/>
  <c r="AB392" i="4"/>
  <c r="AC392" i="4" s="1"/>
  <c r="AD392" i="4"/>
  <c r="AA393" i="4"/>
  <c r="AB393" i="4"/>
  <c r="AC393" i="4"/>
  <c r="AD393" i="4"/>
  <c r="AA394" i="4"/>
  <c r="AB394" i="4"/>
  <c r="AC394" i="4" s="1"/>
  <c r="AD394" i="4"/>
  <c r="AA395" i="4"/>
  <c r="AB395" i="4"/>
  <c r="AC395" i="4"/>
  <c r="AD395" i="4"/>
  <c r="AA396" i="4"/>
  <c r="AB396" i="4"/>
  <c r="AC396" i="4" s="1"/>
  <c r="AD396" i="4"/>
  <c r="AA397" i="4"/>
  <c r="AB397" i="4"/>
  <c r="AC397" i="4"/>
  <c r="AD397" i="4"/>
  <c r="AA398" i="4"/>
  <c r="AB398" i="4"/>
  <c r="AC398" i="4" s="1"/>
  <c r="AD398" i="4"/>
  <c r="AA399" i="4"/>
  <c r="AB399" i="4"/>
  <c r="AC399" i="4"/>
  <c r="AD399" i="4"/>
  <c r="AA400" i="4"/>
  <c r="AB400" i="4"/>
  <c r="AC400" i="4" s="1"/>
  <c r="AD400" i="4"/>
  <c r="AA401" i="4"/>
  <c r="AB401" i="4"/>
  <c r="AC401" i="4"/>
  <c r="AD401" i="4"/>
  <c r="AA402" i="4"/>
  <c r="AB402" i="4"/>
  <c r="AC402" i="4" s="1"/>
  <c r="AD402" i="4"/>
  <c r="AA403" i="4"/>
  <c r="AB403" i="4"/>
  <c r="AC403" i="4"/>
  <c r="AD403" i="4"/>
  <c r="AA404" i="4"/>
  <c r="AB404" i="4"/>
  <c r="AC404" i="4" s="1"/>
  <c r="AD404" i="4"/>
  <c r="AA405" i="4"/>
  <c r="AB405" i="4"/>
  <c r="AC405" i="4"/>
  <c r="AD405" i="4"/>
  <c r="AA406" i="4"/>
  <c r="AB406" i="4"/>
  <c r="AC406" i="4" s="1"/>
  <c r="AD406" i="4"/>
  <c r="AA407" i="4"/>
  <c r="AB407" i="4"/>
  <c r="AC407" i="4"/>
  <c r="AD407" i="4"/>
  <c r="AA408" i="4"/>
  <c r="AB408" i="4"/>
  <c r="AC408" i="4" s="1"/>
  <c r="AD408" i="4"/>
  <c r="AA409" i="4"/>
  <c r="AB409" i="4"/>
  <c r="AC409" i="4"/>
  <c r="AD409" i="4"/>
  <c r="AA410" i="4"/>
  <c r="AB410" i="4"/>
  <c r="AC410" i="4" s="1"/>
  <c r="AD410" i="4"/>
  <c r="AA411" i="4"/>
  <c r="AB411" i="4"/>
  <c r="AC411" i="4"/>
  <c r="AD411" i="4"/>
  <c r="AA412" i="4"/>
  <c r="AB412" i="4"/>
  <c r="AC412" i="4" s="1"/>
  <c r="AD412" i="4"/>
  <c r="AA413" i="4"/>
  <c r="AB413" i="4"/>
  <c r="AC413" i="4"/>
  <c r="AD413" i="4"/>
  <c r="AA414" i="4"/>
  <c r="AB414" i="4"/>
  <c r="AC414" i="4" s="1"/>
  <c r="AD414" i="4"/>
  <c r="AA415" i="4"/>
  <c r="AB415" i="4"/>
  <c r="AC415" i="4"/>
  <c r="AD415" i="4"/>
  <c r="AA416" i="4"/>
  <c r="AB416" i="4"/>
  <c r="AC416" i="4" s="1"/>
  <c r="AD416" i="4"/>
  <c r="AA417" i="4"/>
  <c r="AB417" i="4"/>
  <c r="AC417" i="4"/>
  <c r="AD417" i="4"/>
  <c r="AA418" i="4"/>
  <c r="AB418" i="4"/>
  <c r="AC418" i="4" s="1"/>
  <c r="AD418" i="4"/>
  <c r="AA419" i="4"/>
  <c r="AB419" i="4"/>
  <c r="AC419" i="4"/>
  <c r="AD419" i="4"/>
  <c r="AA420" i="4"/>
  <c r="AB420" i="4"/>
  <c r="AC420" i="4" s="1"/>
  <c r="AD420" i="4"/>
  <c r="AA421" i="4"/>
  <c r="AB421" i="4"/>
  <c r="AC421" i="4"/>
  <c r="AD421" i="4"/>
  <c r="AA422" i="4"/>
  <c r="AB422" i="4"/>
  <c r="AC422" i="4" s="1"/>
  <c r="AD422" i="4"/>
  <c r="AA423" i="4"/>
  <c r="AB423" i="4"/>
  <c r="AC423" i="4"/>
  <c r="AD423" i="4"/>
  <c r="AA424" i="4"/>
  <c r="AB424" i="4"/>
  <c r="AC424" i="4" s="1"/>
  <c r="AD424" i="4"/>
  <c r="AA425" i="4"/>
  <c r="AB425" i="4"/>
  <c r="AC425" i="4"/>
  <c r="AD425" i="4"/>
  <c r="AA426" i="4"/>
  <c r="AB426" i="4"/>
  <c r="AC426" i="4" s="1"/>
  <c r="AD426" i="4"/>
  <c r="AA427" i="4"/>
  <c r="AB427" i="4"/>
  <c r="AC427" i="4"/>
  <c r="AD427" i="4"/>
  <c r="AA428" i="4"/>
  <c r="AB428" i="4"/>
  <c r="AC428" i="4" s="1"/>
  <c r="AD428" i="4"/>
  <c r="AA429" i="4"/>
  <c r="AB429" i="4"/>
  <c r="AC429" i="4"/>
  <c r="AD429" i="4"/>
  <c r="AA430" i="4"/>
  <c r="AB430" i="4"/>
  <c r="AC430" i="4" s="1"/>
  <c r="AD430" i="4"/>
  <c r="AA431" i="4"/>
  <c r="AB431" i="4"/>
  <c r="AC431" i="4"/>
  <c r="AD431" i="4"/>
  <c r="AA432" i="4"/>
  <c r="AB432" i="4"/>
  <c r="AC432" i="4" s="1"/>
  <c r="AD432" i="4"/>
  <c r="AA433" i="4"/>
  <c r="AB433" i="4"/>
  <c r="AC433" i="4"/>
  <c r="AD433" i="4"/>
  <c r="AA434" i="4"/>
  <c r="AB434" i="4"/>
  <c r="AC434" i="4" s="1"/>
  <c r="AD434" i="4"/>
  <c r="AA435" i="4"/>
  <c r="AB435" i="4"/>
  <c r="AC435" i="4"/>
  <c r="AD435" i="4"/>
  <c r="AA436" i="4"/>
  <c r="AB436" i="4"/>
  <c r="AC436" i="4" s="1"/>
  <c r="AD436" i="4"/>
  <c r="AA437" i="4"/>
  <c r="AB437" i="4"/>
  <c r="AC437" i="4"/>
  <c r="AD437" i="4"/>
  <c r="AA438" i="4"/>
  <c r="AB438" i="4"/>
  <c r="AC438" i="4" s="1"/>
  <c r="AD438" i="4"/>
  <c r="AA439" i="4"/>
  <c r="AB439" i="4"/>
  <c r="AC439" i="4"/>
  <c r="AD439" i="4"/>
  <c r="AA440" i="4"/>
  <c r="AB440" i="4"/>
  <c r="AC440" i="4" s="1"/>
  <c r="AD440" i="4"/>
  <c r="AA441" i="4"/>
  <c r="AB441" i="4"/>
  <c r="AC441" i="4"/>
  <c r="AD441" i="4"/>
  <c r="AA442" i="4"/>
  <c r="AB442" i="4"/>
  <c r="AC442" i="4" s="1"/>
  <c r="AD442" i="4"/>
  <c r="AA443" i="4"/>
  <c r="AB443" i="4"/>
  <c r="AC443" i="4"/>
  <c r="AD443" i="4"/>
  <c r="AA444" i="4"/>
  <c r="AB444" i="4"/>
  <c r="AC444" i="4" s="1"/>
  <c r="AD444" i="4"/>
  <c r="AA445" i="4"/>
  <c r="AB445" i="4"/>
  <c r="AC445" i="4"/>
  <c r="AD445" i="4"/>
  <c r="AA446" i="4"/>
  <c r="AB446" i="4"/>
  <c r="AC446" i="4" s="1"/>
  <c r="AD446" i="4"/>
  <c r="AA447" i="4"/>
  <c r="AB447" i="4"/>
  <c r="AC447" i="4"/>
  <c r="AD447" i="4"/>
  <c r="AA448" i="4"/>
  <c r="AB448" i="4"/>
  <c r="AC448" i="4" s="1"/>
  <c r="AD448" i="4"/>
  <c r="AA449" i="4"/>
  <c r="AB449" i="4"/>
  <c r="AC449" i="4"/>
  <c r="AD449" i="4"/>
  <c r="AA450" i="4"/>
  <c r="AB450" i="4"/>
  <c r="AC450" i="4" s="1"/>
  <c r="AD450" i="4"/>
  <c r="AA451" i="4"/>
  <c r="AC451" i="4" s="1"/>
  <c r="AB451" i="4"/>
  <c r="AD451" i="4"/>
  <c r="AA452" i="4"/>
  <c r="AB452" i="4"/>
  <c r="AC452" i="4" s="1"/>
  <c r="AD452" i="4"/>
  <c r="AA453" i="4"/>
  <c r="AB453" i="4"/>
  <c r="AC453" i="4"/>
  <c r="AD453" i="4"/>
  <c r="AA454" i="4"/>
  <c r="AB454" i="4"/>
  <c r="AC454" i="4" s="1"/>
  <c r="AD454" i="4"/>
  <c r="AA455" i="4"/>
  <c r="AB455" i="4"/>
  <c r="AC455" i="4"/>
  <c r="AD455" i="4"/>
  <c r="AA456" i="4"/>
  <c r="AB456" i="4"/>
  <c r="AC456" i="4" s="1"/>
  <c r="AD456" i="4"/>
  <c r="AA457" i="4"/>
  <c r="AB457" i="4"/>
  <c r="AC457" i="4"/>
  <c r="AD457" i="4"/>
  <c r="AA458" i="4"/>
  <c r="AB458" i="4"/>
  <c r="AC458" i="4" s="1"/>
  <c r="AD458" i="4"/>
  <c r="AA459" i="4"/>
  <c r="AB459" i="4"/>
  <c r="AC459" i="4"/>
  <c r="AD459" i="4"/>
  <c r="AA460" i="4"/>
  <c r="AB460" i="4"/>
  <c r="AC460" i="4" s="1"/>
  <c r="AD460" i="4"/>
  <c r="AA461" i="4"/>
  <c r="AB461" i="4"/>
  <c r="AC461" i="4"/>
  <c r="AD461" i="4"/>
  <c r="AA462" i="4"/>
  <c r="AB462" i="4"/>
  <c r="AC462" i="4" s="1"/>
  <c r="AD462" i="4"/>
  <c r="AA463" i="4"/>
  <c r="AB463" i="4"/>
  <c r="AC463" i="4"/>
  <c r="AD463" i="4"/>
  <c r="AA464" i="4"/>
  <c r="AB464" i="4"/>
  <c r="AC464" i="4" s="1"/>
  <c r="AD464" i="4"/>
  <c r="AA465" i="4"/>
  <c r="AC465" i="4" s="1"/>
  <c r="AB465" i="4"/>
  <c r="AD465" i="4"/>
  <c r="AA466" i="4"/>
  <c r="AB466" i="4"/>
  <c r="AC466" i="4" s="1"/>
  <c r="AD466" i="4"/>
  <c r="AA467" i="4"/>
  <c r="AC467" i="4" s="1"/>
  <c r="AB467" i="4"/>
  <c r="AD467" i="4"/>
  <c r="AA468" i="4"/>
  <c r="AB468" i="4"/>
  <c r="AC468" i="4" s="1"/>
  <c r="AD468" i="4"/>
  <c r="AA469" i="4"/>
  <c r="AC469" i="4" s="1"/>
  <c r="AB469" i="4"/>
  <c r="AD469" i="4"/>
  <c r="AA470" i="4"/>
  <c r="AB470" i="4"/>
  <c r="AC470" i="4" s="1"/>
  <c r="AD470" i="4"/>
  <c r="AA471" i="4"/>
  <c r="AC471" i="4" s="1"/>
  <c r="AB471" i="4"/>
  <c r="AD471" i="4"/>
  <c r="AA472" i="4"/>
  <c r="AB472" i="4"/>
  <c r="AC472" i="4" s="1"/>
  <c r="AD472" i="4"/>
  <c r="AA473" i="4"/>
  <c r="AC473" i="4" s="1"/>
  <c r="AB473" i="4"/>
  <c r="AD473" i="4"/>
  <c r="AA474" i="4"/>
  <c r="AB474" i="4"/>
  <c r="AC474" i="4" s="1"/>
  <c r="AD474" i="4"/>
  <c r="AA475" i="4"/>
  <c r="AC475" i="4" s="1"/>
  <c r="AB475" i="4"/>
  <c r="AD475" i="4"/>
  <c r="AA476" i="4"/>
  <c r="AB476" i="4"/>
  <c r="AC476" i="4" s="1"/>
  <c r="AD476" i="4"/>
  <c r="AA477" i="4"/>
  <c r="AC477" i="4" s="1"/>
  <c r="AB477" i="4"/>
  <c r="AD477" i="4"/>
  <c r="AA478" i="4"/>
  <c r="AB478" i="4"/>
  <c r="AC478" i="4" s="1"/>
  <c r="AD478" i="4"/>
  <c r="AA479" i="4"/>
  <c r="AC479" i="4" s="1"/>
  <c r="AB479" i="4"/>
  <c r="AD479" i="4"/>
  <c r="AA480" i="4"/>
  <c r="AB480" i="4"/>
  <c r="AC480" i="4" s="1"/>
  <c r="AD480" i="4"/>
  <c r="AA481" i="4"/>
  <c r="AC481" i="4" s="1"/>
  <c r="AB481" i="4"/>
  <c r="AD481" i="4"/>
  <c r="AA482" i="4"/>
  <c r="AB482" i="4"/>
  <c r="AC482" i="4" s="1"/>
  <c r="AD482" i="4"/>
  <c r="AA483" i="4"/>
  <c r="AC483" i="4" s="1"/>
  <c r="AB483" i="4"/>
  <c r="AD483" i="4"/>
  <c r="AA484" i="4"/>
  <c r="AB484" i="4"/>
  <c r="AC484" i="4" s="1"/>
  <c r="AD484" i="4"/>
  <c r="AA485" i="4"/>
  <c r="AC485" i="4" s="1"/>
  <c r="AB485" i="4"/>
  <c r="AD485" i="4"/>
  <c r="AA486" i="4"/>
  <c r="AB486" i="4"/>
  <c r="AC486" i="4" s="1"/>
  <c r="AD486" i="4"/>
  <c r="AA487" i="4"/>
  <c r="AC487" i="4" s="1"/>
  <c r="AB487" i="4"/>
  <c r="AD487" i="4"/>
  <c r="AA488" i="4"/>
  <c r="AB488" i="4"/>
  <c r="AC488" i="4" s="1"/>
  <c r="AD488" i="4"/>
  <c r="AA489" i="4"/>
  <c r="AC489" i="4" s="1"/>
  <c r="AB489" i="4"/>
  <c r="AD489" i="4"/>
  <c r="AA490" i="4"/>
  <c r="AB490" i="4"/>
  <c r="AC490" i="4" s="1"/>
  <c r="AD490" i="4"/>
  <c r="AA491" i="4"/>
  <c r="AC491" i="4" s="1"/>
  <c r="AB491" i="4"/>
  <c r="AD491" i="4"/>
  <c r="AA492" i="4"/>
  <c r="AB492" i="4"/>
  <c r="AC492" i="4" s="1"/>
  <c r="AD492" i="4"/>
  <c r="AA493" i="4"/>
  <c r="AC493" i="4" s="1"/>
  <c r="AB493" i="4"/>
  <c r="AD493" i="4"/>
  <c r="AA494" i="4"/>
  <c r="AB494" i="4"/>
  <c r="AC494" i="4" s="1"/>
  <c r="AD494" i="4"/>
  <c r="AA495" i="4"/>
  <c r="AC495" i="4" s="1"/>
  <c r="AB495" i="4"/>
  <c r="AD495" i="4"/>
  <c r="AA496" i="4"/>
  <c r="AB496" i="4"/>
  <c r="AC496" i="4" s="1"/>
  <c r="AD496" i="4"/>
  <c r="AA497" i="4"/>
  <c r="AC497" i="4" s="1"/>
  <c r="AB497" i="4"/>
  <c r="AD497" i="4"/>
  <c r="AA498" i="4"/>
  <c r="AB498" i="4"/>
  <c r="AC498" i="4" s="1"/>
  <c r="AD498" i="4"/>
  <c r="AA499" i="4"/>
  <c r="AC499" i="4" s="1"/>
  <c r="AB499" i="4"/>
  <c r="AD499" i="4"/>
  <c r="AA500" i="4"/>
  <c r="AB500" i="4"/>
  <c r="AC500" i="4" s="1"/>
  <c r="AD500" i="4"/>
  <c r="AA501" i="4"/>
  <c r="AC501" i="4" s="1"/>
  <c r="AB501" i="4"/>
  <c r="AD501" i="4"/>
  <c r="AA502" i="4"/>
  <c r="AB502" i="4"/>
  <c r="AC502" i="4" s="1"/>
  <c r="AD502" i="4"/>
  <c r="AA503" i="4"/>
  <c r="AC503" i="4" s="1"/>
  <c r="AB503" i="4"/>
  <c r="AD503" i="4"/>
  <c r="AA504" i="4"/>
  <c r="AB504" i="4"/>
  <c r="AC504" i="4" s="1"/>
  <c r="AD504" i="4"/>
  <c r="AA505" i="4"/>
  <c r="AC505" i="4" s="1"/>
  <c r="AB505" i="4"/>
  <c r="AD505" i="4"/>
  <c r="AA506" i="4"/>
  <c r="AB506" i="4"/>
  <c r="AC506" i="4" s="1"/>
  <c r="AD506" i="4"/>
  <c r="AA507" i="4"/>
  <c r="AC507" i="4" s="1"/>
  <c r="AB507" i="4"/>
  <c r="AD507" i="4"/>
  <c r="AA508" i="4"/>
  <c r="AB508" i="4"/>
  <c r="AC508" i="4" s="1"/>
  <c r="AD508" i="4"/>
  <c r="AA509" i="4"/>
  <c r="AC509" i="4" s="1"/>
  <c r="AB509" i="4"/>
  <c r="AD509" i="4"/>
  <c r="AA510" i="4"/>
  <c r="AB510" i="4"/>
  <c r="AC510" i="4" s="1"/>
  <c r="AD510" i="4"/>
  <c r="AA511" i="4"/>
  <c r="AC511" i="4" s="1"/>
  <c r="AB511" i="4"/>
  <c r="AD511" i="4"/>
  <c r="AA512" i="4"/>
  <c r="AB512" i="4"/>
  <c r="AC512" i="4" s="1"/>
  <c r="AD512" i="4"/>
  <c r="AA513" i="4"/>
  <c r="AC513" i="4" s="1"/>
  <c r="AB513" i="4"/>
  <c r="AD513" i="4"/>
  <c r="AA514" i="4"/>
  <c r="AB514" i="4"/>
  <c r="AC514" i="4" s="1"/>
  <c r="AD514" i="4"/>
  <c r="AA515" i="4"/>
  <c r="AC515" i="4" s="1"/>
  <c r="AB515" i="4"/>
  <c r="AD515" i="4"/>
  <c r="AA516" i="4"/>
  <c r="AB516" i="4"/>
  <c r="AC516" i="4" s="1"/>
  <c r="AD516" i="4"/>
  <c r="AA517" i="4"/>
  <c r="AC517" i="4" s="1"/>
  <c r="AB517" i="4"/>
  <c r="AD517" i="4"/>
  <c r="AA518" i="4"/>
  <c r="AB518" i="4"/>
  <c r="AC518" i="4" s="1"/>
  <c r="AD518" i="4"/>
  <c r="AA519" i="4"/>
  <c r="AC519" i="4" s="1"/>
  <c r="AB519" i="4"/>
  <c r="AD519" i="4"/>
  <c r="AA520" i="4"/>
  <c r="AB520" i="4"/>
  <c r="AC520" i="4"/>
  <c r="AD520" i="4"/>
  <c r="AA521" i="4"/>
  <c r="AC521" i="4" s="1"/>
  <c r="AB521" i="4"/>
  <c r="AD521" i="4"/>
  <c r="AA522" i="4"/>
  <c r="AB522" i="4"/>
  <c r="AC522" i="4" s="1"/>
  <c r="AD522" i="4"/>
  <c r="AA523" i="4"/>
  <c r="AC523" i="4" s="1"/>
  <c r="AB523" i="4"/>
  <c r="AD523" i="4"/>
  <c r="AA524" i="4"/>
  <c r="AB524" i="4"/>
  <c r="AC524" i="4"/>
  <c r="AD524" i="4"/>
  <c r="AA525" i="4"/>
  <c r="AC525" i="4" s="1"/>
  <c r="AB525" i="4"/>
  <c r="AD525" i="4"/>
  <c r="AA526" i="4"/>
  <c r="AB526" i="4"/>
  <c r="AC526" i="4" s="1"/>
  <c r="AD526" i="4"/>
  <c r="AA527" i="4"/>
  <c r="AC527" i="4" s="1"/>
  <c r="AB527" i="4"/>
  <c r="AD527" i="4"/>
  <c r="AA528" i="4"/>
  <c r="AB528" i="4"/>
  <c r="AC528" i="4"/>
  <c r="AD528" i="4"/>
  <c r="AA529" i="4"/>
  <c r="AC529" i="4" s="1"/>
  <c r="AB529" i="4"/>
  <c r="AD529" i="4"/>
  <c r="AA530" i="4"/>
  <c r="AB530" i="4"/>
  <c r="AC530" i="4" s="1"/>
  <c r="AD530" i="4"/>
  <c r="AA531" i="4"/>
  <c r="AC531" i="4" s="1"/>
  <c r="AB531" i="4"/>
  <c r="AD531" i="4"/>
  <c r="AA532" i="4"/>
  <c r="AB532" i="4"/>
  <c r="AC532" i="4" s="1"/>
  <c r="AD532" i="4"/>
  <c r="AA533" i="4"/>
  <c r="AC533" i="4" s="1"/>
  <c r="AB533" i="4"/>
  <c r="AD533" i="4"/>
  <c r="AA534" i="4"/>
  <c r="AB534" i="4"/>
  <c r="AC534" i="4" s="1"/>
  <c r="AD534" i="4"/>
  <c r="AA535" i="4"/>
  <c r="AC535" i="4" s="1"/>
  <c r="AB535" i="4"/>
  <c r="AD535" i="4"/>
  <c r="AA536" i="4"/>
  <c r="AB536" i="4"/>
  <c r="AC536" i="4"/>
  <c r="AD536" i="4"/>
  <c r="AA537" i="4"/>
  <c r="AC537" i="4" s="1"/>
  <c r="AB537" i="4"/>
  <c r="AD537" i="4"/>
  <c r="AA538" i="4"/>
  <c r="AB538" i="4"/>
  <c r="AC538" i="4" s="1"/>
  <c r="AD538" i="4"/>
  <c r="AA539" i="4"/>
  <c r="AC539" i="4" s="1"/>
  <c r="AB539" i="4"/>
  <c r="AD539" i="4"/>
  <c r="AA540" i="4"/>
  <c r="AB540" i="4"/>
  <c r="AC540" i="4"/>
  <c r="AD540" i="4"/>
  <c r="AA541" i="4"/>
  <c r="AC541" i="4" s="1"/>
  <c r="AB541" i="4"/>
  <c r="AD541" i="4"/>
  <c r="AA542" i="4"/>
  <c r="AB542" i="4"/>
  <c r="AC542" i="4" s="1"/>
  <c r="AD542" i="4"/>
  <c r="AA543" i="4"/>
  <c r="AC543" i="4" s="1"/>
  <c r="AB543" i="4"/>
  <c r="AD543" i="4"/>
  <c r="AA544" i="4"/>
  <c r="AB544" i="4"/>
  <c r="AC544" i="4"/>
  <c r="AD544" i="4"/>
  <c r="AA545" i="4"/>
  <c r="AC545" i="4" s="1"/>
  <c r="AB545" i="4"/>
  <c r="AD545" i="4"/>
  <c r="AA546" i="4"/>
  <c r="AB546" i="4"/>
  <c r="AC546" i="4" s="1"/>
  <c r="AD546" i="4"/>
  <c r="AA547" i="4"/>
  <c r="AC547" i="4" s="1"/>
  <c r="AB547" i="4"/>
  <c r="AD547" i="4"/>
  <c r="AA548" i="4"/>
  <c r="AB548" i="4"/>
  <c r="AC548" i="4" s="1"/>
  <c r="AD548" i="4"/>
  <c r="AA549" i="4"/>
  <c r="AC549" i="4" s="1"/>
  <c r="AB549" i="4"/>
  <c r="AD549" i="4"/>
  <c r="AA550" i="4"/>
  <c r="AB550" i="4"/>
  <c r="AC550" i="4" s="1"/>
  <c r="AD550" i="4"/>
  <c r="AA551" i="4"/>
  <c r="AC551" i="4" s="1"/>
  <c r="AB551" i="4"/>
  <c r="AD551" i="4"/>
  <c r="AA552" i="4"/>
  <c r="AB552" i="4"/>
  <c r="AC552" i="4"/>
  <c r="AD552" i="4"/>
  <c r="AA553" i="4"/>
  <c r="AC553" i="4" s="1"/>
  <c r="AB553" i="4"/>
  <c r="AD553" i="4"/>
  <c r="AA554" i="4"/>
  <c r="AB554" i="4"/>
  <c r="AC554" i="4" s="1"/>
  <c r="AD554" i="4"/>
  <c r="AA555" i="4"/>
  <c r="AC555" i="4" s="1"/>
  <c r="AB555" i="4"/>
  <c r="AD555" i="4"/>
  <c r="AA556" i="4"/>
  <c r="AB556" i="4"/>
  <c r="AC556" i="4"/>
  <c r="AD556" i="4"/>
  <c r="AA557" i="4"/>
  <c r="AC557" i="4" s="1"/>
  <c r="AB557" i="4"/>
  <c r="AD557" i="4"/>
  <c r="AA558" i="4"/>
  <c r="AB558" i="4"/>
  <c r="AC558" i="4" s="1"/>
  <c r="AD558" i="4"/>
  <c r="AA559" i="4"/>
  <c r="AC559" i="4" s="1"/>
  <c r="AB559" i="4"/>
  <c r="AD559" i="4"/>
  <c r="AA560" i="4"/>
  <c r="AB560" i="4"/>
  <c r="AC560" i="4"/>
  <c r="AD560" i="4"/>
  <c r="AA561" i="4"/>
  <c r="AC561" i="4" s="1"/>
  <c r="AB561" i="4"/>
  <c r="AD561" i="4"/>
  <c r="AA562" i="4"/>
  <c r="AB562" i="4"/>
  <c r="AC562" i="4" s="1"/>
  <c r="AD562" i="4"/>
  <c r="AA563" i="4"/>
  <c r="AC563" i="4" s="1"/>
  <c r="AB563" i="4"/>
  <c r="AD563" i="4"/>
  <c r="AA564" i="4"/>
  <c r="AB564" i="4"/>
  <c r="AC564" i="4" s="1"/>
  <c r="AD564" i="4"/>
  <c r="AA565" i="4"/>
  <c r="AC565" i="4" s="1"/>
  <c r="AB565" i="4"/>
  <c r="AD565" i="4"/>
  <c r="AA566" i="4"/>
  <c r="AB566" i="4"/>
  <c r="AC566" i="4" s="1"/>
  <c r="AD566" i="4"/>
  <c r="AA567" i="4"/>
  <c r="AC567" i="4" s="1"/>
  <c r="AB567" i="4"/>
  <c r="AD567" i="4"/>
  <c r="AA568" i="4"/>
  <c r="AB568" i="4"/>
  <c r="AC568" i="4"/>
  <c r="AD568" i="4"/>
  <c r="AA569" i="4"/>
  <c r="AC569" i="4" s="1"/>
  <c r="AB569" i="4"/>
  <c r="AD569" i="4"/>
  <c r="AA570" i="4"/>
  <c r="AB570" i="4"/>
  <c r="AC570" i="4" s="1"/>
  <c r="AD570" i="4"/>
  <c r="AA571" i="4"/>
  <c r="AC571" i="4" s="1"/>
  <c r="AB571" i="4"/>
  <c r="AD571" i="4"/>
  <c r="AA572" i="4"/>
  <c r="AB572" i="4"/>
  <c r="AC572" i="4"/>
  <c r="AD572" i="4"/>
  <c r="AA573" i="4"/>
  <c r="AC573" i="4" s="1"/>
  <c r="AB573" i="4"/>
  <c r="AD573" i="4"/>
  <c r="AA574" i="4"/>
  <c r="AB574" i="4"/>
  <c r="AC574" i="4" s="1"/>
  <c r="AD574" i="4"/>
  <c r="AA575" i="4"/>
  <c r="AC575" i="4" s="1"/>
  <c r="AB575" i="4"/>
  <c r="AD575" i="4"/>
  <c r="AA576" i="4"/>
  <c r="AB576" i="4"/>
  <c r="AC576" i="4"/>
  <c r="AD576" i="4"/>
  <c r="AA577" i="4"/>
  <c r="AC577" i="4" s="1"/>
  <c r="AB577" i="4"/>
  <c r="AD577" i="4"/>
  <c r="AA578" i="4"/>
  <c r="AB578" i="4"/>
  <c r="AC578" i="4" s="1"/>
  <c r="AD578" i="4"/>
  <c r="AA579" i="4"/>
  <c r="AC579" i="4" s="1"/>
  <c r="AB579" i="4"/>
  <c r="AD579" i="4"/>
  <c r="AA580" i="4"/>
  <c r="AB580" i="4"/>
  <c r="AC580" i="4" s="1"/>
  <c r="AD580" i="4"/>
  <c r="AA581" i="4"/>
  <c r="AC581" i="4" s="1"/>
  <c r="AB581" i="4"/>
  <c r="AD581" i="4"/>
  <c r="AA582" i="4"/>
  <c r="AB582" i="4"/>
  <c r="AC582" i="4" s="1"/>
  <c r="AD582" i="4"/>
  <c r="AA583" i="4"/>
  <c r="AC583" i="4" s="1"/>
  <c r="AB583" i="4"/>
  <c r="AD583" i="4"/>
  <c r="AA584" i="4"/>
  <c r="AB584" i="4"/>
  <c r="AC584" i="4"/>
  <c r="AD584" i="4"/>
  <c r="AA585" i="4"/>
  <c r="AC585" i="4" s="1"/>
  <c r="AB585" i="4"/>
  <c r="AD585" i="4"/>
  <c r="AA586" i="4"/>
  <c r="AC586" i="4" s="1"/>
  <c r="AB586" i="4"/>
  <c r="AD586" i="4"/>
  <c r="AA587" i="4"/>
  <c r="AC587" i="4" s="1"/>
  <c r="AB587" i="4"/>
  <c r="AD587" i="4"/>
  <c r="AA588" i="4"/>
  <c r="AC588" i="4" s="1"/>
  <c r="AB588" i="4"/>
  <c r="AD588" i="4"/>
  <c r="AA589" i="4"/>
  <c r="AC589" i="4" s="1"/>
  <c r="AB589" i="4"/>
  <c r="AD589" i="4"/>
  <c r="AA590" i="4"/>
  <c r="AB590" i="4"/>
  <c r="AC590" i="4" s="1"/>
  <c r="AD590" i="4"/>
  <c r="AA591" i="4"/>
  <c r="AC591" i="4" s="1"/>
  <c r="AB591" i="4"/>
  <c r="AD591" i="4"/>
  <c r="AA592" i="4"/>
  <c r="AB592" i="4"/>
  <c r="AC592" i="4"/>
  <c r="AD592" i="4"/>
  <c r="AA593" i="4"/>
  <c r="AC593" i="4" s="1"/>
  <c r="AB593" i="4"/>
  <c r="AD593" i="4"/>
  <c r="AA594" i="4"/>
  <c r="AC594" i="4" s="1"/>
  <c r="AB594" i="4"/>
  <c r="AD594" i="4"/>
  <c r="AA595" i="4"/>
  <c r="AC595" i="4" s="1"/>
  <c r="AB595" i="4"/>
  <c r="AD595" i="4"/>
  <c r="AA596" i="4"/>
  <c r="AC596" i="4" s="1"/>
  <c r="AB596" i="4"/>
  <c r="AD596" i="4"/>
  <c r="AA597" i="4"/>
  <c r="AC597" i="4" s="1"/>
  <c r="AB597" i="4"/>
  <c r="AD597" i="4"/>
  <c r="AA598" i="4"/>
  <c r="AB598" i="4"/>
  <c r="AC598" i="4" s="1"/>
  <c r="AD598" i="4"/>
  <c r="AA599" i="4"/>
  <c r="AC599" i="4" s="1"/>
  <c r="AB599" i="4"/>
  <c r="AD599" i="4"/>
  <c r="AA600" i="4"/>
  <c r="AB600" i="4"/>
  <c r="AC600" i="4"/>
  <c r="AD600" i="4"/>
  <c r="AA601" i="4"/>
  <c r="AC601" i="4" s="1"/>
  <c r="AB601" i="4"/>
  <c r="AD601" i="4"/>
  <c r="AA602" i="4"/>
  <c r="AC602" i="4" s="1"/>
  <c r="AB602" i="4"/>
  <c r="AD602" i="4"/>
  <c r="AA603" i="4"/>
  <c r="AC603" i="4" s="1"/>
  <c r="AB603" i="4"/>
  <c r="AD603" i="4"/>
  <c r="AA604" i="4"/>
  <c r="AC604" i="4" s="1"/>
  <c r="AB604" i="4"/>
  <c r="AD604" i="4"/>
  <c r="AA605" i="4"/>
  <c r="AC605" i="4" s="1"/>
  <c r="AB605" i="4"/>
  <c r="AD605" i="4"/>
  <c r="AA606" i="4"/>
  <c r="AB606" i="4"/>
  <c r="AC606" i="4" s="1"/>
  <c r="AD606" i="4"/>
  <c r="AA607" i="4"/>
  <c r="AC607" i="4" s="1"/>
  <c r="AB607" i="4"/>
  <c r="AD607" i="4"/>
  <c r="AA608" i="4"/>
  <c r="AB608" i="4"/>
  <c r="AC608" i="4"/>
  <c r="AD608" i="4"/>
  <c r="AA609" i="4"/>
  <c r="AC609" i="4" s="1"/>
  <c r="AB609" i="4"/>
  <c r="AD609" i="4"/>
  <c r="AA610" i="4"/>
  <c r="AC610" i="4" s="1"/>
  <c r="AB610" i="4"/>
  <c r="AD610" i="4"/>
  <c r="AA611" i="4"/>
  <c r="AC611" i="4" s="1"/>
  <c r="AB611" i="4"/>
  <c r="AD611" i="4"/>
  <c r="AA612" i="4"/>
  <c r="AC612" i="4" s="1"/>
  <c r="AB612" i="4"/>
  <c r="AD612" i="4"/>
  <c r="AA613" i="4"/>
  <c r="AC613" i="4" s="1"/>
  <c r="AB613" i="4"/>
  <c r="AD613" i="4"/>
  <c r="AA614" i="4"/>
  <c r="AB614" i="4"/>
  <c r="AC614" i="4" s="1"/>
  <c r="AD614" i="4"/>
  <c r="AA615" i="4"/>
  <c r="AC615" i="4" s="1"/>
  <c r="AB615" i="4"/>
  <c r="AD615" i="4"/>
  <c r="AA616" i="4"/>
  <c r="AB616" i="4"/>
  <c r="AC616" i="4"/>
  <c r="AD616" i="4"/>
  <c r="AA617" i="4"/>
  <c r="AC617" i="4" s="1"/>
  <c r="AB617" i="4"/>
  <c r="AD617" i="4"/>
  <c r="AA618" i="4"/>
  <c r="AC618" i="4" s="1"/>
  <c r="AB618" i="4"/>
  <c r="AD618" i="4"/>
  <c r="AA619" i="4"/>
  <c r="AC619" i="4" s="1"/>
  <c r="AB619" i="4"/>
  <c r="AD619" i="4"/>
  <c r="AA620" i="4"/>
  <c r="AC620" i="4" s="1"/>
  <c r="AB620" i="4"/>
  <c r="AD620" i="4"/>
  <c r="AA621" i="4"/>
  <c r="AC621" i="4" s="1"/>
  <c r="AB621" i="4"/>
  <c r="AD621" i="4"/>
  <c r="AA622" i="4"/>
  <c r="AB622" i="4"/>
  <c r="AC622" i="4" s="1"/>
  <c r="AD622" i="4"/>
  <c r="AA623" i="4"/>
  <c r="AC623" i="4" s="1"/>
  <c r="AB623" i="4"/>
  <c r="AD623" i="4"/>
  <c r="AA624" i="4"/>
  <c r="AB624" i="4"/>
  <c r="AC624" i="4"/>
  <c r="AD624" i="4"/>
  <c r="AA625" i="4"/>
  <c r="AC625" i="4" s="1"/>
  <c r="AB625" i="4"/>
  <c r="AD625" i="4"/>
  <c r="AA626" i="4"/>
  <c r="AC626" i="4" s="1"/>
  <c r="AB626" i="4"/>
  <c r="AD626" i="4"/>
  <c r="AA627" i="4"/>
  <c r="AC627" i="4" s="1"/>
  <c r="AB627" i="4"/>
  <c r="AD627" i="4"/>
  <c r="AA628" i="4"/>
  <c r="AC628" i="4" s="1"/>
  <c r="AB628" i="4"/>
  <c r="AD628" i="4"/>
  <c r="AA629" i="4"/>
  <c r="AC629" i="4" s="1"/>
  <c r="AB629" i="4"/>
  <c r="AD629" i="4"/>
  <c r="AA630" i="4"/>
  <c r="AB630" i="4"/>
  <c r="AC630" i="4" s="1"/>
  <c r="AD630" i="4"/>
  <c r="AA631" i="4"/>
  <c r="AC631" i="4" s="1"/>
  <c r="AB631" i="4"/>
  <c r="AD631" i="4"/>
  <c r="AA632" i="4"/>
  <c r="AB632" i="4"/>
  <c r="AC632" i="4"/>
  <c r="AD632" i="4"/>
  <c r="AA633" i="4"/>
  <c r="AB633" i="4"/>
  <c r="AC633" i="4"/>
  <c r="AD633" i="4"/>
  <c r="AA634" i="4"/>
  <c r="AB634" i="4"/>
  <c r="AC634" i="4"/>
  <c r="AD634" i="4"/>
  <c r="AA635" i="4"/>
  <c r="AB635" i="4"/>
  <c r="AC635" i="4"/>
  <c r="AD635" i="4"/>
  <c r="AA636" i="4"/>
  <c r="AB636" i="4"/>
  <c r="AC636" i="4"/>
  <c r="AD636" i="4"/>
  <c r="AA637" i="4"/>
  <c r="AB637" i="4"/>
  <c r="AC637" i="4"/>
  <c r="AD637" i="4"/>
  <c r="AA638" i="4"/>
  <c r="AB638" i="4"/>
  <c r="AC638" i="4"/>
  <c r="AD638" i="4"/>
  <c r="AA639" i="4"/>
  <c r="AB639" i="4"/>
  <c r="AC639" i="4"/>
  <c r="AD639" i="4"/>
  <c r="AA640" i="4"/>
  <c r="AB640" i="4"/>
  <c r="AC640" i="4"/>
  <c r="AD640" i="4"/>
  <c r="AA641" i="4"/>
  <c r="AB641" i="4"/>
  <c r="AC641" i="4"/>
  <c r="AD641" i="4"/>
  <c r="AA642" i="4"/>
  <c r="AB642" i="4"/>
  <c r="AC642" i="4"/>
  <c r="AD642" i="4"/>
  <c r="AA643" i="4"/>
  <c r="AB643" i="4"/>
  <c r="AC643" i="4"/>
  <c r="AD643" i="4"/>
  <c r="AA644" i="4"/>
  <c r="AB644" i="4"/>
  <c r="AC644" i="4"/>
  <c r="AD644" i="4"/>
  <c r="AA645" i="4"/>
  <c r="AB645" i="4"/>
  <c r="AC645" i="4"/>
  <c r="AD645" i="4"/>
  <c r="AA646" i="4"/>
  <c r="AB646" i="4"/>
  <c r="AC646" i="4"/>
  <c r="AD646" i="4"/>
  <c r="AA647" i="4"/>
  <c r="AB647" i="4"/>
  <c r="AC647" i="4"/>
  <c r="AD647" i="4"/>
  <c r="AA648" i="4"/>
  <c r="AB648" i="4"/>
  <c r="AC648" i="4"/>
  <c r="AD648" i="4"/>
  <c r="AA649" i="4"/>
  <c r="AB649" i="4"/>
  <c r="AC649" i="4"/>
  <c r="AD649" i="4"/>
  <c r="AA650" i="4"/>
  <c r="AB650" i="4"/>
  <c r="AC650" i="4"/>
  <c r="AD650" i="4"/>
  <c r="AA651" i="4"/>
  <c r="AB651" i="4"/>
  <c r="AC651" i="4"/>
  <c r="AD651" i="4"/>
  <c r="AA652" i="4"/>
  <c r="AB652" i="4"/>
  <c r="AC652" i="4"/>
  <c r="AD652" i="4"/>
  <c r="AA653" i="4"/>
  <c r="AB653" i="4"/>
  <c r="AC653" i="4"/>
  <c r="AD653" i="4"/>
  <c r="AA654" i="4"/>
  <c r="AB654" i="4"/>
  <c r="AC654" i="4"/>
  <c r="AD654" i="4"/>
  <c r="AA655" i="4"/>
  <c r="AB655" i="4"/>
  <c r="AC655" i="4"/>
  <c r="AD655" i="4"/>
  <c r="AA656" i="4"/>
  <c r="AB656" i="4"/>
  <c r="AC656" i="4"/>
  <c r="AD656" i="4"/>
  <c r="AA657" i="4"/>
  <c r="AB657" i="4"/>
  <c r="AC657" i="4"/>
  <c r="AD657" i="4"/>
  <c r="AA658" i="4"/>
  <c r="AB658" i="4"/>
  <c r="AC658" i="4"/>
  <c r="AD658" i="4"/>
  <c r="AA659" i="4"/>
  <c r="AB659" i="4"/>
  <c r="AC659" i="4"/>
  <c r="AD659" i="4"/>
  <c r="AA660" i="4"/>
  <c r="AB660" i="4"/>
  <c r="AC660" i="4"/>
  <c r="AD660" i="4"/>
  <c r="AA661" i="4"/>
  <c r="AB661" i="4"/>
  <c r="AC661" i="4"/>
  <c r="AD661" i="4"/>
  <c r="AA662" i="4"/>
  <c r="AB662" i="4"/>
  <c r="AC662" i="4"/>
  <c r="AD662" i="4"/>
  <c r="AA663" i="4"/>
  <c r="AB663" i="4"/>
  <c r="AC663" i="4"/>
  <c r="AD663" i="4"/>
  <c r="AA664" i="4"/>
  <c r="AB664" i="4"/>
  <c r="AC664" i="4"/>
  <c r="AD664" i="4"/>
  <c r="AA665" i="4"/>
  <c r="AB665" i="4"/>
  <c r="AC665" i="4"/>
  <c r="AD665" i="4"/>
  <c r="AA666" i="4"/>
  <c r="AB666" i="4"/>
  <c r="AC666" i="4"/>
  <c r="AD666" i="4"/>
  <c r="AA667" i="4"/>
  <c r="AB667" i="4"/>
  <c r="AC667" i="4"/>
  <c r="AD667" i="4"/>
  <c r="AA668" i="4"/>
  <c r="AB668" i="4"/>
  <c r="AC668" i="4"/>
  <c r="AD668" i="4"/>
  <c r="AA669" i="4"/>
  <c r="AB669" i="4"/>
  <c r="AC669" i="4"/>
  <c r="AD669" i="4"/>
  <c r="AA670" i="4"/>
  <c r="AB670" i="4"/>
  <c r="AC670" i="4"/>
  <c r="AD670" i="4"/>
  <c r="AA671" i="4"/>
  <c r="AB671" i="4"/>
  <c r="AC671" i="4"/>
  <c r="AD671" i="4"/>
  <c r="AA672" i="4"/>
  <c r="AB672" i="4"/>
  <c r="AC672" i="4"/>
  <c r="AD672" i="4"/>
  <c r="AA673" i="4"/>
  <c r="AB673" i="4"/>
  <c r="AC673" i="4"/>
  <c r="AD673" i="4"/>
  <c r="AA674" i="4"/>
  <c r="AB674" i="4"/>
  <c r="AC674" i="4"/>
  <c r="AD674" i="4"/>
  <c r="AA675" i="4"/>
  <c r="AB675" i="4"/>
  <c r="AC675" i="4"/>
  <c r="AD675" i="4"/>
  <c r="AA676" i="4"/>
  <c r="AB676" i="4"/>
  <c r="AC676" i="4"/>
  <c r="AD676" i="4"/>
  <c r="AA677" i="4"/>
  <c r="AB677" i="4"/>
  <c r="AC677" i="4"/>
  <c r="AD677" i="4"/>
  <c r="AA678" i="4"/>
  <c r="AB678" i="4"/>
  <c r="AC678" i="4"/>
  <c r="AD678" i="4"/>
  <c r="AA679" i="4"/>
  <c r="AB679" i="4"/>
  <c r="AC679" i="4"/>
  <c r="AD679" i="4"/>
  <c r="AA680" i="4"/>
  <c r="AB680" i="4"/>
  <c r="AC680" i="4"/>
  <c r="AD680" i="4"/>
  <c r="AA681" i="4"/>
  <c r="AB681" i="4"/>
  <c r="AC681" i="4"/>
  <c r="AD681" i="4"/>
  <c r="AA682" i="4"/>
  <c r="AB682" i="4"/>
  <c r="AC682" i="4"/>
  <c r="AD682" i="4"/>
  <c r="AA683" i="4"/>
  <c r="AB683" i="4"/>
  <c r="AC683" i="4"/>
  <c r="AD683" i="4"/>
  <c r="AA684" i="4"/>
  <c r="AB684" i="4"/>
  <c r="AC684" i="4"/>
  <c r="AD684" i="4"/>
  <c r="AA685" i="4"/>
  <c r="AB685" i="4"/>
  <c r="AC685" i="4"/>
  <c r="AD685" i="4"/>
  <c r="AA686" i="4"/>
  <c r="AB686" i="4"/>
  <c r="AC686" i="4"/>
  <c r="AD686" i="4"/>
  <c r="AA687" i="4"/>
  <c r="AB687" i="4"/>
  <c r="AC687" i="4"/>
  <c r="AD687" i="4"/>
  <c r="AA688" i="4"/>
  <c r="AB688" i="4"/>
  <c r="AC688" i="4"/>
  <c r="AD688" i="4"/>
  <c r="AA689" i="4"/>
  <c r="AB689" i="4"/>
  <c r="AC689" i="4"/>
  <c r="AD689" i="4"/>
  <c r="AA690" i="4"/>
  <c r="AB690" i="4"/>
  <c r="AC690" i="4"/>
  <c r="AD690" i="4"/>
  <c r="AA691" i="4"/>
  <c r="AB691" i="4"/>
  <c r="AC691" i="4"/>
  <c r="AD691" i="4"/>
  <c r="AA692" i="4"/>
  <c r="AB692" i="4"/>
  <c r="AC692" i="4"/>
  <c r="AD692" i="4"/>
  <c r="AA693" i="4"/>
  <c r="AB693" i="4"/>
  <c r="AC693" i="4"/>
  <c r="AD693" i="4"/>
  <c r="AA694" i="4"/>
  <c r="AB694" i="4"/>
  <c r="AC694" i="4"/>
  <c r="AD694" i="4"/>
  <c r="AA695" i="4"/>
  <c r="AB695" i="4"/>
  <c r="AC695" i="4"/>
  <c r="AD695" i="4"/>
  <c r="AA696" i="4"/>
  <c r="AB696" i="4"/>
  <c r="AC696" i="4"/>
  <c r="AD696" i="4"/>
  <c r="AA697" i="4"/>
  <c r="AB697" i="4"/>
  <c r="AC697" i="4"/>
  <c r="AD697" i="4"/>
  <c r="AA698" i="4"/>
  <c r="AB698" i="4"/>
  <c r="AC698" i="4"/>
  <c r="AD698" i="4"/>
  <c r="AA699" i="4"/>
  <c r="AB699" i="4"/>
  <c r="AC699" i="4"/>
  <c r="AD699" i="4"/>
  <c r="AA700" i="4"/>
  <c r="AB700" i="4"/>
  <c r="AC700" i="4"/>
  <c r="AD700" i="4"/>
  <c r="AA701" i="4"/>
  <c r="AB701" i="4"/>
  <c r="AC701" i="4"/>
  <c r="AD701" i="4"/>
  <c r="AA702" i="4"/>
  <c r="AB702" i="4"/>
  <c r="AC702" i="4"/>
  <c r="AD702" i="4"/>
  <c r="AA703" i="4"/>
  <c r="AB703" i="4"/>
  <c r="AC703" i="4"/>
  <c r="AD703" i="4"/>
  <c r="AA704" i="4"/>
  <c r="AB704" i="4"/>
  <c r="AC704" i="4"/>
  <c r="AD704" i="4"/>
  <c r="AA705" i="4"/>
  <c r="AB705" i="4"/>
  <c r="AC705" i="4"/>
  <c r="AD705" i="4"/>
  <c r="AA706" i="4"/>
  <c r="AB706" i="4"/>
  <c r="AC706" i="4"/>
  <c r="AD706" i="4"/>
  <c r="AA707" i="4"/>
  <c r="AB707" i="4"/>
  <c r="AC707" i="4"/>
  <c r="AD707" i="4"/>
  <c r="AA708" i="4"/>
  <c r="AB708" i="4"/>
  <c r="AC708" i="4"/>
  <c r="AD708" i="4"/>
  <c r="AA709" i="4"/>
  <c r="AB709" i="4"/>
  <c r="AC709" i="4"/>
  <c r="AD709" i="4"/>
  <c r="AA710" i="4"/>
  <c r="AB710" i="4"/>
  <c r="AC710" i="4"/>
  <c r="AD710" i="4"/>
  <c r="AA711" i="4"/>
  <c r="AB711" i="4"/>
  <c r="AC711" i="4"/>
  <c r="AD711" i="4"/>
  <c r="AA712" i="4"/>
  <c r="AB712" i="4"/>
  <c r="AC712" i="4"/>
  <c r="AD712" i="4"/>
  <c r="AA713" i="4"/>
  <c r="AB713" i="4"/>
  <c r="AC713" i="4"/>
  <c r="AD713" i="4"/>
  <c r="AA714" i="4"/>
  <c r="AB714" i="4"/>
  <c r="AC714" i="4"/>
  <c r="AD714" i="4"/>
  <c r="AA715" i="4"/>
  <c r="AB715" i="4"/>
  <c r="AC715" i="4"/>
  <c r="AD715" i="4"/>
  <c r="AA716" i="4"/>
  <c r="AB716" i="4"/>
  <c r="AC716" i="4"/>
  <c r="AD716" i="4"/>
  <c r="AA717" i="4"/>
  <c r="AB717" i="4"/>
  <c r="AC717" i="4"/>
  <c r="AD717" i="4"/>
  <c r="AA718" i="4"/>
  <c r="AB718" i="4"/>
  <c r="AC718" i="4"/>
  <c r="AD718" i="4"/>
  <c r="AA719" i="4"/>
  <c r="AB719" i="4"/>
  <c r="AC719" i="4"/>
  <c r="AD719" i="4"/>
  <c r="AA720" i="4"/>
  <c r="AB720" i="4"/>
  <c r="AC720" i="4"/>
  <c r="AD720" i="4"/>
  <c r="AA721" i="4"/>
  <c r="AB721" i="4"/>
  <c r="AC721" i="4"/>
  <c r="AD721" i="4"/>
  <c r="AA722" i="4"/>
  <c r="AB722" i="4"/>
  <c r="AC722" i="4"/>
  <c r="AD722" i="4"/>
  <c r="AA723" i="4"/>
  <c r="AB723" i="4"/>
  <c r="AC723" i="4"/>
  <c r="AD723" i="4"/>
  <c r="AA724" i="4"/>
  <c r="AB724" i="4"/>
  <c r="AC724" i="4"/>
  <c r="AD724" i="4"/>
  <c r="AA725" i="4"/>
  <c r="AB725" i="4"/>
  <c r="AC725" i="4"/>
  <c r="AD725" i="4"/>
  <c r="AA726" i="4"/>
  <c r="AB726" i="4"/>
  <c r="AC726" i="4"/>
  <c r="AD726" i="4"/>
  <c r="AA727" i="4"/>
  <c r="AB727" i="4"/>
  <c r="AC727" i="4"/>
  <c r="AD727" i="4"/>
  <c r="AA728" i="4"/>
  <c r="AB728" i="4"/>
  <c r="AC728" i="4"/>
  <c r="AD728" i="4"/>
  <c r="AA729" i="4"/>
  <c r="AB729" i="4"/>
  <c r="AC729" i="4"/>
  <c r="AD729" i="4"/>
  <c r="AA730" i="4"/>
  <c r="AB730" i="4"/>
  <c r="AC730" i="4"/>
  <c r="AD730" i="4"/>
  <c r="AA731" i="4"/>
  <c r="AB731" i="4"/>
  <c r="AC731" i="4"/>
  <c r="AD731" i="4"/>
  <c r="AA732" i="4"/>
  <c r="AB732" i="4"/>
  <c r="AC732" i="4"/>
  <c r="AD732" i="4"/>
  <c r="AA733" i="4"/>
  <c r="AB733" i="4"/>
  <c r="AC733" i="4"/>
  <c r="AD733" i="4"/>
  <c r="AA734" i="4"/>
  <c r="AB734" i="4"/>
  <c r="AC734" i="4"/>
  <c r="AD734" i="4"/>
  <c r="AA735" i="4"/>
  <c r="AB735" i="4"/>
  <c r="AC735" i="4"/>
  <c r="AD735" i="4"/>
  <c r="AA736" i="4"/>
  <c r="AB736" i="4"/>
  <c r="AC736" i="4"/>
  <c r="AD736" i="4"/>
  <c r="AA737" i="4"/>
  <c r="AB737" i="4"/>
  <c r="AC737" i="4"/>
  <c r="AD737" i="4"/>
  <c r="AA738" i="4"/>
  <c r="AB738" i="4"/>
  <c r="AC738" i="4"/>
  <c r="AD738" i="4"/>
  <c r="AA739" i="4"/>
  <c r="AB739" i="4"/>
  <c r="AC739" i="4"/>
  <c r="AD739" i="4"/>
  <c r="AA740" i="4"/>
  <c r="AB740" i="4"/>
  <c r="AC740" i="4"/>
  <c r="AD740" i="4"/>
  <c r="AA741" i="4"/>
  <c r="AB741" i="4"/>
  <c r="AC741" i="4"/>
  <c r="AD741" i="4"/>
  <c r="AA742" i="4"/>
  <c r="AB742" i="4"/>
  <c r="AC742" i="4"/>
  <c r="AD742" i="4"/>
  <c r="AA743" i="4"/>
  <c r="AB743" i="4"/>
  <c r="AC743" i="4"/>
  <c r="AD743" i="4"/>
  <c r="AA744" i="4"/>
  <c r="AB744" i="4"/>
  <c r="AC744" i="4"/>
  <c r="AD744" i="4"/>
  <c r="AA745" i="4"/>
  <c r="AB745" i="4"/>
  <c r="AC745" i="4"/>
  <c r="AD745" i="4"/>
  <c r="AA746" i="4"/>
  <c r="AB746" i="4"/>
  <c r="AC746" i="4"/>
  <c r="AD746" i="4"/>
  <c r="AA747" i="4"/>
  <c r="AB747" i="4"/>
  <c r="AC747" i="4"/>
  <c r="AD747" i="4"/>
  <c r="AA748" i="4"/>
  <c r="AB748" i="4"/>
  <c r="AC748" i="4"/>
  <c r="AD748" i="4"/>
  <c r="AA749" i="4"/>
  <c r="AB749" i="4"/>
  <c r="AC749" i="4"/>
  <c r="AD749" i="4"/>
  <c r="AA750" i="4"/>
  <c r="AB750" i="4"/>
  <c r="AC750" i="4"/>
  <c r="AD750" i="4"/>
  <c r="AA751" i="4"/>
  <c r="AB751" i="4"/>
  <c r="AC751" i="4"/>
  <c r="AD751" i="4"/>
  <c r="AA752" i="4"/>
  <c r="AB752" i="4"/>
  <c r="AC752" i="4"/>
  <c r="AD752" i="4"/>
  <c r="AA753" i="4"/>
  <c r="AB753" i="4"/>
  <c r="AC753" i="4"/>
  <c r="AD753" i="4"/>
  <c r="AA754" i="4"/>
  <c r="AB754" i="4"/>
  <c r="AC754" i="4"/>
  <c r="AD754" i="4"/>
  <c r="AA755" i="4"/>
  <c r="AB755" i="4"/>
  <c r="AC755" i="4"/>
  <c r="AD755" i="4"/>
  <c r="AA756" i="4"/>
  <c r="AB756" i="4"/>
  <c r="AC756" i="4"/>
  <c r="AD756" i="4"/>
  <c r="AA757" i="4"/>
  <c r="AB757" i="4"/>
  <c r="AC757" i="4"/>
  <c r="AD757" i="4"/>
  <c r="AA758" i="4"/>
  <c r="AB758" i="4"/>
  <c r="AC758" i="4"/>
  <c r="AD758" i="4"/>
  <c r="AA759" i="4"/>
  <c r="AB759" i="4"/>
  <c r="AC759" i="4"/>
  <c r="AD759" i="4"/>
  <c r="AA760" i="4"/>
  <c r="AB760" i="4"/>
  <c r="AC760" i="4"/>
  <c r="AD760" i="4"/>
  <c r="AA761" i="4"/>
  <c r="AB761" i="4"/>
  <c r="AC761" i="4"/>
  <c r="AD761" i="4"/>
  <c r="AA762" i="4"/>
  <c r="AB762" i="4"/>
  <c r="AC762" i="4"/>
  <c r="AD762" i="4"/>
  <c r="AA763" i="4"/>
  <c r="AB763" i="4"/>
  <c r="AC763" i="4"/>
  <c r="AD763" i="4"/>
  <c r="AA764" i="4"/>
  <c r="AB764" i="4"/>
  <c r="AC764" i="4"/>
  <c r="AD764" i="4"/>
  <c r="AA765" i="4"/>
  <c r="AB765" i="4"/>
  <c r="AC765" i="4"/>
  <c r="AD765" i="4"/>
  <c r="AA766" i="4"/>
  <c r="AB766" i="4"/>
  <c r="AC766" i="4"/>
  <c r="AD766" i="4"/>
  <c r="AA767" i="4"/>
  <c r="AB767" i="4"/>
  <c r="AC767" i="4"/>
  <c r="AD767" i="4"/>
  <c r="AA768" i="4"/>
  <c r="AB768" i="4"/>
  <c r="AC768" i="4"/>
  <c r="AD768" i="4"/>
  <c r="AA769" i="4"/>
  <c r="AB769" i="4"/>
  <c r="AC769" i="4"/>
  <c r="AD769" i="4"/>
  <c r="AA770" i="4"/>
  <c r="AB770" i="4"/>
  <c r="AC770" i="4"/>
  <c r="AD770" i="4"/>
  <c r="AA771" i="4"/>
  <c r="AB771" i="4"/>
  <c r="AC771" i="4"/>
  <c r="AD771" i="4"/>
  <c r="AA772" i="4"/>
  <c r="AB772" i="4"/>
  <c r="AC772" i="4"/>
  <c r="AD772" i="4"/>
  <c r="AA773" i="4"/>
  <c r="AB773" i="4"/>
  <c r="AC773" i="4"/>
  <c r="AD773" i="4"/>
  <c r="AA774" i="4"/>
  <c r="AB774" i="4"/>
  <c r="AC774" i="4"/>
  <c r="AD774" i="4"/>
  <c r="AA775" i="4"/>
  <c r="AB775" i="4"/>
  <c r="AC775" i="4"/>
  <c r="AD775" i="4"/>
  <c r="AA776" i="4"/>
  <c r="AB776" i="4"/>
  <c r="AC776" i="4"/>
  <c r="AD776" i="4"/>
  <c r="AA777" i="4"/>
  <c r="AB777" i="4"/>
  <c r="AC777" i="4"/>
  <c r="AD777" i="4"/>
  <c r="AA778" i="4"/>
  <c r="AB778" i="4"/>
  <c r="AC778" i="4"/>
  <c r="AD778" i="4"/>
  <c r="AA779" i="4"/>
  <c r="AB779" i="4"/>
  <c r="AC779" i="4"/>
  <c r="AD779" i="4"/>
  <c r="AA780" i="4"/>
  <c r="AB780" i="4"/>
  <c r="AC780" i="4"/>
  <c r="AD780" i="4"/>
  <c r="AA781" i="4"/>
  <c r="AB781" i="4"/>
  <c r="AC781" i="4"/>
  <c r="AD781" i="4"/>
  <c r="AA782" i="4"/>
  <c r="AB782" i="4"/>
  <c r="AC782" i="4"/>
  <c r="AD782" i="4"/>
  <c r="AA783" i="4"/>
  <c r="AB783" i="4"/>
  <c r="AC783" i="4"/>
  <c r="AD783" i="4"/>
  <c r="AA784" i="4"/>
  <c r="AB784" i="4"/>
  <c r="AC784" i="4"/>
  <c r="AD784" i="4"/>
  <c r="AA785" i="4"/>
  <c r="AB785" i="4"/>
  <c r="AC785" i="4"/>
  <c r="AD785" i="4"/>
  <c r="AA786" i="4"/>
  <c r="AB786" i="4"/>
  <c r="AC786" i="4"/>
  <c r="AD786" i="4"/>
  <c r="AA787" i="4"/>
  <c r="AB787" i="4"/>
  <c r="AC787" i="4"/>
  <c r="AD787" i="4"/>
  <c r="AA788" i="4"/>
  <c r="AC788" i="4" s="1"/>
  <c r="AB788" i="4"/>
  <c r="AD788" i="4"/>
  <c r="AA789" i="4"/>
  <c r="AB789" i="4"/>
  <c r="AC789" i="4"/>
  <c r="AD789" i="4"/>
  <c r="AA790" i="4"/>
  <c r="AB790" i="4"/>
  <c r="AC790" i="4"/>
  <c r="AD790" i="4"/>
  <c r="AA791" i="4"/>
  <c r="AB791" i="4"/>
  <c r="AC791" i="4"/>
  <c r="AD791" i="4"/>
  <c r="AA792" i="4"/>
  <c r="AB792" i="4"/>
  <c r="AC792" i="4"/>
  <c r="AD792" i="4"/>
  <c r="AA793" i="4"/>
  <c r="AB793" i="4"/>
  <c r="AC793" i="4"/>
  <c r="AD793" i="4"/>
  <c r="AA794" i="4"/>
  <c r="AB794" i="4"/>
  <c r="AC794" i="4"/>
  <c r="AD794" i="4"/>
  <c r="AA795" i="4"/>
  <c r="AB795" i="4"/>
  <c r="AC795" i="4"/>
  <c r="AD795" i="4"/>
  <c r="AA796" i="4"/>
  <c r="AB796" i="4"/>
  <c r="AC796" i="4"/>
  <c r="AD796" i="4"/>
  <c r="AA797" i="4"/>
  <c r="AB797" i="4"/>
  <c r="AC797" i="4"/>
  <c r="AD797" i="4"/>
  <c r="AA798" i="4"/>
  <c r="AC798" i="4" s="1"/>
  <c r="AB798" i="4"/>
  <c r="AD798" i="4"/>
  <c r="AA799" i="4"/>
  <c r="AB799" i="4"/>
  <c r="AC799" i="4"/>
  <c r="AD799" i="4"/>
  <c r="AA800" i="4"/>
  <c r="AC800" i="4" s="1"/>
  <c r="AB800" i="4"/>
  <c r="AD800" i="4"/>
  <c r="AA801" i="4"/>
  <c r="AB801" i="4"/>
  <c r="AC801" i="4"/>
  <c r="AD801" i="4"/>
  <c r="AA802" i="4"/>
  <c r="AC802" i="4" s="1"/>
  <c r="AB802" i="4"/>
  <c r="AD802" i="4"/>
  <c r="AA803" i="4"/>
  <c r="AB803" i="4"/>
  <c r="AC803" i="4"/>
  <c r="AD803" i="4"/>
  <c r="AA804" i="4"/>
  <c r="AC804" i="4" s="1"/>
  <c r="AB804" i="4"/>
  <c r="AD804" i="4"/>
  <c r="AA805" i="4"/>
  <c r="AB805" i="4"/>
  <c r="AC805" i="4"/>
  <c r="AD805" i="4"/>
  <c r="AA806" i="4"/>
  <c r="AC806" i="4" s="1"/>
  <c r="AB806" i="4"/>
  <c r="AD806" i="4"/>
  <c r="AA807" i="4"/>
  <c r="AB807" i="4"/>
  <c r="AC807" i="4"/>
  <c r="AD807" i="4"/>
  <c r="AA808" i="4"/>
  <c r="AC808" i="4" s="1"/>
  <c r="AB808" i="4"/>
  <c r="AD808" i="4"/>
  <c r="AA809" i="4"/>
  <c r="AB809" i="4"/>
  <c r="AC809" i="4"/>
  <c r="AD809" i="4"/>
  <c r="AA810" i="4"/>
  <c r="AC810" i="4" s="1"/>
  <c r="AB810" i="4"/>
  <c r="AD810" i="4"/>
  <c r="AA811" i="4"/>
  <c r="AB811" i="4"/>
  <c r="AC811" i="4"/>
  <c r="AD811" i="4"/>
  <c r="AA812" i="4"/>
  <c r="AC812" i="4" s="1"/>
  <c r="AB812" i="4"/>
  <c r="AD812" i="4"/>
  <c r="AA813" i="4"/>
  <c r="AB813" i="4"/>
  <c r="AC813" i="4"/>
  <c r="AD813" i="4"/>
  <c r="AA814" i="4"/>
  <c r="AC814" i="4" s="1"/>
  <c r="AB814" i="4"/>
  <c r="AD814" i="4"/>
  <c r="AA815" i="4"/>
  <c r="AB815" i="4"/>
  <c r="AC815" i="4"/>
  <c r="AD815" i="4"/>
  <c r="AA816" i="4"/>
  <c r="AC816" i="4" s="1"/>
  <c r="AB816" i="4"/>
  <c r="AD816" i="4"/>
  <c r="AA817" i="4"/>
  <c r="AB817" i="4"/>
  <c r="AC817" i="4"/>
  <c r="AD817" i="4"/>
  <c r="AA818" i="4"/>
  <c r="AC818" i="4" s="1"/>
  <c r="AB818" i="4"/>
  <c r="AD818" i="4"/>
  <c r="AA819" i="4"/>
  <c r="AB819" i="4"/>
  <c r="AC819" i="4"/>
  <c r="AD819" i="4"/>
  <c r="AA820" i="4"/>
  <c r="AC820" i="4" s="1"/>
  <c r="AB820" i="4"/>
  <c r="AD820" i="4"/>
  <c r="AA821" i="4"/>
  <c r="AB821" i="4"/>
  <c r="AC821" i="4"/>
  <c r="AD821" i="4"/>
  <c r="AA822" i="4"/>
  <c r="AC822" i="4" s="1"/>
  <c r="AB822" i="4"/>
  <c r="AD822" i="4"/>
  <c r="AA823" i="4"/>
  <c r="AB823" i="4"/>
  <c r="AC823" i="4"/>
  <c r="AD823" i="4"/>
  <c r="AA824" i="4"/>
  <c r="AC824" i="4" s="1"/>
  <c r="AB824" i="4"/>
  <c r="AD824" i="4"/>
  <c r="AA825" i="4"/>
  <c r="AB825" i="4"/>
  <c r="AC825" i="4"/>
  <c r="AD825" i="4"/>
  <c r="AA826" i="4"/>
  <c r="AC826" i="4" s="1"/>
  <c r="AB826" i="4"/>
  <c r="AD826" i="4"/>
  <c r="AA827" i="4"/>
  <c r="AB827" i="4"/>
  <c r="AC827" i="4"/>
  <c r="AD827" i="4"/>
  <c r="AA828" i="4"/>
  <c r="AC828" i="4" s="1"/>
  <c r="AB828" i="4"/>
  <c r="AD828" i="4"/>
  <c r="AA829" i="4"/>
  <c r="AB829" i="4"/>
  <c r="AC829" i="4"/>
  <c r="AD829" i="4"/>
  <c r="AA830" i="4"/>
  <c r="AC830" i="4" s="1"/>
  <c r="AB830" i="4"/>
  <c r="AD830" i="4"/>
  <c r="AA831" i="4"/>
  <c r="AB831" i="4"/>
  <c r="AC831" i="4"/>
  <c r="AD831" i="4"/>
  <c r="AA832" i="4"/>
  <c r="AC832" i="4" s="1"/>
  <c r="AB832" i="4"/>
  <c r="AD832" i="4"/>
  <c r="AA833" i="4"/>
  <c r="AB833" i="4"/>
  <c r="AC833" i="4"/>
  <c r="AD833" i="4"/>
  <c r="AA834" i="4"/>
  <c r="AC834" i="4" s="1"/>
  <c r="AB834" i="4"/>
  <c r="AD834" i="4"/>
  <c r="AA835" i="4"/>
  <c r="AB835" i="4"/>
  <c r="AC835" i="4"/>
  <c r="AD835" i="4"/>
  <c r="AA836" i="4"/>
  <c r="AC836" i="4" s="1"/>
  <c r="AB836" i="4"/>
  <c r="AD836" i="4"/>
  <c r="AA837" i="4"/>
  <c r="AB837" i="4"/>
  <c r="AC837" i="4"/>
  <c r="AD837" i="4"/>
  <c r="AA838" i="4"/>
  <c r="AC838" i="4" s="1"/>
  <c r="AB838" i="4"/>
  <c r="AD838" i="4"/>
  <c r="AA839" i="4"/>
  <c r="AB839" i="4"/>
  <c r="AC839" i="4"/>
  <c r="AD839" i="4"/>
  <c r="AA840" i="4"/>
  <c r="AC840" i="4" s="1"/>
  <c r="AB840" i="4"/>
  <c r="AD840" i="4"/>
  <c r="AA841" i="4"/>
  <c r="AB841" i="4"/>
  <c r="AC841" i="4"/>
  <c r="AD841" i="4"/>
  <c r="AA842" i="4"/>
  <c r="AC842" i="4" s="1"/>
  <c r="AB842" i="4"/>
  <c r="AD842" i="4"/>
  <c r="AA843" i="4"/>
  <c r="AB843" i="4"/>
  <c r="AC843" i="4"/>
  <c r="AD843" i="4"/>
  <c r="AA844" i="4"/>
  <c r="AC844" i="4" s="1"/>
  <c r="AB844" i="4"/>
  <c r="AD844" i="4"/>
  <c r="AA845" i="4"/>
  <c r="AB845" i="4"/>
  <c r="AC845" i="4"/>
  <c r="AD845" i="4"/>
  <c r="AA846" i="4"/>
  <c r="AC846" i="4" s="1"/>
  <c r="AB846" i="4"/>
  <c r="AD846" i="4"/>
  <c r="AA847" i="4"/>
  <c r="AB847" i="4"/>
  <c r="AC847" i="4"/>
  <c r="AD847" i="4"/>
  <c r="AA848" i="4"/>
  <c r="AC848" i="4" s="1"/>
  <c r="AB848" i="4"/>
  <c r="AD848" i="4"/>
  <c r="AA849" i="4"/>
  <c r="AB849" i="4"/>
  <c r="AC849" i="4"/>
  <c r="AD849" i="4"/>
  <c r="AA850" i="4"/>
  <c r="AC850" i="4" s="1"/>
  <c r="AB850" i="4"/>
  <c r="AD850" i="4"/>
  <c r="AA851" i="4"/>
  <c r="AB851" i="4"/>
  <c r="AC851" i="4"/>
  <c r="AD851" i="4"/>
  <c r="AA852" i="4"/>
  <c r="AC852" i="4" s="1"/>
  <c r="AB852" i="4"/>
  <c r="AD852" i="4"/>
  <c r="AA853" i="4"/>
  <c r="AB853" i="4"/>
  <c r="AC853" i="4"/>
  <c r="AD853" i="4"/>
  <c r="AA854" i="4"/>
  <c r="AC854" i="4" s="1"/>
  <c r="AB854" i="4"/>
  <c r="AD854" i="4"/>
  <c r="AA855" i="4"/>
  <c r="AB855" i="4"/>
  <c r="AC855" i="4"/>
  <c r="AD855" i="4"/>
  <c r="AA856" i="4"/>
  <c r="AC856" i="4" s="1"/>
  <c r="AB856" i="4"/>
  <c r="AD856" i="4"/>
  <c r="AA857" i="4"/>
  <c r="AB857" i="4"/>
  <c r="AC857" i="4"/>
  <c r="AD857" i="4"/>
  <c r="AA858" i="4"/>
  <c r="AC858" i="4" s="1"/>
  <c r="AB858" i="4"/>
  <c r="AD858" i="4"/>
  <c r="AA859" i="4"/>
  <c r="AB859" i="4"/>
  <c r="AC859" i="4"/>
  <c r="AD859" i="4"/>
  <c r="AA860" i="4"/>
  <c r="AC860" i="4" s="1"/>
  <c r="AB860" i="4"/>
  <c r="AD860" i="4"/>
  <c r="AA861" i="4"/>
  <c r="AB861" i="4"/>
  <c r="AC861" i="4"/>
  <c r="AD861" i="4"/>
  <c r="AA862" i="4"/>
  <c r="AC862" i="4" s="1"/>
  <c r="AB862" i="4"/>
  <c r="AD862" i="4"/>
  <c r="AA863" i="4"/>
  <c r="AB863" i="4"/>
  <c r="AC863" i="4"/>
  <c r="AD863" i="4"/>
  <c r="AA864" i="4"/>
  <c r="AC864" i="4" s="1"/>
  <c r="AB864" i="4"/>
  <c r="AD864" i="4"/>
  <c r="AA865" i="4"/>
  <c r="AB865" i="4"/>
  <c r="AC865" i="4"/>
  <c r="AD865" i="4"/>
  <c r="AA866" i="4"/>
  <c r="AC866" i="4" s="1"/>
  <c r="AB866" i="4"/>
  <c r="AD866" i="4"/>
  <c r="AA867" i="4"/>
  <c r="AB867" i="4"/>
  <c r="AC867" i="4"/>
  <c r="AD867" i="4"/>
  <c r="AA868" i="4"/>
  <c r="AC868" i="4" s="1"/>
  <c r="AB868" i="4"/>
  <c r="AD868" i="4"/>
  <c r="AA869" i="4"/>
  <c r="AB869" i="4"/>
  <c r="AC869" i="4"/>
  <c r="AD869" i="4"/>
  <c r="AA870" i="4"/>
  <c r="AC870" i="4" s="1"/>
  <c r="AB870" i="4"/>
  <c r="AD870" i="4"/>
  <c r="AA871" i="4"/>
  <c r="AB871" i="4"/>
  <c r="AC871" i="4"/>
  <c r="AD871" i="4"/>
  <c r="AA872" i="4"/>
  <c r="AC872" i="4" s="1"/>
  <c r="AB872" i="4"/>
  <c r="AD872" i="4"/>
  <c r="AA873" i="4"/>
  <c r="AB873" i="4"/>
  <c r="AC873" i="4"/>
  <c r="AD873" i="4"/>
  <c r="AA874" i="4"/>
  <c r="AC874" i="4" s="1"/>
  <c r="AB874" i="4"/>
  <c r="AD874" i="4"/>
  <c r="AA875" i="4"/>
  <c r="AB875" i="4"/>
  <c r="AC875" i="4"/>
  <c r="AD875" i="4"/>
  <c r="AA876" i="4"/>
  <c r="AC876" i="4" s="1"/>
  <c r="AB876" i="4"/>
  <c r="AD876" i="4"/>
  <c r="AA877" i="4"/>
  <c r="AB877" i="4"/>
  <c r="AC877" i="4"/>
  <c r="AD877" i="4"/>
  <c r="AA878" i="4"/>
  <c r="AC878" i="4" s="1"/>
  <c r="AB878" i="4"/>
  <c r="AD878" i="4"/>
  <c r="AA879" i="4"/>
  <c r="AB879" i="4"/>
  <c r="AC879" i="4"/>
  <c r="AD879" i="4"/>
  <c r="AA880" i="4"/>
  <c r="AC880" i="4" s="1"/>
  <c r="AB880" i="4"/>
  <c r="AD880" i="4"/>
  <c r="AA881" i="4"/>
  <c r="AB881" i="4"/>
  <c r="AC881" i="4"/>
  <c r="AD881" i="4"/>
  <c r="AA882" i="4"/>
  <c r="AC882" i="4" s="1"/>
  <c r="AB882" i="4"/>
  <c r="AD882" i="4"/>
  <c r="AA883" i="4"/>
  <c r="AB883" i="4"/>
  <c r="AC883" i="4"/>
  <c r="AD883" i="4"/>
  <c r="AA884" i="4"/>
  <c r="AC884" i="4" s="1"/>
  <c r="AB884" i="4"/>
  <c r="AD884" i="4"/>
  <c r="AA885" i="4"/>
  <c r="AB885" i="4"/>
  <c r="AC885" i="4"/>
  <c r="AD885" i="4"/>
  <c r="AA886" i="4"/>
  <c r="AC886" i="4" s="1"/>
  <c r="AB886" i="4"/>
  <c r="AD886" i="4"/>
  <c r="AA887" i="4"/>
  <c r="AB887" i="4"/>
  <c r="AC887" i="4"/>
  <c r="AD887" i="4"/>
  <c r="AA888" i="4"/>
  <c r="AC888" i="4" s="1"/>
  <c r="AB888" i="4"/>
  <c r="AD888" i="4"/>
  <c r="AA889" i="4"/>
  <c r="AB889" i="4"/>
  <c r="AC889" i="4"/>
  <c r="AD889" i="4"/>
  <c r="AA890" i="4"/>
  <c r="AC890" i="4" s="1"/>
  <c r="AB890" i="4"/>
  <c r="AD890" i="4"/>
  <c r="AA891" i="4"/>
  <c r="AB891" i="4"/>
  <c r="AC891" i="4"/>
  <c r="AD891" i="4"/>
  <c r="AA892" i="4"/>
  <c r="AC892" i="4" s="1"/>
  <c r="AB892" i="4"/>
  <c r="AD892" i="4"/>
  <c r="AA893" i="4"/>
  <c r="AB893" i="4"/>
  <c r="AC893" i="4"/>
  <c r="AD893" i="4"/>
  <c r="AA894" i="4"/>
  <c r="AC894" i="4" s="1"/>
  <c r="AB894" i="4"/>
  <c r="AD894" i="4"/>
  <c r="AA895" i="4"/>
  <c r="AB895" i="4"/>
  <c r="AC895" i="4"/>
  <c r="AD895" i="4"/>
  <c r="AA896" i="4"/>
  <c r="AC896" i="4" s="1"/>
  <c r="AB896" i="4"/>
  <c r="AD896" i="4"/>
  <c r="AA897" i="4"/>
  <c r="AB897" i="4"/>
  <c r="AC897" i="4"/>
  <c r="AD897" i="4"/>
  <c r="AA898" i="4"/>
  <c r="AC898" i="4" s="1"/>
  <c r="AB898" i="4"/>
  <c r="AD898" i="4"/>
  <c r="AA899" i="4"/>
  <c r="AB899" i="4"/>
  <c r="AC899" i="4"/>
  <c r="AD899" i="4"/>
  <c r="AA900" i="4"/>
  <c r="AC900" i="4" s="1"/>
  <c r="AB900" i="4"/>
  <c r="AD900" i="4"/>
  <c r="AA901" i="4"/>
  <c r="AB901" i="4"/>
  <c r="AC901" i="4"/>
  <c r="AD901" i="4"/>
  <c r="AA902" i="4"/>
  <c r="AC902" i="4" s="1"/>
  <c r="AB902" i="4"/>
  <c r="AD902" i="4"/>
  <c r="AA903" i="4"/>
  <c r="AB903" i="4"/>
  <c r="AC903" i="4"/>
  <c r="AD903" i="4"/>
  <c r="AA904" i="4"/>
  <c r="AC904" i="4" s="1"/>
  <c r="AB904" i="4"/>
  <c r="AD904" i="4"/>
  <c r="AA905" i="4"/>
  <c r="AB905" i="4"/>
  <c r="AC905" i="4"/>
  <c r="AD905" i="4"/>
  <c r="AA906" i="4"/>
  <c r="AC906" i="4" s="1"/>
  <c r="AB906" i="4"/>
  <c r="AD906" i="4"/>
  <c r="AA907" i="4"/>
  <c r="AB907" i="4"/>
  <c r="AC907" i="4"/>
  <c r="AD907" i="4"/>
  <c r="AA908" i="4"/>
  <c r="AC908" i="4" s="1"/>
  <c r="AB908" i="4"/>
  <c r="AD908" i="4"/>
  <c r="AA909" i="4"/>
  <c r="AB909" i="4"/>
  <c r="AC909" i="4"/>
  <c r="AD909" i="4"/>
  <c r="AA910" i="4"/>
  <c r="AC910" i="4" s="1"/>
  <c r="AB910" i="4"/>
  <c r="AD910" i="4"/>
  <c r="AA911" i="4"/>
  <c r="AB911" i="4"/>
  <c r="AC911" i="4"/>
  <c r="AD911" i="4"/>
  <c r="AA912" i="4"/>
  <c r="AC912" i="4" s="1"/>
  <c r="AB912" i="4"/>
  <c r="AD912" i="4"/>
  <c r="AA913" i="4"/>
  <c r="AB913" i="4"/>
  <c r="AC913" i="4"/>
  <c r="AD913" i="4"/>
  <c r="AA914" i="4"/>
  <c r="AC914" i="4" s="1"/>
  <c r="AB914" i="4"/>
  <c r="AD914" i="4"/>
  <c r="AA915" i="4"/>
  <c r="AB915" i="4"/>
  <c r="AC915" i="4"/>
  <c r="AD915" i="4"/>
  <c r="AA916" i="4"/>
  <c r="AC916" i="4" s="1"/>
  <c r="AB916" i="4"/>
  <c r="AD916" i="4"/>
  <c r="AA917" i="4"/>
  <c r="AB917" i="4"/>
  <c r="AC917" i="4"/>
  <c r="AD917" i="4"/>
  <c r="AA918" i="4"/>
  <c r="AC918" i="4" s="1"/>
  <c r="AB918" i="4"/>
  <c r="AD918" i="4"/>
  <c r="AA919" i="4"/>
  <c r="AB919" i="4"/>
  <c r="AC919" i="4"/>
  <c r="AD919" i="4"/>
  <c r="AA920" i="4"/>
  <c r="AC920" i="4" s="1"/>
  <c r="AB920" i="4"/>
  <c r="AD920" i="4"/>
  <c r="AA921" i="4"/>
  <c r="AB921" i="4"/>
  <c r="AC921" i="4"/>
  <c r="AD921" i="4"/>
  <c r="AA922" i="4"/>
  <c r="AC922" i="4" s="1"/>
  <c r="AB922" i="4"/>
  <c r="AD922" i="4"/>
  <c r="AA923" i="4"/>
  <c r="AB923" i="4"/>
  <c r="AC923" i="4"/>
  <c r="AD923" i="4"/>
  <c r="AA924" i="4"/>
  <c r="AC924" i="4" s="1"/>
  <c r="AB924" i="4"/>
  <c r="AD924" i="4"/>
  <c r="AA925" i="4"/>
  <c r="AB925" i="4"/>
  <c r="AC925" i="4"/>
  <c r="AD925" i="4"/>
  <c r="AA926" i="4"/>
  <c r="AC926" i="4" s="1"/>
  <c r="AB926" i="4"/>
  <c r="AD926" i="4"/>
  <c r="AA927" i="4"/>
  <c r="AB927" i="4"/>
  <c r="AC927" i="4"/>
  <c r="AD927" i="4"/>
  <c r="AA928" i="4"/>
  <c r="AC928" i="4" s="1"/>
  <c r="AB928" i="4"/>
  <c r="AD928" i="4"/>
  <c r="AA929" i="4"/>
  <c r="AB929" i="4"/>
  <c r="AC929" i="4"/>
  <c r="AD929" i="4"/>
  <c r="AA930" i="4"/>
  <c r="AC930" i="4" s="1"/>
  <c r="AB930" i="4"/>
  <c r="AD930" i="4"/>
  <c r="AA931" i="4"/>
  <c r="AB931" i="4"/>
  <c r="AC931" i="4"/>
  <c r="AD931" i="4"/>
  <c r="AA932" i="4"/>
  <c r="AC932" i="4" s="1"/>
  <c r="AB932" i="4"/>
  <c r="AD932" i="4"/>
  <c r="AA933" i="4"/>
  <c r="AB933" i="4"/>
  <c r="AC933" i="4"/>
  <c r="AD933" i="4"/>
  <c r="AA934" i="4"/>
  <c r="AC934" i="4" s="1"/>
  <c r="AB934" i="4"/>
  <c r="AD934" i="4"/>
  <c r="AA935" i="4"/>
  <c r="AB935" i="4"/>
  <c r="AC935" i="4"/>
  <c r="AD935" i="4"/>
  <c r="AA936" i="4"/>
  <c r="AC936" i="4" s="1"/>
  <c r="AB936" i="4"/>
  <c r="AD936" i="4"/>
  <c r="AA937" i="4"/>
  <c r="AB937" i="4"/>
  <c r="AC937" i="4"/>
  <c r="AD937" i="4"/>
  <c r="AA938" i="4"/>
  <c r="AC938" i="4" s="1"/>
  <c r="AB938" i="4"/>
  <c r="AD938" i="4"/>
  <c r="AA939" i="4"/>
  <c r="AB939" i="4"/>
  <c r="AC939" i="4"/>
  <c r="AD939" i="4"/>
  <c r="AA940" i="4"/>
  <c r="AC940" i="4" s="1"/>
  <c r="AB940" i="4"/>
  <c r="AD940" i="4"/>
  <c r="AA941" i="4"/>
  <c r="AB941" i="4"/>
  <c r="AC941" i="4"/>
  <c r="AD941" i="4"/>
  <c r="AA942" i="4"/>
  <c r="AC942" i="4" s="1"/>
  <c r="AB942" i="4"/>
  <c r="AD942" i="4"/>
  <c r="AA943" i="4"/>
  <c r="AB943" i="4"/>
  <c r="AC943" i="4"/>
  <c r="AD943" i="4"/>
  <c r="AA944" i="4"/>
  <c r="AC944" i="4" s="1"/>
  <c r="AB944" i="4"/>
  <c r="AD944" i="4"/>
  <c r="AA945" i="4"/>
  <c r="AB945" i="4"/>
  <c r="AC945" i="4"/>
  <c r="AD945" i="4"/>
  <c r="AA946" i="4"/>
  <c r="AC946" i="4" s="1"/>
  <c r="AB946" i="4"/>
  <c r="AD946" i="4"/>
  <c r="AA947" i="4"/>
  <c r="AB947" i="4"/>
  <c r="AC947" i="4"/>
  <c r="AD947" i="4"/>
  <c r="AA948" i="4"/>
  <c r="AC948" i="4" s="1"/>
  <c r="AB948" i="4"/>
  <c r="AD948" i="4"/>
  <c r="AA949" i="4"/>
  <c r="AB949" i="4"/>
  <c r="AC949" i="4"/>
  <c r="AD949" i="4"/>
  <c r="AA950" i="4"/>
  <c r="AC950" i="4" s="1"/>
  <c r="AB950" i="4"/>
  <c r="AD950" i="4"/>
  <c r="AA951" i="4"/>
  <c r="AB951" i="4"/>
  <c r="AC951" i="4"/>
  <c r="AD951" i="4"/>
  <c r="AA952" i="4"/>
  <c r="AC952" i="4" s="1"/>
  <c r="AB952" i="4"/>
  <c r="AD952" i="4"/>
  <c r="AA953" i="4"/>
  <c r="AB953" i="4"/>
  <c r="AC953" i="4"/>
  <c r="AD953" i="4"/>
  <c r="AA954" i="4"/>
  <c r="AC954" i="4" s="1"/>
  <c r="AB954" i="4"/>
  <c r="AD954" i="4"/>
  <c r="AA955" i="4"/>
  <c r="AB955" i="4"/>
  <c r="AC955" i="4"/>
  <c r="AD955" i="4"/>
  <c r="AA956" i="4"/>
  <c r="AC956" i="4" s="1"/>
  <c r="AB956" i="4"/>
  <c r="AD956" i="4"/>
  <c r="AA957" i="4"/>
  <c r="AB957" i="4"/>
  <c r="AC957" i="4"/>
  <c r="AD957" i="4"/>
  <c r="AA958" i="4"/>
  <c r="AC958" i="4" s="1"/>
  <c r="AB958" i="4"/>
  <c r="AD958" i="4"/>
  <c r="AA959" i="4"/>
  <c r="AB959" i="4"/>
  <c r="AC959" i="4"/>
  <c r="AD959" i="4"/>
  <c r="AA960" i="4"/>
  <c r="AC960" i="4" s="1"/>
  <c r="AB960" i="4"/>
  <c r="AD960" i="4"/>
  <c r="AA961" i="4"/>
  <c r="AB961" i="4"/>
  <c r="AC961" i="4"/>
  <c r="AD961" i="4"/>
  <c r="AA962" i="4"/>
  <c r="AC962" i="4" s="1"/>
  <c r="AB962" i="4"/>
  <c r="AD962" i="4"/>
  <c r="AA963" i="4"/>
  <c r="AB963" i="4"/>
  <c r="AC963" i="4"/>
  <c r="AD963" i="4"/>
  <c r="AA964" i="4"/>
  <c r="AC964" i="4" s="1"/>
  <c r="AB964" i="4"/>
  <c r="AD964" i="4"/>
  <c r="AA965" i="4"/>
  <c r="AB965" i="4"/>
  <c r="AC965" i="4"/>
  <c r="AD965" i="4"/>
  <c r="AA966" i="4"/>
  <c r="AB966" i="4"/>
  <c r="AC966" i="4"/>
  <c r="AD966" i="4"/>
  <c r="AA967" i="4"/>
  <c r="AB967" i="4"/>
  <c r="AC967" i="4"/>
  <c r="AD967" i="4"/>
  <c r="AA968" i="4"/>
  <c r="AB968" i="4"/>
  <c r="AC968" i="4"/>
  <c r="AD968" i="4"/>
  <c r="AA969" i="4"/>
  <c r="AB969" i="4"/>
  <c r="AC969" i="4"/>
  <c r="AD969" i="4"/>
  <c r="AA970" i="4"/>
  <c r="AB970" i="4"/>
  <c r="AC970" i="4"/>
  <c r="AD970" i="4"/>
  <c r="AA971" i="4"/>
  <c r="AB971" i="4"/>
  <c r="AC971" i="4"/>
  <c r="AD971" i="4"/>
  <c r="AA972" i="4"/>
  <c r="AB972" i="4"/>
  <c r="AC972" i="4"/>
  <c r="AD972" i="4"/>
  <c r="AA973" i="4"/>
  <c r="AB973" i="4"/>
  <c r="AC973" i="4"/>
  <c r="AD973" i="4"/>
  <c r="AA974" i="4"/>
  <c r="AB974" i="4"/>
  <c r="AC974" i="4"/>
  <c r="AD974" i="4"/>
  <c r="AA975" i="4"/>
  <c r="AB975" i="4"/>
  <c r="AC975" i="4"/>
  <c r="AD975" i="4"/>
  <c r="AA976" i="4"/>
  <c r="AB976" i="4"/>
  <c r="AC976" i="4"/>
  <c r="AD976" i="4"/>
  <c r="AA977" i="4"/>
  <c r="AB977" i="4"/>
  <c r="AC977" i="4"/>
  <c r="AD977" i="4"/>
  <c r="AA978" i="4"/>
  <c r="AB978" i="4"/>
  <c r="AC978" i="4"/>
  <c r="AD978" i="4"/>
  <c r="AA979" i="4"/>
  <c r="AB979" i="4"/>
  <c r="AC979" i="4"/>
  <c r="AD979" i="4"/>
  <c r="AA980" i="4"/>
  <c r="AB980" i="4"/>
  <c r="AC980" i="4"/>
  <c r="AD980" i="4"/>
  <c r="AA981" i="4"/>
  <c r="AB981" i="4"/>
  <c r="AC981" i="4"/>
  <c r="AD981" i="4"/>
  <c r="AA982" i="4"/>
  <c r="AB982" i="4"/>
  <c r="AC982" i="4"/>
  <c r="AD982" i="4"/>
  <c r="AA983" i="4"/>
  <c r="AB983" i="4"/>
  <c r="AC983" i="4"/>
  <c r="AD983" i="4"/>
  <c r="AA984" i="4"/>
  <c r="AB984" i="4"/>
  <c r="AC984" i="4"/>
  <c r="AD984" i="4"/>
  <c r="AA985" i="4"/>
  <c r="AB985" i="4"/>
  <c r="AC985" i="4"/>
  <c r="AD985" i="4"/>
  <c r="AA986" i="4"/>
  <c r="AB986" i="4"/>
  <c r="AC986" i="4"/>
  <c r="AD986" i="4"/>
  <c r="AA987" i="4"/>
  <c r="AB987" i="4"/>
  <c r="AC987" i="4"/>
  <c r="AD987" i="4"/>
  <c r="AA988" i="4"/>
  <c r="AB988" i="4"/>
  <c r="AC988" i="4"/>
  <c r="AD988" i="4"/>
  <c r="AA989" i="4"/>
  <c r="AB989" i="4"/>
  <c r="AC989" i="4"/>
  <c r="AD989" i="4"/>
  <c r="AA990" i="4"/>
  <c r="AB990" i="4"/>
  <c r="AC990" i="4"/>
  <c r="AD990" i="4"/>
  <c r="AA991" i="4"/>
  <c r="AB991" i="4"/>
  <c r="AC991" i="4"/>
  <c r="AD991" i="4"/>
  <c r="AA992" i="4"/>
  <c r="AB992" i="4"/>
  <c r="AC992" i="4"/>
  <c r="AD992" i="4"/>
  <c r="AA993" i="4"/>
  <c r="AB993" i="4"/>
  <c r="AC993" i="4"/>
  <c r="AD993" i="4"/>
  <c r="AA994" i="4"/>
  <c r="AB994" i="4"/>
  <c r="AC994" i="4"/>
  <c r="AD994" i="4"/>
  <c r="AA995" i="4"/>
  <c r="AB995" i="4"/>
  <c r="AC995" i="4"/>
  <c r="AD995" i="4"/>
  <c r="AA996" i="4"/>
  <c r="AB996" i="4"/>
  <c r="AC996" i="4"/>
  <c r="AD996" i="4"/>
  <c r="AA997" i="4"/>
  <c r="AB997" i="4"/>
  <c r="AC997" i="4"/>
  <c r="AD997" i="4"/>
  <c r="AA998" i="4"/>
  <c r="AB998" i="4"/>
  <c r="AC998" i="4"/>
  <c r="AD998" i="4"/>
  <c r="AA999" i="4"/>
  <c r="AB999" i="4"/>
  <c r="AC999" i="4"/>
  <c r="AD999" i="4"/>
  <c r="AA1000" i="4"/>
  <c r="AB1000" i="4"/>
  <c r="AC1000" i="4"/>
  <c r="AD1000" i="4"/>
  <c r="AA1001" i="4"/>
  <c r="AB1001" i="4"/>
  <c r="AC1001" i="4"/>
  <c r="AD1001" i="4"/>
  <c r="AA1002" i="4"/>
  <c r="AB1002" i="4"/>
  <c r="AC1002" i="4"/>
  <c r="AD1002" i="4"/>
  <c r="AA1003" i="4"/>
  <c r="AB1003" i="4"/>
  <c r="AC1003" i="4"/>
  <c r="AD1003" i="4"/>
  <c r="AA1004" i="4"/>
  <c r="AB1004" i="4"/>
  <c r="AC1004" i="4"/>
  <c r="AD1004" i="4"/>
  <c r="AA1005" i="4"/>
  <c r="AB1005" i="4"/>
  <c r="AC1005" i="4"/>
  <c r="AD1005" i="4"/>
  <c r="AA1006" i="4"/>
  <c r="AB1006" i="4"/>
  <c r="AC1006" i="4"/>
  <c r="AD1006" i="4"/>
  <c r="AA1007" i="4"/>
  <c r="AB1007" i="4"/>
  <c r="AC1007" i="4"/>
  <c r="AD1007" i="4"/>
  <c r="AA1008" i="4"/>
  <c r="AB1008" i="4"/>
  <c r="AC1008" i="4"/>
  <c r="AD1008" i="4"/>
  <c r="AA1009" i="4"/>
  <c r="AB1009" i="4"/>
  <c r="AC1009" i="4"/>
  <c r="AD1009" i="4"/>
  <c r="AA1010" i="4"/>
  <c r="AB1010" i="4"/>
  <c r="AC1010" i="4"/>
  <c r="AD1010" i="4"/>
  <c r="AA1011" i="4"/>
  <c r="AB1011" i="4"/>
  <c r="AC1011" i="4"/>
  <c r="AD1011" i="4"/>
  <c r="AA1012" i="4"/>
  <c r="AB1012" i="4"/>
  <c r="AC1012" i="4"/>
  <c r="AD1012" i="4"/>
  <c r="AA1013" i="4"/>
  <c r="AB1013" i="4"/>
  <c r="AC1013" i="4"/>
  <c r="AD1013" i="4"/>
  <c r="AA1014" i="4"/>
  <c r="AB1014" i="4"/>
  <c r="AC1014" i="4"/>
  <c r="AD1014" i="4"/>
  <c r="AA1015" i="4"/>
  <c r="AB1015" i="4"/>
  <c r="AC1015" i="4"/>
  <c r="AD1015" i="4"/>
  <c r="AA1016" i="4"/>
  <c r="AB1016" i="4"/>
  <c r="AC1016" i="4"/>
  <c r="AD1016" i="4"/>
  <c r="AA1017" i="4"/>
  <c r="AB1017" i="4"/>
  <c r="AC1017" i="4"/>
  <c r="AD1017" i="4"/>
  <c r="AA1018" i="4"/>
  <c r="AB1018" i="4"/>
  <c r="AC1018" i="4"/>
  <c r="AD1018" i="4"/>
  <c r="AA1019" i="4"/>
  <c r="AB1019" i="4"/>
  <c r="AC1019" i="4"/>
  <c r="AD1019" i="4"/>
  <c r="AA1020" i="4"/>
  <c r="AB1020" i="4"/>
  <c r="AC1020" i="4"/>
  <c r="AD1020" i="4"/>
  <c r="AA1021" i="4"/>
  <c r="AB1021" i="4"/>
  <c r="AC1021" i="4"/>
  <c r="AD1021" i="4"/>
  <c r="AA1022" i="4"/>
  <c r="AB1022" i="4"/>
  <c r="AC1022" i="4"/>
  <c r="AD1022" i="4"/>
  <c r="AA1023" i="4"/>
  <c r="AB1023" i="4"/>
  <c r="AC1023" i="4"/>
  <c r="AD1023" i="4"/>
  <c r="AA1024" i="4"/>
  <c r="AB1024" i="4"/>
  <c r="AC1024" i="4"/>
  <c r="AD1024" i="4"/>
  <c r="AA1025" i="4"/>
  <c r="AB1025" i="4"/>
  <c r="AC1025" i="4"/>
  <c r="AD1025" i="4"/>
  <c r="AA1026" i="4"/>
  <c r="AB1026" i="4"/>
  <c r="AC1026" i="4"/>
  <c r="AD1026" i="4"/>
  <c r="AA1027" i="4"/>
  <c r="AB1027" i="4"/>
  <c r="AC1027" i="4"/>
  <c r="AD1027" i="4"/>
  <c r="AA1028" i="4"/>
  <c r="AB1028" i="4"/>
  <c r="AC1028" i="4"/>
  <c r="AD1028" i="4"/>
  <c r="AA1029" i="4"/>
  <c r="AB1029" i="4"/>
  <c r="AC1029" i="4"/>
  <c r="AD1029" i="4"/>
  <c r="AA1030" i="4"/>
  <c r="AB1030" i="4"/>
  <c r="AC1030" i="4"/>
  <c r="AD1030" i="4"/>
  <c r="AA1031" i="4"/>
  <c r="AB1031" i="4"/>
  <c r="AC1031" i="4"/>
  <c r="AD1031" i="4"/>
  <c r="AA1032" i="4"/>
  <c r="AB1032" i="4"/>
  <c r="AC1032" i="4"/>
  <c r="AD1032" i="4"/>
  <c r="AA1033" i="4"/>
  <c r="AB1033" i="4"/>
  <c r="AC1033" i="4"/>
  <c r="AD1033" i="4"/>
  <c r="AA1034" i="4"/>
  <c r="AB1034" i="4"/>
  <c r="AC1034" i="4"/>
  <c r="AD1034" i="4"/>
  <c r="AA1035" i="4"/>
  <c r="AB1035" i="4"/>
  <c r="AC1035" i="4"/>
  <c r="AD1035" i="4"/>
  <c r="AA1036" i="4"/>
  <c r="AB1036" i="4"/>
  <c r="AC1036" i="4"/>
  <c r="AD1036" i="4"/>
  <c r="AA1037" i="4"/>
  <c r="AB1037" i="4"/>
  <c r="AC1037" i="4"/>
  <c r="AD1037" i="4"/>
  <c r="AA1038" i="4"/>
  <c r="AB1038" i="4"/>
  <c r="AC1038" i="4"/>
  <c r="AD1038" i="4"/>
  <c r="AA1039" i="4"/>
  <c r="AB1039" i="4"/>
  <c r="AC1039" i="4"/>
  <c r="AD1039" i="4"/>
  <c r="AA1040" i="4"/>
  <c r="AB1040" i="4"/>
  <c r="AC1040" i="4"/>
  <c r="AD1040" i="4"/>
  <c r="AA1041" i="4"/>
  <c r="AB1041" i="4"/>
  <c r="AC1041" i="4"/>
  <c r="AD1041" i="4"/>
  <c r="AA1042" i="4"/>
  <c r="AB1042" i="4"/>
  <c r="AC1042" i="4"/>
  <c r="AD1042" i="4"/>
  <c r="AA1043" i="4"/>
  <c r="AB1043" i="4"/>
  <c r="AC1043" i="4"/>
  <c r="AD1043" i="4"/>
  <c r="AA1044" i="4"/>
  <c r="AB1044" i="4"/>
  <c r="AC1044" i="4"/>
  <c r="AD1044" i="4"/>
  <c r="AA1045" i="4"/>
  <c r="AB1045" i="4"/>
  <c r="AC1045" i="4"/>
  <c r="AD1045" i="4"/>
  <c r="AD2" i="4"/>
  <c r="AC2" i="4"/>
  <c r="AB2" i="4"/>
  <c r="AA2" i="4"/>
  <c r="W3" i="4" a="1"/>
  <c r="W3" i="4" s="1"/>
  <c r="W4" i="4" a="1"/>
  <c r="W4" i="4" s="1"/>
  <c r="W5" i="4" a="1"/>
  <c r="W5" i="4" s="1"/>
  <c r="W6" i="4" a="1"/>
  <c r="W6" i="4" s="1"/>
  <c r="W7" i="4" a="1"/>
  <c r="W7" i="4" s="1"/>
  <c r="W8" i="4" a="1"/>
  <c r="W8" i="4" s="1"/>
  <c r="W9" i="4" a="1"/>
  <c r="W9" i="4" s="1"/>
  <c r="W10" i="4" a="1"/>
  <c r="W10" i="4" s="1"/>
  <c r="W11" i="4" a="1"/>
  <c r="W11" i="4" s="1"/>
  <c r="W12" i="4" a="1"/>
  <c r="W12" i="4" s="1"/>
  <c r="W13" i="4" a="1"/>
  <c r="W13" i="4" s="1"/>
  <c r="W14" i="4" a="1"/>
  <c r="W14" i="4" s="1"/>
  <c r="W15" i="4" a="1"/>
  <c r="W15" i="4" s="1"/>
  <c r="W16" i="4" a="1"/>
  <c r="W16" i="4" s="1"/>
  <c r="W17" i="4" a="1"/>
  <c r="W17" i="4" s="1"/>
  <c r="W18" i="4" a="1"/>
  <c r="W18" i="4"/>
  <c r="W19" i="4" a="1"/>
  <c r="W19" i="4" s="1"/>
  <c r="W20" i="4" a="1"/>
  <c r="W20" i="4" s="1"/>
  <c r="W21" i="4" a="1"/>
  <c r="W21" i="4" s="1"/>
  <c r="W22" i="4" a="1"/>
  <c r="W22" i="4"/>
  <c r="W23" i="4" a="1"/>
  <c r="W23" i="4" s="1"/>
  <c r="W24" i="4" a="1"/>
  <c r="W24" i="4" s="1"/>
  <c r="W25" i="4" a="1"/>
  <c r="W25" i="4" s="1"/>
  <c r="W26" i="4" a="1"/>
  <c r="W26" i="4" s="1"/>
  <c r="W27" i="4" a="1"/>
  <c r="W27" i="4" s="1"/>
  <c r="W28" i="4" a="1"/>
  <c r="W28" i="4" s="1"/>
  <c r="W29" i="4" a="1"/>
  <c r="W29" i="4" s="1"/>
  <c r="W30" i="4" a="1"/>
  <c r="W30" i="4" s="1"/>
  <c r="W31" i="4" a="1"/>
  <c r="W31" i="4" s="1"/>
  <c r="W32" i="4" a="1"/>
  <c r="W32" i="4" s="1"/>
  <c r="W33" i="4" a="1"/>
  <c r="W33" i="4" s="1"/>
  <c r="W34" i="4" a="1"/>
  <c r="W34" i="4"/>
  <c r="W35" i="4" a="1"/>
  <c r="W35" i="4" s="1"/>
  <c r="W36" i="4" a="1"/>
  <c r="W36" i="4" s="1"/>
  <c r="W37" i="4" a="1"/>
  <c r="W37" i="4" s="1"/>
  <c r="W38" i="4" a="1"/>
  <c r="W38" i="4" s="1"/>
  <c r="W39" i="4" a="1"/>
  <c r="W39" i="4" s="1"/>
  <c r="W40" i="4" a="1"/>
  <c r="W40" i="4" s="1"/>
  <c r="W41" i="4" a="1"/>
  <c r="W41" i="4" s="1"/>
  <c r="W42" i="4" a="1"/>
  <c r="W42" i="4" s="1"/>
  <c r="W43" i="4" a="1"/>
  <c r="W43" i="4" s="1"/>
  <c r="W44" i="4" a="1"/>
  <c r="W44" i="4" s="1"/>
  <c r="W45" i="4" a="1"/>
  <c r="W45" i="4" s="1"/>
  <c r="W46" i="4" a="1"/>
  <c r="W46" i="4" s="1"/>
  <c r="W47" i="4" a="1"/>
  <c r="W47" i="4" s="1"/>
  <c r="W48" i="4" a="1"/>
  <c r="W48" i="4" s="1"/>
  <c r="W49" i="4" a="1"/>
  <c r="W49" i="4" s="1"/>
  <c r="W50" i="4" a="1"/>
  <c r="W50" i="4"/>
  <c r="W51" i="4" a="1"/>
  <c r="W51" i="4" s="1"/>
  <c r="W52" i="4" a="1"/>
  <c r="W52" i="4" s="1"/>
  <c r="W53" i="4" a="1"/>
  <c r="W53" i="4" s="1"/>
  <c r="W54" i="4" a="1"/>
  <c r="W54" i="4"/>
  <c r="W55" i="4" a="1"/>
  <c r="W55" i="4" s="1"/>
  <c r="W56" i="4" a="1"/>
  <c r="W56" i="4" s="1"/>
  <c r="W57" i="4" a="1"/>
  <c r="W57" i="4" s="1"/>
  <c r="W58" i="4" a="1"/>
  <c r="W58" i="4"/>
  <c r="W59" i="4" a="1"/>
  <c r="W59" i="4" s="1"/>
  <c r="W60" i="4" a="1"/>
  <c r="W60" i="4" s="1"/>
  <c r="W61" i="4" a="1"/>
  <c r="W61" i="4" s="1"/>
  <c r="W62" i="4" a="1"/>
  <c r="W62" i="4" s="1"/>
  <c r="W63" i="4" a="1"/>
  <c r="W63" i="4" s="1"/>
  <c r="W64" i="4" a="1"/>
  <c r="W64" i="4" s="1"/>
  <c r="W65" i="4" a="1"/>
  <c r="W65" i="4" s="1"/>
  <c r="W66" i="4" a="1"/>
  <c r="W66" i="4"/>
  <c r="W67" i="4" a="1"/>
  <c r="W67" i="4" s="1"/>
  <c r="W68" i="4" a="1"/>
  <c r="W68" i="4" s="1"/>
  <c r="W69" i="4" a="1"/>
  <c r="W69" i="4" s="1"/>
  <c r="W70" i="4" a="1"/>
  <c r="W70" i="4" s="1"/>
  <c r="W71" i="4" a="1"/>
  <c r="W71" i="4" s="1"/>
  <c r="W72" i="4" a="1"/>
  <c r="W72" i="4" s="1"/>
  <c r="W73" i="4" a="1"/>
  <c r="W73" i="4" s="1"/>
  <c r="W74" i="4" a="1"/>
  <c r="W74" i="4" s="1"/>
  <c r="W75" i="4" a="1"/>
  <c r="W75" i="4" s="1"/>
  <c r="W76" i="4" a="1"/>
  <c r="W76" i="4" s="1"/>
  <c r="W77" i="4" a="1"/>
  <c r="W77" i="4" s="1"/>
  <c r="W78" i="4" a="1"/>
  <c r="W78" i="4" s="1"/>
  <c r="W79" i="4" a="1"/>
  <c r="W79" i="4" s="1"/>
  <c r="W80" i="4" a="1"/>
  <c r="W80" i="4" s="1"/>
  <c r="W81" i="4" a="1"/>
  <c r="W81" i="4" s="1"/>
  <c r="W82" i="4" a="1"/>
  <c r="W82" i="4"/>
  <c r="W83" i="4" a="1"/>
  <c r="W83" i="4" s="1"/>
  <c r="W84" i="4" a="1"/>
  <c r="W84" i="4" s="1"/>
  <c r="W85" i="4" a="1"/>
  <c r="W85" i="4" s="1"/>
  <c r="W86" i="4" a="1"/>
  <c r="W86" i="4"/>
  <c r="W87" i="4" a="1"/>
  <c r="W87" i="4" s="1"/>
  <c r="W88" i="4" a="1"/>
  <c r="W88" i="4" s="1"/>
  <c r="W89" i="4" a="1"/>
  <c r="W89" i="4" s="1"/>
  <c r="W90" i="4" a="1"/>
  <c r="W90" i="4"/>
  <c r="W91" i="4" a="1"/>
  <c r="W91" i="4" s="1"/>
  <c r="W92" i="4" a="1"/>
  <c r="W92" i="4" s="1"/>
  <c r="W93" i="4" a="1"/>
  <c r="W93" i="4" s="1"/>
  <c r="W94" i="4" a="1"/>
  <c r="W94" i="4" s="1"/>
  <c r="W95" i="4" a="1"/>
  <c r="W95" i="4" s="1"/>
  <c r="W96" i="4" a="1"/>
  <c r="W96" i="4" s="1"/>
  <c r="W97" i="4" a="1"/>
  <c r="W97" i="4" s="1"/>
  <c r="W98" i="4" a="1"/>
  <c r="W98" i="4"/>
  <c r="W99" i="4" a="1"/>
  <c r="W99" i="4" s="1"/>
  <c r="W100" i="4" a="1"/>
  <c r="W100" i="4" s="1"/>
  <c r="W101" i="4" a="1"/>
  <c r="W101" i="4" s="1"/>
  <c r="W102" i="4" a="1"/>
  <c r="W102" i="4" s="1"/>
  <c r="W103" i="4" a="1"/>
  <c r="W103" i="4" s="1"/>
  <c r="W104" i="4" a="1"/>
  <c r="W104" i="4" s="1"/>
  <c r="W105" i="4" a="1"/>
  <c r="W105" i="4" s="1"/>
  <c r="W106" i="4" a="1"/>
  <c r="W106" i="4" s="1"/>
  <c r="W107" i="4" a="1"/>
  <c r="W107" i="4" s="1"/>
  <c r="W108" i="4" a="1"/>
  <c r="W108" i="4" s="1"/>
  <c r="W109" i="4" a="1"/>
  <c r="W109" i="4" s="1"/>
  <c r="W110" i="4" a="1"/>
  <c r="W110" i="4" s="1"/>
  <c r="W111" i="4" a="1"/>
  <c r="W111" i="4" s="1"/>
  <c r="W112" i="4" a="1"/>
  <c r="W112" i="4" s="1"/>
  <c r="W113" i="4" a="1"/>
  <c r="W113" i="4" s="1"/>
  <c r="W114" i="4" a="1"/>
  <c r="W114" i="4"/>
  <c r="W115" i="4" a="1"/>
  <c r="W115" i="4" s="1"/>
  <c r="W116" i="4" a="1"/>
  <c r="W116" i="4" s="1"/>
  <c r="W117" i="4" a="1"/>
  <c r="W117" i="4" s="1"/>
  <c r="W118" i="4" a="1"/>
  <c r="W118" i="4"/>
  <c r="W119" i="4" a="1"/>
  <c r="W119" i="4" s="1"/>
  <c r="W120" i="4" a="1"/>
  <c r="W120" i="4" s="1"/>
  <c r="W121" i="4" a="1"/>
  <c r="W121" i="4" s="1"/>
  <c r="W122" i="4" a="1"/>
  <c r="W122" i="4" s="1"/>
  <c r="W123" i="4" a="1"/>
  <c r="W123" i="4" s="1"/>
  <c r="W124" i="4" a="1"/>
  <c r="W124" i="4" s="1"/>
  <c r="W125" i="4" a="1"/>
  <c r="W125" i="4" s="1"/>
  <c r="W126" i="4" a="1"/>
  <c r="W126" i="4" s="1"/>
  <c r="W127" i="4" a="1"/>
  <c r="W127" i="4" s="1"/>
  <c r="W128" i="4" a="1"/>
  <c r="W128" i="4" s="1"/>
  <c r="W129" i="4" a="1"/>
  <c r="W129" i="4" s="1"/>
  <c r="W130" i="4" a="1"/>
  <c r="W130" i="4"/>
  <c r="W131" i="4" a="1"/>
  <c r="W131" i="4" s="1"/>
  <c r="W132" i="4" a="1"/>
  <c r="W132" i="4" s="1"/>
  <c r="W133" i="4" a="1"/>
  <c r="W133" i="4" s="1"/>
  <c r="W134" i="4" a="1"/>
  <c r="W134" i="4" s="1"/>
  <c r="W135" i="4" a="1"/>
  <c r="W135" i="4" s="1"/>
  <c r="W136" i="4" a="1"/>
  <c r="W136" i="4" s="1"/>
  <c r="W137" i="4" a="1"/>
  <c r="W137" i="4" s="1"/>
  <c r="W138" i="4" a="1"/>
  <c r="W138" i="4" s="1"/>
  <c r="W139" i="4" a="1"/>
  <c r="W139" i="4" s="1"/>
  <c r="W140" i="4" a="1"/>
  <c r="W140" i="4" s="1"/>
  <c r="W141" i="4" a="1"/>
  <c r="W141" i="4" s="1"/>
  <c r="W142" i="4" a="1"/>
  <c r="W142" i="4" s="1"/>
  <c r="W143" i="4" a="1"/>
  <c r="W143" i="4" s="1"/>
  <c r="W144" i="4" a="1"/>
  <c r="W144" i="4" s="1"/>
  <c r="W145" i="4" a="1"/>
  <c r="W145" i="4" s="1"/>
  <c r="W146" i="4" a="1"/>
  <c r="W146" i="4"/>
  <c r="W147" i="4" a="1"/>
  <c r="W147" i="4" s="1"/>
  <c r="W148" i="4" a="1"/>
  <c r="W148" i="4" s="1"/>
  <c r="W149" i="4" a="1"/>
  <c r="W149" i="4" s="1"/>
  <c r="W150" i="4" a="1"/>
  <c r="W150" i="4"/>
  <c r="W151" i="4" a="1"/>
  <c r="W151" i="4" s="1"/>
  <c r="W152" i="4" a="1"/>
  <c r="W152" i="4" s="1"/>
  <c r="W153" i="4" a="1"/>
  <c r="W153" i="4" s="1"/>
  <c r="W154" i="4" a="1"/>
  <c r="W154" i="4" s="1"/>
  <c r="W155" i="4" a="1"/>
  <c r="W155" i="4" s="1"/>
  <c r="W156" i="4" a="1"/>
  <c r="W156" i="4" s="1"/>
  <c r="W157" i="4" a="1"/>
  <c r="W157" i="4" s="1"/>
  <c r="W158" i="4" a="1"/>
  <c r="W158" i="4" s="1"/>
  <c r="W159" i="4" a="1"/>
  <c r="W159" i="4" s="1"/>
  <c r="W160" i="4" a="1"/>
  <c r="W160" i="4" s="1"/>
  <c r="W161" i="4" a="1"/>
  <c r="W161" i="4" s="1"/>
  <c r="W162" i="4" a="1"/>
  <c r="W162" i="4"/>
  <c r="W163" i="4" a="1"/>
  <c r="W163" i="4" s="1"/>
  <c r="W164" i="4" a="1"/>
  <c r="W164" i="4" s="1"/>
  <c r="W165" i="4" a="1"/>
  <c r="W165" i="4" s="1"/>
  <c r="W166" i="4" a="1"/>
  <c r="W166" i="4" s="1"/>
  <c r="W167" i="4" a="1"/>
  <c r="W167" i="4" s="1"/>
  <c r="W168" i="4" a="1"/>
  <c r="W168" i="4" s="1"/>
  <c r="W169" i="4" a="1"/>
  <c r="W169" i="4" s="1"/>
  <c r="W170" i="4" a="1"/>
  <c r="W170" i="4" s="1"/>
  <c r="W171" i="4" a="1"/>
  <c r="W171" i="4" s="1"/>
  <c r="W172" i="4" a="1"/>
  <c r="W172" i="4" s="1"/>
  <c r="W173" i="4" a="1"/>
  <c r="W173" i="4" s="1"/>
  <c r="W174" i="4" a="1"/>
  <c r="W174" i="4" s="1"/>
  <c r="W175" i="4" a="1"/>
  <c r="W175" i="4" s="1"/>
  <c r="W176" i="4" a="1"/>
  <c r="W176" i="4" s="1"/>
  <c r="W177" i="4" a="1"/>
  <c r="W177" i="4" s="1"/>
  <c r="W178" i="4" a="1"/>
  <c r="W178" i="4"/>
  <c r="W179" i="4" a="1"/>
  <c r="W179" i="4" s="1"/>
  <c r="W180" i="4" a="1"/>
  <c r="W180" i="4" s="1"/>
  <c r="W181" i="4" a="1"/>
  <c r="W181" i="4" s="1"/>
  <c r="W182" i="4" a="1"/>
  <c r="W182" i="4"/>
  <c r="W183" i="4" a="1"/>
  <c r="W183" i="4" s="1"/>
  <c r="W184" i="4" a="1"/>
  <c r="W184" i="4" s="1"/>
  <c r="W185" i="4" a="1"/>
  <c r="W185" i="4" s="1"/>
  <c r="W186" i="4" a="1"/>
  <c r="W186" i="4" s="1"/>
  <c r="W187" i="4" a="1"/>
  <c r="W187" i="4" s="1"/>
  <c r="W188" i="4" a="1"/>
  <c r="W188" i="4" s="1"/>
  <c r="W189" i="4" a="1"/>
  <c r="W189" i="4" s="1"/>
  <c r="W190" i="4" a="1"/>
  <c r="W190" i="4" s="1"/>
  <c r="W191" i="4" a="1"/>
  <c r="W191" i="4" s="1"/>
  <c r="W192" i="4" a="1"/>
  <c r="W192" i="4" s="1"/>
  <c r="W193" i="4" a="1"/>
  <c r="W193" i="4" s="1"/>
  <c r="W194" i="4" a="1"/>
  <c r="W194" i="4"/>
  <c r="W195" i="4" a="1"/>
  <c r="W195" i="4" s="1"/>
  <c r="W196" i="4" a="1"/>
  <c r="W196" i="4" s="1"/>
  <c r="W197" i="4" a="1"/>
  <c r="W197" i="4" s="1"/>
  <c r="W198" i="4" a="1"/>
  <c r="W198" i="4" s="1"/>
  <c r="W199" i="4" a="1"/>
  <c r="W199" i="4" s="1"/>
  <c r="W200" i="4" a="1"/>
  <c r="W200" i="4" s="1"/>
  <c r="W201" i="4" a="1"/>
  <c r="W201" i="4" s="1"/>
  <c r="W202" i="4" a="1"/>
  <c r="W202" i="4" s="1"/>
  <c r="W203" i="4" a="1"/>
  <c r="W203" i="4" s="1"/>
  <c r="W204" i="4" a="1"/>
  <c r="W204" i="4" s="1"/>
  <c r="W205" i="4" a="1"/>
  <c r="W205" i="4" s="1"/>
  <c r="W206" i="4" a="1"/>
  <c r="W206" i="4" s="1"/>
  <c r="W207" i="4" a="1"/>
  <c r="W207" i="4" s="1"/>
  <c r="W208" i="4" a="1"/>
  <c r="W208" i="4" s="1"/>
  <c r="W209" i="4" a="1"/>
  <c r="W209" i="4" s="1"/>
  <c r="W210" i="4" a="1"/>
  <c r="W210" i="4"/>
  <c r="W211" i="4" a="1"/>
  <c r="W211" i="4" s="1"/>
  <c r="W212" i="4" a="1"/>
  <c r="W212" i="4" s="1"/>
  <c r="W213" i="4" a="1"/>
  <c r="W213" i="4" s="1"/>
  <c r="W214" i="4" a="1"/>
  <c r="W214" i="4"/>
  <c r="W215" i="4" a="1"/>
  <c r="W215" i="4" s="1"/>
  <c r="W216" i="4" a="1"/>
  <c r="W216" i="4" s="1"/>
  <c r="W217" i="4" a="1"/>
  <c r="W217" i="4" s="1"/>
  <c r="W218" i="4" a="1"/>
  <c r="W218" i="4" s="1"/>
  <c r="W219" i="4" a="1"/>
  <c r="W219" i="4" s="1"/>
  <c r="W220" i="4" a="1"/>
  <c r="W220" i="4" s="1"/>
  <c r="W221" i="4" a="1"/>
  <c r="W221" i="4" s="1"/>
  <c r="W222" i="4" a="1"/>
  <c r="W222" i="4" s="1"/>
  <c r="W223" i="4" a="1"/>
  <c r="W223" i="4" s="1"/>
  <c r="W224" i="4" a="1"/>
  <c r="W224" i="4" s="1"/>
  <c r="W225" i="4" a="1"/>
  <c r="W225" i="4" s="1"/>
  <c r="W226" i="4" a="1"/>
  <c r="W226" i="4"/>
  <c r="W227" i="4" a="1"/>
  <c r="W227" i="4" s="1"/>
  <c r="W228" i="4" a="1"/>
  <c r="W228" i="4" s="1"/>
  <c r="W229" i="4" a="1"/>
  <c r="W229" i="4" s="1"/>
  <c r="W230" i="4" a="1"/>
  <c r="W230" i="4" s="1"/>
  <c r="W231" i="4" a="1"/>
  <c r="W231" i="4" s="1"/>
  <c r="W232" i="4" a="1"/>
  <c r="W232" i="4" s="1"/>
  <c r="W233" i="4" a="1"/>
  <c r="W233" i="4" s="1"/>
  <c r="W234" i="4" a="1"/>
  <c r="W234" i="4" s="1"/>
  <c r="W235" i="4" a="1"/>
  <c r="W235" i="4" s="1"/>
  <c r="W236" i="4" a="1"/>
  <c r="W236" i="4" s="1"/>
  <c r="W237" i="4" a="1"/>
  <c r="W237" i="4" s="1"/>
  <c r="W238" i="4" a="1"/>
  <c r="W238" i="4" s="1"/>
  <c r="W239" i="4" a="1"/>
  <c r="W239" i="4" s="1"/>
  <c r="W240" i="4" a="1"/>
  <c r="W240" i="4" s="1"/>
  <c r="W241" i="4" a="1"/>
  <c r="W241" i="4" s="1"/>
  <c r="W242" i="4" a="1"/>
  <c r="W242" i="4"/>
  <c r="W243" i="4" a="1"/>
  <c r="W243" i="4" s="1"/>
  <c r="W244" i="4" a="1"/>
  <c r="W244" i="4" s="1"/>
  <c r="W245" i="4" a="1"/>
  <c r="W245" i="4" s="1"/>
  <c r="W246" i="4" a="1"/>
  <c r="W246" i="4"/>
  <c r="W247" i="4" a="1"/>
  <c r="W247" i="4" s="1"/>
  <c r="W248" i="4" a="1"/>
  <c r="W248" i="4" s="1"/>
  <c r="W249" i="4" a="1"/>
  <c r="W249" i="4" s="1"/>
  <c r="W250" i="4" a="1"/>
  <c r="W250" i="4" s="1"/>
  <c r="W251" i="4" a="1"/>
  <c r="W251" i="4" s="1"/>
  <c r="W252" i="4" a="1"/>
  <c r="W252" i="4" s="1"/>
  <c r="W253" i="4" a="1"/>
  <c r="W253" i="4" s="1"/>
  <c r="W254" i="4" a="1"/>
  <c r="W254" i="4" s="1"/>
  <c r="W255" i="4" a="1"/>
  <c r="W255" i="4" s="1"/>
  <c r="W256" i="4" a="1"/>
  <c r="W256" i="4" s="1"/>
  <c r="W257" i="4" a="1"/>
  <c r="W257" i="4" s="1"/>
  <c r="W258" i="4" a="1"/>
  <c r="W258" i="4"/>
  <c r="W259" i="4" a="1"/>
  <c r="W259" i="4" s="1"/>
  <c r="W260" i="4" a="1"/>
  <c r="W260" i="4" s="1"/>
  <c r="W261" i="4" a="1"/>
  <c r="W261" i="4" s="1"/>
  <c r="W262" i="4" a="1"/>
  <c r="W262" i="4" s="1"/>
  <c r="W263" i="4" a="1"/>
  <c r="W263" i="4" s="1"/>
  <c r="W264" i="4" a="1"/>
  <c r="W264" i="4"/>
  <c r="W265" i="4" a="1"/>
  <c r="W265" i="4" s="1"/>
  <c r="W266" i="4" a="1"/>
  <c r="W266" i="4"/>
  <c r="W267" i="4" a="1"/>
  <c r="W267" i="4" s="1"/>
  <c r="W268" i="4" a="1"/>
  <c r="W268" i="4"/>
  <c r="W269" i="4" a="1"/>
  <c r="W269" i="4" s="1"/>
  <c r="W270" i="4" a="1"/>
  <c r="W270" i="4" s="1"/>
  <c r="W271" i="4" a="1"/>
  <c r="W271" i="4" s="1"/>
  <c r="W272" i="4" a="1"/>
  <c r="W272" i="4"/>
  <c r="W273" i="4" a="1"/>
  <c r="W273" i="4" s="1"/>
  <c r="W274" i="4" a="1"/>
  <c r="W274" i="4"/>
  <c r="W275" i="4" a="1"/>
  <c r="W275" i="4" s="1"/>
  <c r="W276" i="4" a="1"/>
  <c r="W276" i="4" s="1"/>
  <c r="W277" i="4" a="1"/>
  <c r="W277" i="4" s="1"/>
  <c r="W278" i="4" a="1"/>
  <c r="W278" i="4" s="1"/>
  <c r="W279" i="4" a="1"/>
  <c r="W279" i="4" s="1"/>
  <c r="W280" i="4" a="1"/>
  <c r="W280" i="4"/>
  <c r="W281" i="4" a="1"/>
  <c r="W281" i="4" s="1"/>
  <c r="W282" i="4" a="1"/>
  <c r="W282" i="4"/>
  <c r="W283" i="4" a="1"/>
  <c r="W283" i="4" s="1"/>
  <c r="W284" i="4" a="1"/>
  <c r="W284" i="4"/>
  <c r="W285" i="4" a="1"/>
  <c r="W285" i="4" s="1"/>
  <c r="W286" i="4" a="1"/>
  <c r="W286" i="4" s="1"/>
  <c r="W287" i="4" a="1"/>
  <c r="W287" i="4" s="1"/>
  <c r="W288" i="4" a="1"/>
  <c r="W288" i="4"/>
  <c r="W289" i="4" a="1"/>
  <c r="W289" i="4" s="1"/>
  <c r="W290" i="4" a="1"/>
  <c r="W290" i="4"/>
  <c r="W291" i="4" a="1"/>
  <c r="W291" i="4" s="1"/>
  <c r="W292" i="4" a="1"/>
  <c r="W292" i="4" s="1"/>
  <c r="W293" i="4" a="1"/>
  <c r="W293" i="4" s="1"/>
  <c r="W294" i="4" a="1"/>
  <c r="W294" i="4" s="1"/>
  <c r="W295" i="4" a="1"/>
  <c r="W295" i="4" s="1"/>
  <c r="W296" i="4" a="1"/>
  <c r="W296" i="4"/>
  <c r="W297" i="4" a="1"/>
  <c r="W297" i="4" s="1"/>
  <c r="W298" i="4" a="1"/>
  <c r="W298" i="4"/>
  <c r="W299" i="4" a="1"/>
  <c r="W299" i="4" s="1"/>
  <c r="W300" i="4" a="1"/>
  <c r="W300" i="4"/>
  <c r="W301" i="4" a="1"/>
  <c r="W301" i="4" s="1"/>
  <c r="W302" i="4" a="1"/>
  <c r="W302" i="4" s="1"/>
  <c r="W303" i="4" a="1"/>
  <c r="W303" i="4" s="1"/>
  <c r="W304" i="4" a="1"/>
  <c r="W304" i="4"/>
  <c r="W305" i="4" a="1"/>
  <c r="W305" i="4" s="1"/>
  <c r="W306" i="4" a="1"/>
  <c r="W306" i="4"/>
  <c r="W307" i="4" a="1"/>
  <c r="W307" i="4" s="1"/>
  <c r="W308" i="4" a="1"/>
  <c r="W308" i="4" s="1"/>
  <c r="W309" i="4" a="1"/>
  <c r="W309" i="4" s="1"/>
  <c r="W310" i="4" a="1"/>
  <c r="W310" i="4" s="1"/>
  <c r="W311" i="4" a="1"/>
  <c r="W311" i="4" s="1"/>
  <c r="W312" i="4" a="1"/>
  <c r="W312" i="4"/>
  <c r="W313" i="4" a="1"/>
  <c r="W313" i="4" s="1"/>
  <c r="W314" i="4" a="1"/>
  <c r="W314" i="4"/>
  <c r="W315" i="4" a="1"/>
  <c r="W315" i="4" s="1"/>
  <c r="W316" i="4" a="1"/>
  <c r="W316" i="4"/>
  <c r="W317" i="4" a="1"/>
  <c r="W317" i="4" s="1"/>
  <c r="W318" i="4" a="1"/>
  <c r="W318" i="4" s="1"/>
  <c r="W319" i="4" a="1"/>
  <c r="W319" i="4" s="1"/>
  <c r="W320" i="4" a="1"/>
  <c r="W320" i="4"/>
  <c r="W321" i="4" a="1"/>
  <c r="W321" i="4" s="1"/>
  <c r="W322" i="4" a="1"/>
  <c r="W322" i="4"/>
  <c r="W323" i="4" a="1"/>
  <c r="W323" i="4" s="1"/>
  <c r="W324" i="4" a="1"/>
  <c r="W324" i="4" s="1"/>
  <c r="W325" i="4" a="1"/>
  <c r="W325" i="4" s="1"/>
  <c r="W326" i="4" a="1"/>
  <c r="W326" i="4" s="1"/>
  <c r="W327" i="4" a="1"/>
  <c r="W327" i="4" s="1"/>
  <c r="W328" i="4" a="1"/>
  <c r="W328" i="4"/>
  <c r="W329" i="4" a="1"/>
  <c r="W329" i="4" s="1"/>
  <c r="W330" i="4" a="1"/>
  <c r="W330" i="4"/>
  <c r="W331" i="4" a="1"/>
  <c r="W331" i="4" s="1"/>
  <c r="W332" i="4" a="1"/>
  <c r="W332" i="4"/>
  <c r="W333" i="4" a="1"/>
  <c r="W333" i="4" s="1"/>
  <c r="W334" i="4" a="1"/>
  <c r="W334" i="4" s="1"/>
  <c r="W335" i="4" a="1"/>
  <c r="W335" i="4" s="1"/>
  <c r="W336" i="4" a="1"/>
  <c r="W336" i="4"/>
  <c r="W337" i="4" a="1"/>
  <c r="W337" i="4" s="1"/>
  <c r="W338" i="4" a="1"/>
  <c r="W338" i="4"/>
  <c r="W339" i="4" a="1"/>
  <c r="W339" i="4" s="1"/>
  <c r="W340" i="4" a="1"/>
  <c r="W340" i="4" s="1"/>
  <c r="W341" i="4" a="1"/>
  <c r="W341" i="4" s="1"/>
  <c r="W342" i="4" a="1"/>
  <c r="W342" i="4" s="1"/>
  <c r="W343" i="4" a="1"/>
  <c r="W343" i="4" s="1"/>
  <c r="W344" i="4" a="1"/>
  <c r="W344" i="4" s="1"/>
  <c r="W345" i="4" a="1"/>
  <c r="W345" i="4"/>
  <c r="W346" i="4" a="1"/>
  <c r="W346" i="4" s="1"/>
  <c r="W347" i="4" a="1"/>
  <c r="W347" i="4" s="1"/>
  <c r="W348" i="4" a="1"/>
  <c r="W348" i="4" s="1"/>
  <c r="W349" i="4" a="1"/>
  <c r="W349" i="4"/>
  <c r="W350" i="4" a="1"/>
  <c r="W350" i="4" s="1"/>
  <c r="W351" i="4" a="1"/>
  <c r="W351" i="4" s="1"/>
  <c r="W352" i="4" a="1"/>
  <c r="W352" i="4" s="1"/>
  <c r="W353" i="4" a="1"/>
  <c r="W353" i="4" s="1"/>
  <c r="W354" i="4" a="1"/>
  <c r="W354" i="4" s="1"/>
  <c r="W355" i="4" a="1"/>
  <c r="W355" i="4" s="1"/>
  <c r="W356" i="4" a="1"/>
  <c r="W356" i="4" s="1"/>
  <c r="W357" i="4" a="1"/>
  <c r="W357" i="4" s="1"/>
  <c r="W358" i="4" a="1"/>
  <c r="W358" i="4" s="1"/>
  <c r="W359" i="4" a="1"/>
  <c r="W359" i="4" s="1"/>
  <c r="W360" i="4" a="1"/>
  <c r="W360" i="4" s="1"/>
  <c r="W361" i="4" a="1"/>
  <c r="W361" i="4" s="1"/>
  <c r="W362" i="4" a="1"/>
  <c r="W362" i="4" s="1"/>
  <c r="W363" i="4" a="1"/>
  <c r="W363" i="4" s="1"/>
  <c r="W364" i="4" a="1"/>
  <c r="W364" i="4" s="1"/>
  <c r="W365" i="4" a="1"/>
  <c r="W365" i="4" s="1"/>
  <c r="W366" i="4" a="1"/>
  <c r="W366" i="4" s="1"/>
  <c r="W367" i="4" a="1"/>
  <c r="W367" i="4" s="1"/>
  <c r="W368" i="4" a="1"/>
  <c r="W368" i="4"/>
  <c r="W369" i="4" a="1"/>
  <c r="W369" i="4" s="1"/>
  <c r="W370" i="4" a="1"/>
  <c r="W370" i="4" s="1"/>
  <c r="W371" i="4" a="1"/>
  <c r="W371" i="4" s="1"/>
  <c r="W372" i="4" a="1"/>
  <c r="W372" i="4" s="1"/>
  <c r="W373" i="4" a="1"/>
  <c r="W373" i="4" s="1"/>
  <c r="W374" i="4" a="1"/>
  <c r="W374" i="4" s="1"/>
  <c r="W375" i="4" a="1"/>
  <c r="W375" i="4" s="1"/>
  <c r="W376" i="4" a="1"/>
  <c r="W376" i="4" s="1"/>
  <c r="W377" i="4" a="1"/>
  <c r="W377" i="4" s="1"/>
  <c r="W378" i="4" a="1"/>
  <c r="W378" i="4" s="1"/>
  <c r="W379" i="4" a="1"/>
  <c r="W379" i="4" s="1"/>
  <c r="W380" i="4" a="1"/>
  <c r="W380" i="4" s="1"/>
  <c r="W381" i="4" a="1"/>
  <c r="W381" i="4" s="1"/>
  <c r="W382" i="4" a="1"/>
  <c r="W382" i="4" s="1"/>
  <c r="W383" i="4" a="1"/>
  <c r="W383" i="4" s="1"/>
  <c r="W384" i="4" a="1"/>
  <c r="W384" i="4"/>
  <c r="W385" i="4" a="1"/>
  <c r="W385" i="4" s="1"/>
  <c r="W386" i="4" a="1"/>
  <c r="W386" i="4" s="1"/>
  <c r="W387" i="4" a="1"/>
  <c r="W387" i="4" s="1"/>
  <c r="W388" i="4" a="1"/>
  <c r="W388" i="4"/>
  <c r="W389" i="4" a="1"/>
  <c r="W389" i="4" s="1"/>
  <c r="W390" i="4" a="1"/>
  <c r="W390" i="4" s="1"/>
  <c r="W391" i="4" a="1"/>
  <c r="W391" i="4" s="1"/>
  <c r="W392" i="4" a="1"/>
  <c r="W392" i="4"/>
  <c r="W393" i="4" a="1"/>
  <c r="W393" i="4" s="1"/>
  <c r="W394" i="4" a="1"/>
  <c r="W394" i="4" s="1"/>
  <c r="W395" i="4" a="1"/>
  <c r="W395" i="4" s="1"/>
  <c r="W396" i="4" a="1"/>
  <c r="W396" i="4" s="1"/>
  <c r="W397" i="4" a="1"/>
  <c r="W397" i="4" s="1"/>
  <c r="W398" i="4" a="1"/>
  <c r="W398" i="4" s="1"/>
  <c r="W399" i="4" a="1"/>
  <c r="W399" i="4" s="1"/>
  <c r="W400" i="4" a="1"/>
  <c r="W400" i="4"/>
  <c r="W401" i="4" a="1"/>
  <c r="W401" i="4" s="1"/>
  <c r="W402" i="4" a="1"/>
  <c r="W402" i="4" s="1"/>
  <c r="W403" i="4" a="1"/>
  <c r="W403" i="4" s="1"/>
  <c r="W404" i="4" a="1"/>
  <c r="W404" i="4" s="1"/>
  <c r="W405" i="4" a="1"/>
  <c r="W405" i="4" s="1"/>
  <c r="W406" i="4" a="1"/>
  <c r="W406" i="4" s="1"/>
  <c r="W407" i="4" a="1"/>
  <c r="W407" i="4" s="1"/>
  <c r="W408" i="4" a="1"/>
  <c r="W408" i="4" s="1"/>
  <c r="W409" i="4" a="1"/>
  <c r="W409" i="4" s="1"/>
  <c r="W410" i="4" a="1"/>
  <c r="W410" i="4" s="1"/>
  <c r="W411" i="4" a="1"/>
  <c r="W411" i="4" s="1"/>
  <c r="W412" i="4" a="1"/>
  <c r="W412" i="4" s="1"/>
  <c r="W413" i="4" a="1"/>
  <c r="W413" i="4" s="1"/>
  <c r="W414" i="4" a="1"/>
  <c r="W414" i="4" s="1"/>
  <c r="W415" i="4" a="1"/>
  <c r="W415" i="4" s="1"/>
  <c r="W416" i="4" a="1"/>
  <c r="W416" i="4"/>
  <c r="W417" i="4" a="1"/>
  <c r="W417" i="4" s="1"/>
  <c r="W418" i="4" a="1"/>
  <c r="W418" i="4" s="1"/>
  <c r="W419" i="4" a="1"/>
  <c r="W419" i="4" s="1"/>
  <c r="W420" i="4" a="1"/>
  <c r="W420" i="4"/>
  <c r="W421" i="4" a="1"/>
  <c r="W421" i="4" s="1"/>
  <c r="W422" i="4" a="1"/>
  <c r="W422" i="4" s="1"/>
  <c r="W423" i="4" a="1"/>
  <c r="W423" i="4" s="1"/>
  <c r="W424" i="4" a="1"/>
  <c r="W424" i="4"/>
  <c r="W425" i="4" a="1"/>
  <c r="W425" i="4" s="1"/>
  <c r="W426" i="4" a="1"/>
  <c r="W426" i="4" s="1"/>
  <c r="W427" i="4" a="1"/>
  <c r="W427" i="4" s="1"/>
  <c r="W428" i="4" a="1"/>
  <c r="W428" i="4" s="1"/>
  <c r="W429" i="4" a="1"/>
  <c r="W429" i="4" s="1"/>
  <c r="W430" i="4" a="1"/>
  <c r="W430" i="4" s="1"/>
  <c r="W431" i="4" a="1"/>
  <c r="W431" i="4" s="1"/>
  <c r="W432" i="4" a="1"/>
  <c r="W432" i="4"/>
  <c r="W433" i="4" a="1"/>
  <c r="W433" i="4" s="1"/>
  <c r="W434" i="4" a="1"/>
  <c r="W434" i="4" s="1"/>
  <c r="W435" i="4" a="1"/>
  <c r="W435" i="4" s="1"/>
  <c r="W436" i="4" a="1"/>
  <c r="W436" i="4" s="1"/>
  <c r="W437" i="4" a="1"/>
  <c r="W437" i="4" s="1"/>
  <c r="W438" i="4" a="1"/>
  <c r="W438" i="4" s="1"/>
  <c r="W439" i="4" a="1"/>
  <c r="W439" i="4" s="1"/>
  <c r="W440" i="4" a="1"/>
  <c r="W440" i="4" s="1"/>
  <c r="W441" i="4" a="1"/>
  <c r="W441" i="4" s="1"/>
  <c r="W442" i="4" a="1"/>
  <c r="W442" i="4" s="1"/>
  <c r="W443" i="4" a="1"/>
  <c r="W443" i="4" s="1"/>
  <c r="W444" i="4" a="1"/>
  <c r="W444" i="4" s="1"/>
  <c r="W445" i="4" a="1"/>
  <c r="W445" i="4" s="1"/>
  <c r="W446" i="4" a="1"/>
  <c r="W446" i="4" s="1"/>
  <c r="W447" i="4" a="1"/>
  <c r="W447" i="4" s="1"/>
  <c r="W448" i="4" a="1"/>
  <c r="W448" i="4"/>
  <c r="W449" i="4" a="1"/>
  <c r="W449" i="4" s="1"/>
  <c r="W450" i="4" a="1"/>
  <c r="W450" i="4" s="1"/>
  <c r="W451" i="4" a="1"/>
  <c r="W451" i="4" s="1"/>
  <c r="W452" i="4" a="1"/>
  <c r="W452" i="4"/>
  <c r="W453" i="4" a="1"/>
  <c r="W453" i="4" s="1"/>
  <c r="W454" i="4" a="1"/>
  <c r="W454" i="4" s="1"/>
  <c r="W455" i="4" a="1"/>
  <c r="W455" i="4" s="1"/>
  <c r="W456" i="4" a="1"/>
  <c r="W456" i="4"/>
  <c r="W457" i="4" a="1"/>
  <c r="W457" i="4" s="1"/>
  <c r="W458" i="4" a="1"/>
  <c r="W458" i="4" s="1"/>
  <c r="W459" i="4" a="1"/>
  <c r="W459" i="4" s="1"/>
  <c r="W460" i="4" a="1"/>
  <c r="W460" i="4" s="1"/>
  <c r="W461" i="4" a="1"/>
  <c r="W461" i="4" s="1"/>
  <c r="W462" i="4" a="1"/>
  <c r="W462" i="4" s="1"/>
  <c r="W463" i="4" a="1"/>
  <c r="W463" i="4" s="1"/>
  <c r="W464" i="4" a="1"/>
  <c r="W464" i="4"/>
  <c r="W465" i="4" a="1"/>
  <c r="W465" i="4" s="1"/>
  <c r="W466" i="4" a="1"/>
  <c r="W466" i="4" s="1"/>
  <c r="W467" i="4" a="1"/>
  <c r="W467" i="4" s="1"/>
  <c r="W468" i="4" a="1"/>
  <c r="W468" i="4" s="1"/>
  <c r="W469" i="4" a="1"/>
  <c r="W469" i="4" s="1"/>
  <c r="W470" i="4" a="1"/>
  <c r="W470" i="4" s="1"/>
  <c r="W471" i="4" a="1"/>
  <c r="W471" i="4" s="1"/>
  <c r="W472" i="4" a="1"/>
  <c r="W472" i="4" s="1"/>
  <c r="W473" i="4" a="1"/>
  <c r="W473" i="4" s="1"/>
  <c r="W474" i="4" a="1"/>
  <c r="W474" i="4" s="1"/>
  <c r="W475" i="4" a="1"/>
  <c r="W475" i="4" s="1"/>
  <c r="W476" i="4" a="1"/>
  <c r="W476" i="4" s="1"/>
  <c r="W477" i="4" a="1"/>
  <c r="W477" i="4" s="1"/>
  <c r="W478" i="4" a="1"/>
  <c r="W478" i="4" s="1"/>
  <c r="W479" i="4" a="1"/>
  <c r="W479" i="4" s="1"/>
  <c r="W480" i="4" a="1"/>
  <c r="W480" i="4"/>
  <c r="W481" i="4" a="1"/>
  <c r="W481" i="4" s="1"/>
  <c r="W482" i="4" a="1"/>
  <c r="W482" i="4" s="1"/>
  <c r="W483" i="4" a="1"/>
  <c r="W483" i="4" s="1"/>
  <c r="W484" i="4" a="1"/>
  <c r="W484" i="4"/>
  <c r="W485" i="4" a="1"/>
  <c r="W485" i="4" s="1"/>
  <c r="W486" i="4" a="1"/>
  <c r="W486" i="4" s="1"/>
  <c r="W487" i="4" a="1"/>
  <c r="W487" i="4" s="1"/>
  <c r="W488" i="4" a="1"/>
  <c r="W488" i="4"/>
  <c r="W489" i="4" a="1"/>
  <c r="W489" i="4" s="1"/>
  <c r="W490" i="4" a="1"/>
  <c r="W490" i="4" s="1"/>
  <c r="W491" i="4" a="1"/>
  <c r="W491" i="4" s="1"/>
  <c r="W492" i="4" a="1"/>
  <c r="W492" i="4" s="1"/>
  <c r="W493" i="4" a="1"/>
  <c r="W493" i="4" s="1"/>
  <c r="W494" i="4" a="1"/>
  <c r="W494" i="4" s="1"/>
  <c r="W495" i="4" a="1"/>
  <c r="W495" i="4" s="1"/>
  <c r="W496" i="4" a="1"/>
  <c r="W496" i="4"/>
  <c r="W497" i="4" a="1"/>
  <c r="W497" i="4" s="1"/>
  <c r="W498" i="4" a="1"/>
  <c r="W498" i="4" s="1"/>
  <c r="W499" i="4" a="1"/>
  <c r="W499" i="4" s="1"/>
  <c r="W500" i="4" a="1"/>
  <c r="W500" i="4" s="1"/>
  <c r="W501" i="4" a="1"/>
  <c r="W501" i="4" s="1"/>
  <c r="W502" i="4" a="1"/>
  <c r="W502" i="4" s="1"/>
  <c r="W503" i="4" a="1"/>
  <c r="W503" i="4" s="1"/>
  <c r="W504" i="4" a="1"/>
  <c r="W504" i="4" s="1"/>
  <c r="W505" i="4" a="1"/>
  <c r="W505" i="4" s="1"/>
  <c r="W506" i="4" a="1"/>
  <c r="W506" i="4" s="1"/>
  <c r="W507" i="4" a="1"/>
  <c r="W507" i="4" s="1"/>
  <c r="W508" i="4" a="1"/>
  <c r="W508" i="4" s="1"/>
  <c r="W509" i="4" a="1"/>
  <c r="W509" i="4" s="1"/>
  <c r="W510" i="4" a="1"/>
  <c r="W510" i="4" s="1"/>
  <c r="W511" i="4" a="1"/>
  <c r="W511" i="4" s="1"/>
  <c r="W512" i="4" a="1"/>
  <c r="W512" i="4"/>
  <c r="W513" i="4" a="1"/>
  <c r="W513" i="4" s="1"/>
  <c r="W514" i="4" a="1"/>
  <c r="W514" i="4" s="1"/>
  <c r="W515" i="4" a="1"/>
  <c r="W515" i="4" s="1"/>
  <c r="W516" i="4" a="1"/>
  <c r="W516" i="4"/>
  <c r="W517" i="4" a="1"/>
  <c r="W517" i="4" s="1"/>
  <c r="W518" i="4" a="1"/>
  <c r="W518" i="4" s="1"/>
  <c r="W519" i="4" a="1"/>
  <c r="W519" i="4" s="1"/>
  <c r="W520" i="4" a="1"/>
  <c r="W520" i="4"/>
  <c r="W521" i="4" a="1"/>
  <c r="W521" i="4" s="1"/>
  <c r="W522" i="4" a="1"/>
  <c r="W522" i="4" s="1"/>
  <c r="W523" i="4" a="1"/>
  <c r="W523" i="4" s="1"/>
  <c r="W524" i="4" a="1"/>
  <c r="W524" i="4" s="1"/>
  <c r="W525" i="4" a="1"/>
  <c r="W525" i="4" s="1"/>
  <c r="W526" i="4" a="1"/>
  <c r="W526" i="4" s="1"/>
  <c r="W527" i="4" a="1"/>
  <c r="W527" i="4" s="1"/>
  <c r="W528" i="4" a="1"/>
  <c r="W528" i="4"/>
  <c r="W529" i="4" a="1"/>
  <c r="W529" i="4" s="1"/>
  <c r="W530" i="4" a="1"/>
  <c r="W530" i="4" s="1"/>
  <c r="W531" i="4" a="1"/>
  <c r="W531" i="4" s="1"/>
  <c r="W532" i="4" a="1"/>
  <c r="W532" i="4" s="1"/>
  <c r="W533" i="4" a="1"/>
  <c r="W533" i="4" s="1"/>
  <c r="W534" i="4" a="1"/>
  <c r="W534" i="4" s="1"/>
  <c r="W535" i="4" a="1"/>
  <c r="W535" i="4" s="1"/>
  <c r="W536" i="4" a="1"/>
  <c r="W536" i="4" s="1"/>
  <c r="W537" i="4" a="1"/>
  <c r="W537" i="4" s="1"/>
  <c r="W538" i="4" a="1"/>
  <c r="W538" i="4" s="1"/>
  <c r="W539" i="4" a="1"/>
  <c r="W539" i="4" s="1"/>
  <c r="W540" i="4" a="1"/>
  <c r="W540" i="4" s="1"/>
  <c r="W541" i="4" a="1"/>
  <c r="W541" i="4" s="1"/>
  <c r="W542" i="4" a="1"/>
  <c r="W542" i="4" s="1"/>
  <c r="W543" i="4" a="1"/>
  <c r="W543" i="4" s="1"/>
  <c r="W544" i="4" a="1"/>
  <c r="W544" i="4" s="1"/>
  <c r="W545" i="4" a="1"/>
  <c r="W545" i="4" s="1"/>
  <c r="W546" i="4" a="1"/>
  <c r="W546" i="4" s="1"/>
  <c r="W547" i="4" a="1"/>
  <c r="W547" i="4" s="1"/>
  <c r="W548" i="4" a="1"/>
  <c r="W548" i="4"/>
  <c r="W549" i="4" a="1"/>
  <c r="W549" i="4" s="1"/>
  <c r="W550" i="4" a="1"/>
  <c r="W550" i="4" s="1"/>
  <c r="W551" i="4" a="1"/>
  <c r="W551" i="4" s="1"/>
  <c r="W552" i="4" a="1"/>
  <c r="W552" i="4" s="1"/>
  <c r="W553" i="4" a="1"/>
  <c r="W553" i="4" s="1"/>
  <c r="W554" i="4" a="1"/>
  <c r="W554" i="4" s="1"/>
  <c r="W555" i="4" a="1"/>
  <c r="W555" i="4" s="1"/>
  <c r="W556" i="4" a="1"/>
  <c r="W556" i="4"/>
  <c r="W557" i="4" a="1"/>
  <c r="W557" i="4" s="1"/>
  <c r="W558" i="4" a="1"/>
  <c r="W558" i="4" s="1"/>
  <c r="W559" i="4" a="1"/>
  <c r="W559" i="4" s="1"/>
  <c r="W560" i="4" a="1"/>
  <c r="W560" i="4"/>
  <c r="W561" i="4" a="1"/>
  <c r="W561" i="4" s="1"/>
  <c r="W562" i="4" a="1"/>
  <c r="W562" i="4" s="1"/>
  <c r="W563" i="4" a="1"/>
  <c r="W563" i="4" s="1"/>
  <c r="W564" i="4" a="1"/>
  <c r="W564" i="4" s="1"/>
  <c r="W565" i="4" a="1"/>
  <c r="W565" i="4" s="1"/>
  <c r="W566" i="4" a="1"/>
  <c r="W566" i="4" s="1"/>
  <c r="W567" i="4" a="1"/>
  <c r="W567" i="4" s="1"/>
  <c r="W568" i="4" a="1"/>
  <c r="W568" i="4" s="1"/>
  <c r="W569" i="4" a="1"/>
  <c r="W569" i="4" s="1"/>
  <c r="W570" i="4" a="1"/>
  <c r="W570" i="4" s="1"/>
  <c r="W571" i="4" a="1"/>
  <c r="W571" i="4" s="1"/>
  <c r="W572" i="4" a="1"/>
  <c r="W572" i="4" s="1"/>
  <c r="W573" i="4" a="1"/>
  <c r="W573" i="4" s="1"/>
  <c r="W574" i="4" a="1"/>
  <c r="W574" i="4" s="1"/>
  <c r="W575" i="4" a="1"/>
  <c r="W575" i="4" s="1"/>
  <c r="W576" i="4" a="1"/>
  <c r="W576" i="4"/>
  <c r="W577" i="4" a="1"/>
  <c r="W577" i="4" s="1"/>
  <c r="W578" i="4" a="1"/>
  <c r="W578" i="4" s="1"/>
  <c r="W579" i="4" a="1"/>
  <c r="W579" i="4" s="1"/>
  <c r="W580" i="4" a="1"/>
  <c r="W580" i="4"/>
  <c r="W581" i="4" a="1"/>
  <c r="W581" i="4" s="1"/>
  <c r="W582" i="4" a="1"/>
  <c r="W582" i="4" s="1"/>
  <c r="W583" i="4" a="1"/>
  <c r="W583" i="4" s="1"/>
  <c r="W584" i="4" a="1"/>
  <c r="W584" i="4" s="1"/>
  <c r="W585" i="4" a="1"/>
  <c r="W585" i="4" s="1"/>
  <c r="W586" i="4" a="1"/>
  <c r="W586" i="4" s="1"/>
  <c r="W587" i="4" a="1"/>
  <c r="W587" i="4" s="1"/>
  <c r="W588" i="4" a="1"/>
  <c r="W588" i="4"/>
  <c r="W589" i="4" a="1"/>
  <c r="W589" i="4" s="1"/>
  <c r="W590" i="4" a="1"/>
  <c r="W590" i="4" s="1"/>
  <c r="W591" i="4" a="1"/>
  <c r="W591" i="4" s="1"/>
  <c r="W592" i="4" a="1"/>
  <c r="W592" i="4"/>
  <c r="W593" i="4" a="1"/>
  <c r="W593" i="4" s="1"/>
  <c r="W594" i="4" a="1"/>
  <c r="W594" i="4" s="1"/>
  <c r="W595" i="4" a="1"/>
  <c r="W595" i="4" s="1"/>
  <c r="W596" i="4" a="1"/>
  <c r="W596" i="4"/>
  <c r="W597" i="4" a="1"/>
  <c r="W597" i="4" s="1"/>
  <c r="W598" i="4" a="1"/>
  <c r="W598" i="4" s="1"/>
  <c r="W599" i="4" a="1"/>
  <c r="W599" i="4" s="1"/>
  <c r="W600" i="4" a="1"/>
  <c r="W600" i="4" s="1"/>
  <c r="W601" i="4" a="1"/>
  <c r="W601" i="4" s="1"/>
  <c r="W602" i="4" a="1"/>
  <c r="W602" i="4" s="1"/>
  <c r="W603" i="4" a="1"/>
  <c r="W603" i="4" s="1"/>
  <c r="W604" i="4" a="1"/>
  <c r="W604" i="4" s="1"/>
  <c r="W605" i="4" a="1"/>
  <c r="W605" i="4" s="1"/>
  <c r="W606" i="4" a="1"/>
  <c r="W606" i="4" s="1"/>
  <c r="W607" i="4" a="1"/>
  <c r="W607" i="4" s="1"/>
  <c r="W608" i="4" a="1"/>
  <c r="W608" i="4"/>
  <c r="W609" i="4" a="1"/>
  <c r="W609" i="4" s="1"/>
  <c r="W610" i="4" a="1"/>
  <c r="W610" i="4" s="1"/>
  <c r="W611" i="4" a="1"/>
  <c r="W611" i="4" s="1"/>
  <c r="W612" i="4" a="1"/>
  <c r="W612" i="4"/>
  <c r="W613" i="4" a="1"/>
  <c r="W613" i="4" s="1"/>
  <c r="W614" i="4" a="1"/>
  <c r="W614" i="4" s="1"/>
  <c r="W615" i="4" a="1"/>
  <c r="W615" i="4" s="1"/>
  <c r="W616" i="4" a="1"/>
  <c r="W616" i="4" s="1"/>
  <c r="W617" i="4" a="1"/>
  <c r="W617" i="4" s="1"/>
  <c r="W618" i="4" a="1"/>
  <c r="W618" i="4" s="1"/>
  <c r="W619" i="4" a="1"/>
  <c r="W619" i="4" s="1"/>
  <c r="W620" i="4" a="1"/>
  <c r="W620" i="4"/>
  <c r="W621" i="4" a="1"/>
  <c r="W621" i="4" s="1"/>
  <c r="W622" i="4" a="1"/>
  <c r="W622" i="4" s="1"/>
  <c r="W623" i="4" a="1"/>
  <c r="W623" i="4" s="1"/>
  <c r="W624" i="4" a="1"/>
  <c r="W624" i="4"/>
  <c r="W625" i="4" a="1"/>
  <c r="W625" i="4" s="1"/>
  <c r="W626" i="4" a="1"/>
  <c r="W626" i="4" s="1"/>
  <c r="W627" i="4" a="1"/>
  <c r="W627" i="4" s="1"/>
  <c r="W628" i="4" a="1"/>
  <c r="W628" i="4"/>
  <c r="W629" i="4" a="1"/>
  <c r="W629" i="4" s="1"/>
  <c r="W630" i="4" a="1"/>
  <c r="W630" i="4" s="1"/>
  <c r="W631" i="4" a="1"/>
  <c r="W631" i="4" s="1"/>
  <c r="W632" i="4" a="1"/>
  <c r="W632" i="4" s="1"/>
  <c r="W633" i="4" a="1"/>
  <c r="W633" i="4" s="1"/>
  <c r="W634" i="4" a="1"/>
  <c r="W634" i="4" s="1"/>
  <c r="W635" i="4" a="1"/>
  <c r="W635" i="4" s="1"/>
  <c r="W636" i="4" a="1"/>
  <c r="W636" i="4" s="1"/>
  <c r="W637" i="4" a="1"/>
  <c r="W637" i="4" s="1"/>
  <c r="W638" i="4" a="1"/>
  <c r="W638" i="4" s="1"/>
  <c r="W639" i="4" a="1"/>
  <c r="W639" i="4" s="1"/>
  <c r="W640" i="4" a="1"/>
  <c r="W640" i="4" s="1"/>
  <c r="W641" i="4" a="1"/>
  <c r="W641" i="4" s="1"/>
  <c r="W642" i="4" a="1"/>
  <c r="W642" i="4"/>
  <c r="W643" i="4" a="1"/>
  <c r="W643" i="4"/>
  <c r="W644" i="4" a="1"/>
  <c r="W644" i="4"/>
  <c r="W645" i="4" a="1"/>
  <c r="W645" i="4" s="1"/>
  <c r="W646" i="4" a="1"/>
  <c r="W646" i="4"/>
  <c r="W647" i="4" a="1"/>
  <c r="W647" i="4"/>
  <c r="W648" i="4" a="1"/>
  <c r="W648" i="4" s="1"/>
  <c r="W649" i="4" a="1"/>
  <c r="W649" i="4" s="1"/>
  <c r="W650" i="4" a="1"/>
  <c r="W650" i="4"/>
  <c r="W651" i="4" a="1"/>
  <c r="W651" i="4"/>
  <c r="W652" i="4" a="1"/>
  <c r="W652" i="4"/>
  <c r="W653" i="4" a="1"/>
  <c r="W653" i="4" s="1"/>
  <c r="W654" i="4" a="1"/>
  <c r="W654" i="4" s="1"/>
  <c r="W655" i="4" a="1"/>
  <c r="W655" i="4"/>
  <c r="W656" i="4" a="1"/>
  <c r="W656" i="4" s="1"/>
  <c r="W657" i="4" a="1"/>
  <c r="W657" i="4" s="1"/>
  <c r="W658" i="4" a="1"/>
  <c r="W658" i="4"/>
  <c r="W659" i="4" a="1"/>
  <c r="W659" i="4"/>
  <c r="W660" i="4" a="1"/>
  <c r="W660" i="4"/>
  <c r="W661" i="4" a="1"/>
  <c r="W661" i="4" s="1"/>
  <c r="W662" i="4" a="1"/>
  <c r="W662" i="4" s="1"/>
  <c r="W663" i="4" a="1"/>
  <c r="W663" i="4"/>
  <c r="W664" i="4" a="1"/>
  <c r="W664" i="4"/>
  <c r="W665" i="4" a="1"/>
  <c r="W665" i="4" s="1"/>
  <c r="W666" i="4" a="1"/>
  <c r="W666" i="4"/>
  <c r="W667" i="4" a="1"/>
  <c r="W667" i="4"/>
  <c r="W668" i="4" a="1"/>
  <c r="W668" i="4"/>
  <c r="W669" i="4" a="1"/>
  <c r="W669" i="4" s="1"/>
  <c r="W670" i="4" a="1"/>
  <c r="W670" i="4" s="1"/>
  <c r="W671" i="4" a="1"/>
  <c r="W671" i="4" s="1"/>
  <c r="W672" i="4" a="1"/>
  <c r="W672" i="4" s="1"/>
  <c r="W673" i="4" a="1"/>
  <c r="W673" i="4" s="1"/>
  <c r="W674" i="4" a="1"/>
  <c r="W674" i="4"/>
  <c r="W675" i="4" a="1"/>
  <c r="W675" i="4"/>
  <c r="W676" i="4" a="1"/>
  <c r="W676" i="4"/>
  <c r="W677" i="4" a="1"/>
  <c r="W677" i="4" s="1"/>
  <c r="W678" i="4" a="1"/>
  <c r="W678" i="4"/>
  <c r="W679" i="4" a="1"/>
  <c r="W679" i="4" s="1"/>
  <c r="W680" i="4" a="1"/>
  <c r="W680" i="4" s="1"/>
  <c r="W681" i="4" a="1"/>
  <c r="W681" i="4" s="1"/>
  <c r="W682" i="4" a="1"/>
  <c r="W682" i="4"/>
  <c r="W683" i="4" a="1"/>
  <c r="W683" i="4"/>
  <c r="W684" i="4" a="1"/>
  <c r="W684" i="4"/>
  <c r="W685" i="4" a="1"/>
  <c r="W685" i="4" s="1"/>
  <c r="W686" i="4" a="1"/>
  <c r="W686" i="4" s="1"/>
  <c r="W687" i="4" a="1"/>
  <c r="W687" i="4"/>
  <c r="W688" i="4" a="1"/>
  <c r="W688" i="4" s="1"/>
  <c r="W689" i="4" a="1"/>
  <c r="W689" i="4" s="1"/>
  <c r="W690" i="4" a="1"/>
  <c r="W690" i="4"/>
  <c r="W691" i="4" a="1"/>
  <c r="W691" i="4"/>
  <c r="W692" i="4" a="1"/>
  <c r="W692" i="4"/>
  <c r="W693" i="4" a="1"/>
  <c r="W693" i="4" s="1"/>
  <c r="W694" i="4" a="1"/>
  <c r="W694" i="4" s="1"/>
  <c r="W695" i="4" a="1"/>
  <c r="W695" i="4" s="1"/>
  <c r="W696" i="4" a="1"/>
  <c r="W696" i="4"/>
  <c r="W697" i="4" a="1"/>
  <c r="W697" i="4" s="1"/>
  <c r="W698" i="4" a="1"/>
  <c r="W698" i="4"/>
  <c r="W699" i="4" a="1"/>
  <c r="W699" i="4"/>
  <c r="W700" i="4" a="1"/>
  <c r="W700" i="4"/>
  <c r="W701" i="4" a="1"/>
  <c r="W701" i="4" s="1"/>
  <c r="W702" i="4" a="1"/>
  <c r="W702" i="4" s="1"/>
  <c r="W703" i="4" a="1"/>
  <c r="W703" i="4" s="1"/>
  <c r="W704" i="4" a="1"/>
  <c r="W704" i="4" s="1"/>
  <c r="W705" i="4" a="1"/>
  <c r="W705" i="4" s="1"/>
  <c r="W706" i="4" a="1"/>
  <c r="W706" i="4"/>
  <c r="W707" i="4" a="1"/>
  <c r="W707" i="4"/>
  <c r="W708" i="4" a="1"/>
  <c r="W708" i="4"/>
  <c r="W709" i="4" a="1"/>
  <c r="W709" i="4" s="1"/>
  <c r="W710" i="4" a="1"/>
  <c r="W710" i="4"/>
  <c r="W711" i="4" a="1"/>
  <c r="W711" i="4" s="1"/>
  <c r="W712" i="4" a="1"/>
  <c r="W712" i="4" s="1"/>
  <c r="W713" i="4" a="1"/>
  <c r="W713" i="4" s="1"/>
  <c r="W714" i="4" a="1"/>
  <c r="W714" i="4"/>
  <c r="W715" i="4" a="1"/>
  <c r="W715" i="4"/>
  <c r="W716" i="4" a="1"/>
  <c r="W716" i="4"/>
  <c r="W717" i="4" a="1"/>
  <c r="W717" i="4" s="1"/>
  <c r="W718" i="4" a="1"/>
  <c r="W718" i="4" s="1"/>
  <c r="W719" i="4" a="1"/>
  <c r="W719" i="4"/>
  <c r="W720" i="4" a="1"/>
  <c r="W720" i="4" s="1"/>
  <c r="W721" i="4" a="1"/>
  <c r="W721" i="4" s="1"/>
  <c r="W722" i="4" a="1"/>
  <c r="W722" i="4"/>
  <c r="W723" i="4" a="1"/>
  <c r="W723" i="4"/>
  <c r="W724" i="4" a="1"/>
  <c r="W724" i="4"/>
  <c r="W725" i="4" a="1"/>
  <c r="W725" i="4" s="1"/>
  <c r="W726" i="4" a="1"/>
  <c r="W726" i="4" s="1"/>
  <c r="W727" i="4" a="1"/>
  <c r="W727" i="4" s="1"/>
  <c r="W728" i="4" a="1"/>
  <c r="W728" i="4"/>
  <c r="W729" i="4" a="1"/>
  <c r="W729" i="4" s="1"/>
  <c r="W730" i="4" a="1"/>
  <c r="W730" i="4"/>
  <c r="W731" i="4" a="1"/>
  <c r="W731" i="4"/>
  <c r="W732" i="4" a="1"/>
  <c r="W732" i="4"/>
  <c r="W733" i="4" a="1"/>
  <c r="W733" i="4" s="1"/>
  <c r="W734" i="4" a="1"/>
  <c r="W734" i="4" s="1"/>
  <c r="W735" i="4" a="1"/>
  <c r="W735" i="4" s="1"/>
  <c r="W736" i="4" a="1"/>
  <c r="W736" i="4" s="1"/>
  <c r="W737" i="4" a="1"/>
  <c r="W737" i="4" s="1"/>
  <c r="W738" i="4" a="1"/>
  <c r="W738" i="4"/>
  <c r="W739" i="4" a="1"/>
  <c r="W739" i="4"/>
  <c r="W740" i="4" a="1"/>
  <c r="W740" i="4"/>
  <c r="W741" i="4" a="1"/>
  <c r="W741" i="4" s="1"/>
  <c r="W742" i="4" a="1"/>
  <c r="W742" i="4"/>
  <c r="W743" i="4" a="1"/>
  <c r="W743" i="4" s="1"/>
  <c r="W744" i="4" a="1"/>
  <c r="W744" i="4" s="1"/>
  <c r="W745" i="4" a="1"/>
  <c r="W745" i="4" s="1"/>
  <c r="W746" i="4" a="1"/>
  <c r="W746" i="4"/>
  <c r="W747" i="4" a="1"/>
  <c r="W747" i="4"/>
  <c r="W748" i="4" a="1"/>
  <c r="W748" i="4"/>
  <c r="W749" i="4" a="1"/>
  <c r="W749" i="4" s="1"/>
  <c r="W750" i="4" a="1"/>
  <c r="W750" i="4" s="1"/>
  <c r="W751" i="4" a="1"/>
  <c r="W751" i="4"/>
  <c r="W752" i="4" a="1"/>
  <c r="W752" i="4" s="1"/>
  <c r="W753" i="4" a="1"/>
  <c r="W753" i="4" s="1"/>
  <c r="W754" i="4" a="1"/>
  <c r="W754" i="4"/>
  <c r="W755" i="4" a="1"/>
  <c r="W755" i="4"/>
  <c r="W756" i="4" a="1"/>
  <c r="W756" i="4"/>
  <c r="W757" i="4" a="1"/>
  <c r="W757" i="4" s="1"/>
  <c r="W758" i="4" a="1"/>
  <c r="W758" i="4" s="1"/>
  <c r="W759" i="4" a="1"/>
  <c r="W759" i="4" s="1"/>
  <c r="W760" i="4" a="1"/>
  <c r="W760" i="4"/>
  <c r="W761" i="4" a="1"/>
  <c r="W761" i="4" s="1"/>
  <c r="W762" i="4" a="1"/>
  <c r="W762" i="4"/>
  <c r="W763" i="4" a="1"/>
  <c r="W763" i="4"/>
  <c r="W764" i="4" a="1"/>
  <c r="W764" i="4"/>
  <c r="W765" i="4" a="1"/>
  <c r="W765" i="4" s="1"/>
  <c r="W766" i="4" a="1"/>
  <c r="W766" i="4" s="1"/>
  <c r="W767" i="4" a="1"/>
  <c r="W767" i="4" s="1"/>
  <c r="W768" i="4" a="1"/>
  <c r="W768" i="4" s="1"/>
  <c r="W769" i="4" a="1"/>
  <c r="W769" i="4" s="1"/>
  <c r="W770" i="4" a="1"/>
  <c r="W770" i="4"/>
  <c r="W771" i="4" a="1"/>
  <c r="W771" i="4"/>
  <c r="W772" i="4" a="1"/>
  <c r="W772" i="4"/>
  <c r="W773" i="4" a="1"/>
  <c r="W773" i="4" s="1"/>
  <c r="W774" i="4" a="1"/>
  <c r="W774" i="4"/>
  <c r="W775" i="4" a="1"/>
  <c r="W775" i="4" s="1"/>
  <c r="W776" i="4" a="1"/>
  <c r="W776" i="4" s="1"/>
  <c r="W777" i="4" a="1"/>
  <c r="W777" i="4" s="1"/>
  <c r="W778" i="4" a="1"/>
  <c r="W778" i="4"/>
  <c r="W779" i="4" a="1"/>
  <c r="W779" i="4"/>
  <c r="W780" i="4" a="1"/>
  <c r="W780" i="4"/>
  <c r="W781" i="4" a="1"/>
  <c r="W781" i="4" s="1"/>
  <c r="W782" i="4" a="1"/>
  <c r="W782" i="4" s="1"/>
  <c r="W783" i="4" a="1"/>
  <c r="W783" i="4"/>
  <c r="W784" i="4" a="1"/>
  <c r="W784" i="4" s="1"/>
  <c r="W785" i="4" a="1"/>
  <c r="W785" i="4" s="1"/>
  <c r="W786" i="4" a="1"/>
  <c r="W786" i="4"/>
  <c r="W787" i="4" a="1"/>
  <c r="W787" i="4"/>
  <c r="W788" i="4" a="1"/>
  <c r="W788" i="4"/>
  <c r="W789" i="4" a="1"/>
  <c r="W789" i="4" s="1"/>
  <c r="W790" i="4" a="1"/>
  <c r="W790" i="4" s="1"/>
  <c r="W791" i="4" a="1"/>
  <c r="W791" i="4" s="1"/>
  <c r="W792" i="4" a="1"/>
  <c r="W792" i="4"/>
  <c r="W793" i="4" a="1"/>
  <c r="W793" i="4" s="1"/>
  <c r="W794" i="4" a="1"/>
  <c r="W794" i="4"/>
  <c r="W795" i="4" a="1"/>
  <c r="W795" i="4"/>
  <c r="W796" i="4" a="1"/>
  <c r="W796" i="4"/>
  <c r="W797" i="4" a="1"/>
  <c r="W797" i="4" s="1"/>
  <c r="W798" i="4" a="1"/>
  <c r="W798" i="4" s="1"/>
  <c r="W799" i="4" a="1"/>
  <c r="W799" i="4" s="1"/>
  <c r="W800" i="4" a="1"/>
  <c r="W800" i="4" s="1"/>
  <c r="W801" i="4" a="1"/>
  <c r="W801" i="4" s="1"/>
  <c r="W802" i="4" a="1"/>
  <c r="W802" i="4"/>
  <c r="W803" i="4" a="1"/>
  <c r="W803" i="4"/>
  <c r="W804" i="4" a="1"/>
  <c r="W804" i="4"/>
  <c r="W805" i="4" a="1"/>
  <c r="W805" i="4" s="1"/>
  <c r="W806" i="4" a="1"/>
  <c r="W806" i="4"/>
  <c r="W807" i="4" a="1"/>
  <c r="W807" i="4" s="1"/>
  <c r="W808" i="4" a="1"/>
  <c r="W808" i="4" s="1"/>
  <c r="W809" i="4" a="1"/>
  <c r="W809" i="4" s="1"/>
  <c r="W810" i="4" a="1"/>
  <c r="W810" i="4"/>
  <c r="W811" i="4" a="1"/>
  <c r="W811" i="4"/>
  <c r="W812" i="4" a="1"/>
  <c r="W812" i="4"/>
  <c r="W813" i="4" a="1"/>
  <c r="W813" i="4" s="1"/>
  <c r="W814" i="4" a="1"/>
  <c r="W814" i="4" s="1"/>
  <c r="W815" i="4" a="1"/>
  <c r="W815" i="4"/>
  <c r="W816" i="4" a="1"/>
  <c r="W816" i="4" s="1"/>
  <c r="W817" i="4" a="1"/>
  <c r="W817" i="4" s="1"/>
  <c r="W818" i="4" a="1"/>
  <c r="W818" i="4"/>
  <c r="W819" i="4" a="1"/>
  <c r="W819" i="4"/>
  <c r="W820" i="4" a="1"/>
  <c r="W820" i="4"/>
  <c r="W821" i="4" a="1"/>
  <c r="W821" i="4" s="1"/>
  <c r="W822" i="4" a="1"/>
  <c r="W822" i="4" s="1"/>
  <c r="W823" i="4" a="1"/>
  <c r="W823" i="4" s="1"/>
  <c r="W824" i="4" a="1"/>
  <c r="W824" i="4"/>
  <c r="W825" i="4" a="1"/>
  <c r="W825" i="4" s="1"/>
  <c r="W826" i="4" a="1"/>
  <c r="W826" i="4"/>
  <c r="W827" i="4" a="1"/>
  <c r="W827" i="4"/>
  <c r="W828" i="4" a="1"/>
  <c r="W828" i="4"/>
  <c r="W829" i="4" a="1"/>
  <c r="W829" i="4" s="1"/>
  <c r="W830" i="4" a="1"/>
  <c r="W830" i="4" s="1"/>
  <c r="W831" i="4" a="1"/>
  <c r="W831" i="4" s="1"/>
  <c r="W832" i="4" a="1"/>
  <c r="W832" i="4" s="1"/>
  <c r="W833" i="4" a="1"/>
  <c r="W833" i="4" s="1"/>
  <c r="W834" i="4" a="1"/>
  <c r="W834" i="4"/>
  <c r="W835" i="4" a="1"/>
  <c r="W835" i="4"/>
  <c r="W836" i="4" a="1"/>
  <c r="W836" i="4"/>
  <c r="W837" i="4" a="1"/>
  <c r="W837" i="4" s="1"/>
  <c r="W838" i="4" a="1"/>
  <c r="W838" i="4"/>
  <c r="W839" i="4" a="1"/>
  <c r="W839" i="4" s="1"/>
  <c r="W840" i="4" a="1"/>
  <c r="W840" i="4" s="1"/>
  <c r="W841" i="4" a="1"/>
  <c r="W841" i="4" s="1"/>
  <c r="W842" i="4" a="1"/>
  <c r="W842" i="4"/>
  <c r="W843" i="4" a="1"/>
  <c r="W843" i="4"/>
  <c r="W844" i="4" a="1"/>
  <c r="W844" i="4"/>
  <c r="W845" i="4" a="1"/>
  <c r="W845" i="4" s="1"/>
  <c r="W846" i="4" a="1"/>
  <c r="W846" i="4" s="1"/>
  <c r="W847" i="4" a="1"/>
  <c r="W847" i="4"/>
  <c r="W848" i="4" a="1"/>
  <c r="W848" i="4" s="1"/>
  <c r="W849" i="4" a="1"/>
  <c r="W849" i="4" s="1"/>
  <c r="W850" i="4" a="1"/>
  <c r="W850" i="4"/>
  <c r="W851" i="4" a="1"/>
  <c r="W851" i="4"/>
  <c r="W852" i="4" a="1"/>
  <c r="W852" i="4"/>
  <c r="W853" i="4" a="1"/>
  <c r="W853" i="4" s="1"/>
  <c r="W854" i="4" a="1"/>
  <c r="W854" i="4" s="1"/>
  <c r="W855" i="4" a="1"/>
  <c r="W855" i="4" s="1"/>
  <c r="W856" i="4" a="1"/>
  <c r="W856" i="4"/>
  <c r="W857" i="4" a="1"/>
  <c r="W857" i="4" s="1"/>
  <c r="W858" i="4" a="1"/>
  <c r="W858" i="4"/>
  <c r="W859" i="4" a="1"/>
  <c r="W859" i="4"/>
  <c r="W860" i="4" a="1"/>
  <c r="W860" i="4"/>
  <c r="W861" i="4" a="1"/>
  <c r="W861" i="4" s="1"/>
  <c r="W862" i="4" a="1"/>
  <c r="W862" i="4" s="1"/>
  <c r="W863" i="4" a="1"/>
  <c r="W863" i="4" s="1"/>
  <c r="W864" i="4" a="1"/>
  <c r="W864" i="4" s="1"/>
  <c r="W865" i="4" a="1"/>
  <c r="W865" i="4" s="1"/>
  <c r="W866" i="4" a="1"/>
  <c r="W866" i="4"/>
  <c r="W867" i="4" a="1"/>
  <c r="W867" i="4"/>
  <c r="W868" i="4" a="1"/>
  <c r="W868" i="4"/>
  <c r="W869" i="4" a="1"/>
  <c r="W869" i="4" s="1"/>
  <c r="W870" i="4" a="1"/>
  <c r="W870" i="4"/>
  <c r="W871" i="4" a="1"/>
  <c r="W871" i="4" s="1"/>
  <c r="W872" i="4" a="1"/>
  <c r="W872" i="4" s="1"/>
  <c r="W873" i="4" a="1"/>
  <c r="W873" i="4" s="1"/>
  <c r="W874" i="4" a="1"/>
  <c r="W874" i="4"/>
  <c r="W875" i="4" a="1"/>
  <c r="W875" i="4"/>
  <c r="W876" i="4" a="1"/>
  <c r="W876" i="4"/>
  <c r="W877" i="4" a="1"/>
  <c r="W877" i="4" s="1"/>
  <c r="W878" i="4" a="1"/>
  <c r="W878" i="4" s="1"/>
  <c r="W879" i="4" a="1"/>
  <c r="W879" i="4"/>
  <c r="W880" i="4" a="1"/>
  <c r="W880" i="4" s="1"/>
  <c r="W881" i="4" a="1"/>
  <c r="W881" i="4" s="1"/>
  <c r="W882" i="4" a="1"/>
  <c r="W882" i="4"/>
  <c r="W883" i="4" a="1"/>
  <c r="W883" i="4"/>
  <c r="W884" i="4" a="1"/>
  <c r="W884" i="4"/>
  <c r="W885" i="4" a="1"/>
  <c r="W885" i="4" s="1"/>
  <c r="W886" i="4" a="1"/>
  <c r="W886" i="4" s="1"/>
  <c r="W887" i="4" a="1"/>
  <c r="W887" i="4" s="1"/>
  <c r="W888" i="4" a="1"/>
  <c r="W888" i="4"/>
  <c r="W889" i="4" a="1"/>
  <c r="W889" i="4" s="1"/>
  <c r="W890" i="4" a="1"/>
  <c r="W890" i="4"/>
  <c r="W891" i="4" a="1"/>
  <c r="W891" i="4"/>
  <c r="W892" i="4" a="1"/>
  <c r="W892" i="4"/>
  <c r="W893" i="4" a="1"/>
  <c r="W893" i="4" s="1"/>
  <c r="W894" i="4" a="1"/>
  <c r="W894" i="4" s="1"/>
  <c r="W895" i="4" a="1"/>
  <c r="W895" i="4" s="1"/>
  <c r="W896" i="4" a="1"/>
  <c r="W896" i="4" s="1"/>
  <c r="W897" i="4" a="1"/>
  <c r="W897" i="4" s="1"/>
  <c r="W898" i="4" a="1"/>
  <c r="W898" i="4"/>
  <c r="W899" i="4" a="1"/>
  <c r="W899" i="4"/>
  <c r="W900" i="4" a="1"/>
  <c r="W900" i="4"/>
  <c r="W901" i="4" a="1"/>
  <c r="W901" i="4" s="1"/>
  <c r="W902" i="4" a="1"/>
  <c r="W902" i="4"/>
  <c r="W903" i="4" a="1"/>
  <c r="W903" i="4" s="1"/>
  <c r="W904" i="4" a="1"/>
  <c r="W904" i="4" s="1"/>
  <c r="W905" i="4" a="1"/>
  <c r="W905" i="4" s="1"/>
  <c r="W906" i="4" a="1"/>
  <c r="W906" i="4"/>
  <c r="W907" i="4" a="1"/>
  <c r="W907" i="4"/>
  <c r="W908" i="4" a="1"/>
  <c r="W908" i="4"/>
  <c r="W909" i="4" a="1"/>
  <c r="W909" i="4" s="1"/>
  <c r="W910" i="4" a="1"/>
  <c r="W910" i="4" s="1"/>
  <c r="W911" i="4" a="1"/>
  <c r="W911" i="4"/>
  <c r="W912" i="4" a="1"/>
  <c r="W912" i="4" s="1"/>
  <c r="W913" i="4" a="1"/>
  <c r="W913" i="4" s="1"/>
  <c r="W914" i="4" a="1"/>
  <c r="W914" i="4"/>
  <c r="W915" i="4" a="1"/>
  <c r="W915" i="4"/>
  <c r="W916" i="4" a="1"/>
  <c r="W916" i="4"/>
  <c r="W917" i="4" a="1"/>
  <c r="W917" i="4" s="1"/>
  <c r="W918" i="4" a="1"/>
  <c r="W918" i="4" s="1"/>
  <c r="W919" i="4" a="1"/>
  <c r="W919" i="4" s="1"/>
  <c r="W920" i="4" a="1"/>
  <c r="W920" i="4"/>
  <c r="W921" i="4" a="1"/>
  <c r="W921" i="4" s="1"/>
  <c r="W922" i="4" a="1"/>
  <c r="W922" i="4"/>
  <c r="W923" i="4" a="1"/>
  <c r="W923" i="4"/>
  <c r="W924" i="4" a="1"/>
  <c r="W924" i="4"/>
  <c r="W925" i="4" a="1"/>
  <c r="W925" i="4" s="1"/>
  <c r="W926" i="4" a="1"/>
  <c r="W926" i="4" s="1"/>
  <c r="W927" i="4" a="1"/>
  <c r="W927" i="4" s="1"/>
  <c r="W928" i="4" a="1"/>
  <c r="W928" i="4" s="1"/>
  <c r="W929" i="4" a="1"/>
  <c r="W929" i="4" s="1"/>
  <c r="W930" i="4" a="1"/>
  <c r="W930" i="4"/>
  <c r="W931" i="4" a="1"/>
  <c r="W931" i="4"/>
  <c r="W932" i="4" a="1"/>
  <c r="W932" i="4"/>
  <c r="W933" i="4" a="1"/>
  <c r="W933" i="4" s="1"/>
  <c r="W934" i="4" a="1"/>
  <c r="W934" i="4"/>
  <c r="W935" i="4" a="1"/>
  <c r="W935" i="4" s="1"/>
  <c r="W936" i="4" a="1"/>
  <c r="W936" i="4" s="1"/>
  <c r="W937" i="4" a="1"/>
  <c r="W937" i="4" s="1"/>
  <c r="W938" i="4" a="1"/>
  <c r="W938" i="4"/>
  <c r="W939" i="4" a="1"/>
  <c r="W939" i="4"/>
  <c r="W940" i="4" a="1"/>
  <c r="W940" i="4"/>
  <c r="W941" i="4" a="1"/>
  <c r="W941" i="4" s="1"/>
  <c r="W942" i="4" a="1"/>
  <c r="W942" i="4" s="1"/>
  <c r="W943" i="4" a="1"/>
  <c r="W943" i="4"/>
  <c r="W944" i="4" a="1"/>
  <c r="W944" i="4" s="1"/>
  <c r="W945" i="4" a="1"/>
  <c r="W945" i="4" s="1"/>
  <c r="W946" i="4" a="1"/>
  <c r="W946" i="4" s="1"/>
  <c r="W947" i="4" a="1"/>
  <c r="W947" i="4"/>
  <c r="W948" i="4" a="1"/>
  <c r="W948" i="4" s="1"/>
  <c r="W949" i="4" a="1"/>
  <c r="W949" i="4" s="1"/>
  <c r="W950" i="4" a="1"/>
  <c r="W950" i="4" s="1"/>
  <c r="W951" i="4" a="1"/>
  <c r="W951" i="4"/>
  <c r="W952" i="4" a="1"/>
  <c r="W952" i="4" s="1"/>
  <c r="W953" i="4" a="1"/>
  <c r="W953" i="4" s="1"/>
  <c r="W954" i="4" a="1"/>
  <c r="W954" i="4" s="1"/>
  <c r="W955" i="4" a="1"/>
  <c r="W955" i="4"/>
  <c r="W956" i="4" a="1"/>
  <c r="W956" i="4" s="1"/>
  <c r="W957" i="4" a="1"/>
  <c r="W957" i="4" s="1"/>
  <c r="W958" i="4" a="1"/>
  <c r="W958" i="4" s="1"/>
  <c r="W959" i="4" a="1"/>
  <c r="W959" i="4"/>
  <c r="W960" i="4" a="1"/>
  <c r="W960" i="4" s="1"/>
  <c r="W961" i="4" a="1"/>
  <c r="W961" i="4" s="1"/>
  <c r="W962" i="4" a="1"/>
  <c r="W962" i="4" s="1"/>
  <c r="W963" i="4" a="1"/>
  <c r="W963" i="4"/>
  <c r="W964" i="4" a="1"/>
  <c r="W964" i="4" s="1"/>
  <c r="W965" i="4" a="1"/>
  <c r="W965" i="4" s="1"/>
  <c r="W966" i="4" a="1"/>
  <c r="W966" i="4" s="1"/>
  <c r="W967" i="4" a="1"/>
  <c r="W967" i="4"/>
  <c r="W968" i="4" a="1"/>
  <c r="W968" i="4" s="1"/>
  <c r="W969" i="4" a="1"/>
  <c r="W969" i="4" s="1"/>
  <c r="W970" i="4" a="1"/>
  <c r="W970" i="4" s="1"/>
  <c r="W971" i="4" a="1"/>
  <c r="W971" i="4" s="1"/>
  <c r="W972" i="4" a="1"/>
  <c r="W972" i="4" s="1"/>
  <c r="W973" i="4" a="1"/>
  <c r="W973" i="4" s="1"/>
  <c r="W974" i="4" a="1"/>
  <c r="W974" i="4" s="1"/>
  <c r="W975" i="4" a="1"/>
  <c r="W975" i="4" s="1"/>
  <c r="W976" i="4" a="1"/>
  <c r="W976" i="4" s="1"/>
  <c r="W977" i="4" a="1"/>
  <c r="W977" i="4" s="1"/>
  <c r="W978" i="4" a="1"/>
  <c r="W978" i="4" s="1"/>
  <c r="W979" i="4" a="1"/>
  <c r="W979" i="4" s="1"/>
  <c r="W980" i="4" a="1"/>
  <c r="W980" i="4" s="1"/>
  <c r="W981" i="4" a="1"/>
  <c r="W981" i="4" s="1"/>
  <c r="W982" i="4" a="1"/>
  <c r="W982" i="4" s="1"/>
  <c r="W983" i="4" a="1"/>
  <c r="W983" i="4" s="1"/>
  <c r="W984" i="4" a="1"/>
  <c r="W984" i="4" s="1"/>
  <c r="W985" i="4" a="1"/>
  <c r="W985" i="4" s="1"/>
  <c r="W986" i="4" a="1"/>
  <c r="W986" i="4" s="1"/>
  <c r="W987" i="4" a="1"/>
  <c r="W987" i="4" s="1"/>
  <c r="W988" i="4" a="1"/>
  <c r="W988" i="4" s="1"/>
  <c r="W989" i="4" a="1"/>
  <c r="W989" i="4" s="1"/>
  <c r="W990" i="4" a="1"/>
  <c r="W990" i="4" s="1"/>
  <c r="W991" i="4" a="1"/>
  <c r="W991" i="4" s="1"/>
  <c r="W992" i="4" a="1"/>
  <c r="W992" i="4" s="1"/>
  <c r="W993" i="4" a="1"/>
  <c r="W993" i="4" s="1"/>
  <c r="W994" i="4" a="1"/>
  <c r="W994" i="4" s="1"/>
  <c r="W995" i="4" a="1"/>
  <c r="W995" i="4" s="1"/>
  <c r="W996" i="4" a="1"/>
  <c r="W996" i="4" s="1"/>
  <c r="W997" i="4" a="1"/>
  <c r="W997" i="4" s="1"/>
  <c r="W998" i="4" a="1"/>
  <c r="W998" i="4" s="1"/>
  <c r="W999" i="4" a="1"/>
  <c r="W999" i="4" s="1"/>
  <c r="W1000" i="4" a="1"/>
  <c r="W1000" i="4" s="1"/>
  <c r="W1001" i="4" a="1"/>
  <c r="W1001" i="4" s="1"/>
  <c r="W1002" i="4" a="1"/>
  <c r="W1002" i="4" s="1"/>
  <c r="W1003" i="4" a="1"/>
  <c r="W1003" i="4" s="1"/>
  <c r="W1004" i="4" a="1"/>
  <c r="W1004" i="4" s="1"/>
  <c r="W1005" i="4" a="1"/>
  <c r="W1005" i="4" s="1"/>
  <c r="W1006" i="4" a="1"/>
  <c r="W1006" i="4" s="1"/>
  <c r="W1007" i="4" a="1"/>
  <c r="W1007" i="4" s="1"/>
  <c r="W1008" i="4" a="1"/>
  <c r="W1008" i="4" s="1"/>
  <c r="W1009" i="4" a="1"/>
  <c r="W1009" i="4" s="1"/>
  <c r="W1010" i="4" a="1"/>
  <c r="W1010" i="4" s="1"/>
  <c r="W1011" i="4" a="1"/>
  <c r="W1011" i="4" s="1"/>
  <c r="W1012" i="4" a="1"/>
  <c r="W1012" i="4" s="1"/>
  <c r="W1013" i="4" a="1"/>
  <c r="W1013" i="4" s="1"/>
  <c r="W1014" i="4" a="1"/>
  <c r="W1014" i="4" s="1"/>
  <c r="W1015" i="4" a="1"/>
  <c r="W1015" i="4" s="1"/>
  <c r="W1016" i="4" a="1"/>
  <c r="W1016" i="4" s="1"/>
  <c r="W1017" i="4" a="1"/>
  <c r="W1017" i="4" s="1"/>
  <c r="W1018" i="4" a="1"/>
  <c r="W1018" i="4" s="1"/>
  <c r="W1019" i="4" a="1"/>
  <c r="W1019" i="4" s="1"/>
  <c r="W1020" i="4" a="1"/>
  <c r="W1020" i="4" s="1"/>
  <c r="W1021" i="4" a="1"/>
  <c r="W1021" i="4" s="1"/>
  <c r="W1022" i="4" a="1"/>
  <c r="W1022" i="4" s="1"/>
  <c r="W1023" i="4" a="1"/>
  <c r="W1023" i="4" s="1"/>
  <c r="W1024" i="4" a="1"/>
  <c r="W1024" i="4" s="1"/>
  <c r="W1025" i="4" a="1"/>
  <c r="W1025" i="4" s="1"/>
  <c r="W1026" i="4" a="1"/>
  <c r="W1026" i="4" s="1"/>
  <c r="W1027" i="4" a="1"/>
  <c r="W1027" i="4" s="1"/>
  <c r="W1028" i="4" a="1"/>
  <c r="W1028" i="4" s="1"/>
  <c r="W1029" i="4" a="1"/>
  <c r="W1029" i="4" s="1"/>
  <c r="W1030" i="4" a="1"/>
  <c r="W1030" i="4" s="1"/>
  <c r="W1031" i="4" a="1"/>
  <c r="W1031" i="4" s="1"/>
  <c r="W1032" i="4" a="1"/>
  <c r="W1032" i="4" s="1"/>
  <c r="W1033" i="4" a="1"/>
  <c r="W1033" i="4" s="1"/>
  <c r="W1034" i="4" a="1"/>
  <c r="W1034" i="4" s="1"/>
  <c r="W1035" i="4" a="1"/>
  <c r="W1035" i="4" s="1"/>
  <c r="W1036" i="4" a="1"/>
  <c r="W1036" i="4" s="1"/>
  <c r="W1037" i="4" a="1"/>
  <c r="W1037" i="4" s="1"/>
  <c r="W1038" i="4" a="1"/>
  <c r="W1038" i="4" s="1"/>
  <c r="W1039" i="4" a="1"/>
  <c r="W1039" i="4" s="1"/>
  <c r="W1040" i="4" a="1"/>
  <c r="W1040" i="4" s="1"/>
  <c r="W1041" i="4" a="1"/>
  <c r="W1041" i="4" s="1"/>
  <c r="W1042" i="4" a="1"/>
  <c r="W1042" i="4" s="1"/>
  <c r="W1043" i="4" a="1"/>
  <c r="W1043" i="4" s="1"/>
  <c r="W1044" i="4" a="1"/>
  <c r="W1044" i="4" s="1"/>
  <c r="W1045" i="4" a="1"/>
  <c r="W1045" i="4" s="1"/>
  <c r="W2" i="4" a="1"/>
  <c r="W2" i="4"/>
  <c r="T3" i="4"/>
  <c r="U3" i="4" s="1" a="1"/>
  <c r="U3" i="4" s="1"/>
  <c r="T4" i="4"/>
  <c r="U4" i="4" s="1" a="1"/>
  <c r="U4" i="4" s="1"/>
  <c r="T5" i="4"/>
  <c r="U5" i="4" s="1" a="1"/>
  <c r="U5" i="4" s="1"/>
  <c r="T6" i="4"/>
  <c r="U6" i="4" a="1"/>
  <c r="U6" i="4" s="1"/>
  <c r="T7" i="4"/>
  <c r="U7" i="4" s="1" a="1"/>
  <c r="U7" i="4" s="1"/>
  <c r="T8" i="4"/>
  <c r="U8" i="4" s="1" a="1"/>
  <c r="U8" i="4" s="1"/>
  <c r="T9" i="4"/>
  <c r="U9" i="4" s="1" a="1"/>
  <c r="U9" i="4" s="1"/>
  <c r="T10" i="4"/>
  <c r="U10" i="4" s="1" a="1"/>
  <c r="U10" i="4" s="1"/>
  <c r="T11" i="4"/>
  <c r="U11" i="4" s="1" a="1"/>
  <c r="U11" i="4" s="1"/>
  <c r="T12" i="4"/>
  <c r="U12" i="4" s="1" a="1"/>
  <c r="U12" i="4" s="1"/>
  <c r="T13" i="4"/>
  <c r="U13" i="4" s="1" a="1"/>
  <c r="U13" i="4" s="1"/>
  <c r="T14" i="4"/>
  <c r="U14" i="4" a="1"/>
  <c r="U14" i="4" s="1"/>
  <c r="T15" i="4"/>
  <c r="U15" i="4" s="1" a="1"/>
  <c r="U15" i="4" s="1"/>
  <c r="T16" i="4"/>
  <c r="U16" i="4" a="1"/>
  <c r="U16" i="4" s="1"/>
  <c r="T17" i="4"/>
  <c r="U17" i="4" s="1" a="1"/>
  <c r="U17" i="4" s="1"/>
  <c r="T18" i="4"/>
  <c r="U18" i="4" a="1"/>
  <c r="U18" i="4" s="1"/>
  <c r="T19" i="4"/>
  <c r="U19" i="4" s="1" a="1"/>
  <c r="U19" i="4" s="1"/>
  <c r="T20" i="4"/>
  <c r="U20" i="4" a="1"/>
  <c r="U20" i="4" s="1"/>
  <c r="T21" i="4"/>
  <c r="U21" i="4" s="1" a="1"/>
  <c r="U21" i="4" s="1"/>
  <c r="T22" i="4"/>
  <c r="U22" i="4" a="1"/>
  <c r="U22" i="4" s="1"/>
  <c r="T23" i="4"/>
  <c r="U23" i="4" s="1" a="1"/>
  <c r="U23" i="4"/>
  <c r="T24" i="4"/>
  <c r="U24" i="4" a="1"/>
  <c r="U24" i="4" s="1"/>
  <c r="T25" i="4"/>
  <c r="U25" i="4" s="1" a="1"/>
  <c r="U25" i="4" s="1"/>
  <c r="T26" i="4"/>
  <c r="U26" i="4" a="1"/>
  <c r="U26" i="4" s="1"/>
  <c r="T27" i="4"/>
  <c r="U27" i="4" s="1" a="1"/>
  <c r="U27" i="4" s="1"/>
  <c r="T28" i="4"/>
  <c r="U28" i="4" a="1"/>
  <c r="U28" i="4" s="1"/>
  <c r="T29" i="4"/>
  <c r="U29" i="4" s="1" a="1"/>
  <c r="U29" i="4" s="1"/>
  <c r="T30" i="4"/>
  <c r="U30" i="4" a="1"/>
  <c r="U30" i="4" s="1"/>
  <c r="T31" i="4"/>
  <c r="U31" i="4" s="1" a="1"/>
  <c r="U31" i="4"/>
  <c r="T32" i="4"/>
  <c r="U32" i="4" s="1" a="1"/>
  <c r="U32" i="4" s="1"/>
  <c r="T33" i="4"/>
  <c r="U33" i="4" s="1" a="1"/>
  <c r="U33" i="4" s="1"/>
  <c r="T34" i="4"/>
  <c r="U34" i="4" a="1"/>
  <c r="U34" i="4" s="1"/>
  <c r="T35" i="4"/>
  <c r="U35" i="4" s="1" a="1"/>
  <c r="U35" i="4" s="1"/>
  <c r="T36" i="4"/>
  <c r="U36" i="4" a="1"/>
  <c r="U36" i="4" s="1"/>
  <c r="T37" i="4"/>
  <c r="U37" i="4" s="1" a="1"/>
  <c r="U37" i="4" s="1"/>
  <c r="T38" i="4"/>
  <c r="U38" i="4" s="1" a="1"/>
  <c r="U38" i="4" s="1"/>
  <c r="T39" i="4"/>
  <c r="U39" i="4" s="1" a="1"/>
  <c r="U39" i="4" s="1"/>
  <c r="T40" i="4"/>
  <c r="U40" i="4" s="1" a="1"/>
  <c r="U40" i="4" s="1"/>
  <c r="T41" i="4"/>
  <c r="U41" i="4" s="1" a="1"/>
  <c r="U41" i="4" s="1"/>
  <c r="T42" i="4"/>
  <c r="U42" i="4" s="1" a="1"/>
  <c r="U42" i="4" s="1"/>
  <c r="T43" i="4"/>
  <c r="U43" i="4" s="1" a="1"/>
  <c r="U43" i="4" s="1"/>
  <c r="T44" i="4"/>
  <c r="U44" i="4" a="1"/>
  <c r="U44" i="4" s="1"/>
  <c r="T45" i="4"/>
  <c r="U45" i="4" s="1" a="1"/>
  <c r="U45" i="4" s="1"/>
  <c r="T46" i="4"/>
  <c r="U46" i="4" a="1"/>
  <c r="U46" i="4" s="1"/>
  <c r="T47" i="4"/>
  <c r="U47" i="4" s="1" a="1"/>
  <c r="U47" i="4" s="1"/>
  <c r="T48" i="4"/>
  <c r="U48" i="4" a="1"/>
  <c r="U48" i="4" s="1"/>
  <c r="T49" i="4"/>
  <c r="U49" i="4" s="1" a="1"/>
  <c r="U49" i="4" s="1"/>
  <c r="T50" i="4"/>
  <c r="U50" i="4" a="1"/>
  <c r="U50" i="4" s="1"/>
  <c r="T51" i="4"/>
  <c r="U51" i="4" s="1" a="1"/>
  <c r="U51" i="4"/>
  <c r="T52" i="4"/>
  <c r="U52" i="4" s="1" a="1"/>
  <c r="U52" i="4" s="1"/>
  <c r="T53" i="4"/>
  <c r="U53" i="4" s="1" a="1"/>
  <c r="U53" i="4" s="1"/>
  <c r="T54" i="4"/>
  <c r="U54" i="4" a="1"/>
  <c r="U54" i="4" s="1"/>
  <c r="T55" i="4"/>
  <c r="U55" i="4" s="1" a="1"/>
  <c r="U55" i="4" s="1"/>
  <c r="T56" i="4"/>
  <c r="U56" i="4" a="1"/>
  <c r="U56" i="4" s="1"/>
  <c r="T57" i="4"/>
  <c r="U57" i="4" s="1" a="1"/>
  <c r="U57" i="4" s="1"/>
  <c r="T58" i="4"/>
  <c r="U58" i="4" a="1"/>
  <c r="U58" i="4" s="1"/>
  <c r="T59" i="4"/>
  <c r="U59" i="4" s="1" a="1"/>
  <c r="U59" i="4"/>
  <c r="T60" i="4"/>
  <c r="U60" i="4" s="1" a="1"/>
  <c r="U60" i="4" s="1"/>
  <c r="T61" i="4"/>
  <c r="U61" i="4" s="1" a="1"/>
  <c r="U61" i="4" s="1"/>
  <c r="T62" i="4"/>
  <c r="U62" i="4" s="1" a="1"/>
  <c r="U62" i="4" s="1"/>
  <c r="T63" i="4"/>
  <c r="U63" i="4" s="1" a="1"/>
  <c r="U63" i="4" s="1"/>
  <c r="T64" i="4"/>
  <c r="U64" i="4" a="1"/>
  <c r="U64" i="4" s="1"/>
  <c r="T65" i="4"/>
  <c r="U65" i="4" s="1" a="1"/>
  <c r="U65" i="4" s="1"/>
  <c r="T66" i="4"/>
  <c r="U66" i="4" a="1"/>
  <c r="U66" i="4" s="1"/>
  <c r="T67" i="4"/>
  <c r="U67" i="4" s="1" a="1"/>
  <c r="U67" i="4"/>
  <c r="T68" i="4"/>
  <c r="U68" i="4" a="1"/>
  <c r="U68" i="4" s="1"/>
  <c r="T69" i="4"/>
  <c r="U69" i="4" s="1" a="1"/>
  <c r="U69" i="4" s="1"/>
  <c r="T70" i="4"/>
  <c r="U70" i="4" a="1"/>
  <c r="U70" i="4" s="1"/>
  <c r="T71" i="4"/>
  <c r="U71" i="4" s="1" a="1"/>
  <c r="U71" i="4" s="1"/>
  <c r="T72" i="4"/>
  <c r="U72" i="4" a="1"/>
  <c r="U72" i="4" s="1"/>
  <c r="T73" i="4"/>
  <c r="U73" i="4" s="1" a="1"/>
  <c r="U73" i="4" s="1"/>
  <c r="T74" i="4"/>
  <c r="U74" i="4" a="1"/>
  <c r="U74" i="4" s="1"/>
  <c r="T75" i="4"/>
  <c r="U75" i="4" s="1" a="1"/>
  <c r="U75" i="4" s="1"/>
  <c r="T76" i="4"/>
  <c r="U76" i="4" a="1"/>
  <c r="U76" i="4" s="1"/>
  <c r="T77" i="4"/>
  <c r="U77" i="4" s="1" a="1"/>
  <c r="U77" i="4" s="1"/>
  <c r="T78" i="4"/>
  <c r="U78" i="4" s="1" a="1"/>
  <c r="U78" i="4" s="1"/>
  <c r="T79" i="4"/>
  <c r="U79" i="4" s="1" a="1"/>
  <c r="U79" i="4" s="1"/>
  <c r="T80" i="4"/>
  <c r="U80" i="4" s="1" a="1"/>
  <c r="U80" i="4" s="1"/>
  <c r="T81" i="4"/>
  <c r="U81" i="4" s="1" a="1"/>
  <c r="U81" i="4"/>
  <c r="T82" i="4"/>
  <c r="U82" i="4" a="1"/>
  <c r="U82" i="4" s="1"/>
  <c r="T83" i="4"/>
  <c r="U83" i="4" s="1" a="1"/>
  <c r="U83" i="4" s="1"/>
  <c r="T84" i="4"/>
  <c r="U84" i="4" a="1"/>
  <c r="U84" i="4" s="1"/>
  <c r="T85" i="4"/>
  <c r="U85" i="4" s="1" a="1"/>
  <c r="U85" i="4"/>
  <c r="T86" i="4"/>
  <c r="U86" i="4" s="1" a="1"/>
  <c r="U86" i="4" s="1"/>
  <c r="T87" i="4"/>
  <c r="U87" i="4" s="1" a="1"/>
  <c r="U87" i="4" s="1"/>
  <c r="T88" i="4"/>
  <c r="U88" i="4" a="1"/>
  <c r="U88" i="4" s="1"/>
  <c r="T89" i="4"/>
  <c r="U89" i="4" s="1" a="1"/>
  <c r="U89" i="4" s="1"/>
  <c r="T90" i="4"/>
  <c r="U90" i="4" a="1"/>
  <c r="U90" i="4" s="1"/>
  <c r="T91" i="4"/>
  <c r="U91" i="4" s="1" a="1"/>
  <c r="U91" i="4" s="1"/>
  <c r="T92" i="4"/>
  <c r="U92" i="4" a="1"/>
  <c r="U92" i="4" s="1"/>
  <c r="T93" i="4"/>
  <c r="U93" i="4" s="1" a="1"/>
  <c r="U93" i="4"/>
  <c r="T94" i="4"/>
  <c r="U94" i="4" s="1" a="1"/>
  <c r="U94" i="4" s="1"/>
  <c r="T95" i="4"/>
  <c r="U95" i="4" s="1" a="1"/>
  <c r="U95" i="4" s="1"/>
  <c r="T96" i="4"/>
  <c r="U96" i="4" s="1" a="1"/>
  <c r="U96" i="4" s="1"/>
  <c r="T97" i="4"/>
  <c r="U97" i="4" s="1" a="1"/>
  <c r="U97" i="4" s="1"/>
  <c r="T98" i="4"/>
  <c r="U98" i="4" a="1"/>
  <c r="U98" i="4" s="1"/>
  <c r="T99" i="4"/>
  <c r="U99" i="4" s="1" a="1"/>
  <c r="U99" i="4" s="1"/>
  <c r="T100" i="4"/>
  <c r="U100" i="4" a="1"/>
  <c r="U100" i="4" s="1"/>
  <c r="T101" i="4"/>
  <c r="U101" i="4" s="1" a="1"/>
  <c r="U101" i="4" s="1"/>
  <c r="T102" i="4"/>
  <c r="U102" i="4" s="1" a="1"/>
  <c r="U102" i="4" s="1"/>
  <c r="T103" i="4"/>
  <c r="U103" i="4" s="1" a="1"/>
  <c r="U103" i="4" s="1"/>
  <c r="T104" i="4"/>
  <c r="U104" i="4" s="1" a="1"/>
  <c r="U104" i="4" s="1"/>
  <c r="T105" i="4"/>
  <c r="U105" i="4" s="1" a="1"/>
  <c r="U105" i="4"/>
  <c r="T106" i="4"/>
  <c r="U106" i="4" a="1"/>
  <c r="U106" i="4" s="1"/>
  <c r="T107" i="4"/>
  <c r="U107" i="4" s="1" a="1"/>
  <c r="U107" i="4" s="1"/>
  <c r="T108" i="4"/>
  <c r="U108" i="4" a="1"/>
  <c r="U108" i="4" s="1"/>
  <c r="T109" i="4"/>
  <c r="U109" i="4" s="1" a="1"/>
  <c r="U109" i="4" s="1"/>
  <c r="T110" i="4"/>
  <c r="U110" i="4" a="1"/>
  <c r="U110" i="4" s="1"/>
  <c r="T111" i="4"/>
  <c r="U111" i="4" s="1" a="1"/>
  <c r="U111" i="4" s="1"/>
  <c r="T112" i="4"/>
  <c r="U112" i="4" s="1" a="1"/>
  <c r="U112" i="4" s="1"/>
  <c r="T113" i="4"/>
  <c r="U113" i="4" s="1" a="1"/>
  <c r="U113" i="4"/>
  <c r="T114" i="4"/>
  <c r="U114" i="4" a="1"/>
  <c r="U114" i="4" s="1"/>
  <c r="T115" i="4"/>
  <c r="U115" i="4" s="1" a="1"/>
  <c r="U115" i="4" s="1"/>
  <c r="T116" i="4"/>
  <c r="U116" i="4" a="1"/>
  <c r="U116" i="4" s="1"/>
  <c r="T117" i="4"/>
  <c r="U117" i="4" s="1" a="1"/>
  <c r="U117" i="4"/>
  <c r="T118" i="4"/>
  <c r="U118" i="4" s="1" a="1"/>
  <c r="U118" i="4" s="1"/>
  <c r="T119" i="4"/>
  <c r="U119" i="4" s="1" a="1"/>
  <c r="U119" i="4" s="1"/>
  <c r="T120" i="4"/>
  <c r="U120" i="4" s="1" a="1"/>
  <c r="U120" i="4" s="1"/>
  <c r="T121" i="4"/>
  <c r="U121" i="4" s="1" a="1"/>
  <c r="U121" i="4" s="1"/>
  <c r="T122" i="4"/>
  <c r="U122" i="4" a="1"/>
  <c r="U122" i="4" s="1"/>
  <c r="T123" i="4"/>
  <c r="U123" i="4" s="1" a="1"/>
  <c r="U123" i="4" s="1"/>
  <c r="T124" i="4"/>
  <c r="U124" i="4" a="1"/>
  <c r="U124" i="4" s="1"/>
  <c r="T125" i="4"/>
  <c r="U125" i="4" s="1" a="1"/>
  <c r="U125" i="4" s="1"/>
  <c r="T126" i="4"/>
  <c r="U126" i="4" s="1" a="1"/>
  <c r="U126" i="4" s="1"/>
  <c r="T127" i="4"/>
  <c r="U127" i="4" s="1" a="1"/>
  <c r="U127" i="4" s="1"/>
  <c r="T128" i="4"/>
  <c r="U128" i="4" s="1" a="1"/>
  <c r="U128" i="4" s="1"/>
  <c r="T129" i="4"/>
  <c r="U129" i="4" s="1" a="1"/>
  <c r="U129" i="4"/>
  <c r="T130" i="4"/>
  <c r="U130" i="4" a="1"/>
  <c r="U130" i="4" s="1"/>
  <c r="T131" i="4"/>
  <c r="U131" i="4" s="1" a="1"/>
  <c r="U131" i="4" s="1"/>
  <c r="T132" i="4"/>
  <c r="U132" i="4" a="1"/>
  <c r="U132" i="4" s="1"/>
  <c r="T133" i="4"/>
  <c r="U133" i="4" s="1" a="1"/>
  <c r="U133" i="4"/>
  <c r="T134" i="4"/>
  <c r="U134" i="4" s="1" a="1"/>
  <c r="U134" i="4" s="1"/>
  <c r="T135" i="4"/>
  <c r="U135" i="4" s="1" a="1"/>
  <c r="U135" i="4" s="1"/>
  <c r="T136" i="4"/>
  <c r="U136" i="4" a="1"/>
  <c r="U136" i="4" s="1"/>
  <c r="T137" i="4"/>
  <c r="U137" i="4" s="1" a="1"/>
  <c r="U137" i="4" s="1"/>
  <c r="T138" i="4"/>
  <c r="U138" i="4" a="1"/>
  <c r="U138" i="4" s="1"/>
  <c r="T139" i="4"/>
  <c r="U139" i="4" s="1" a="1"/>
  <c r="U139" i="4" s="1"/>
  <c r="T140" i="4"/>
  <c r="U140" i="4" s="1" a="1"/>
  <c r="U140" i="4" s="1"/>
  <c r="T141" i="4"/>
  <c r="U141" i="4" s="1" a="1"/>
  <c r="U141" i="4" s="1"/>
  <c r="T142" i="4"/>
  <c r="U142" i="4" s="1" a="1"/>
  <c r="U142" i="4" s="1"/>
  <c r="T143" i="4"/>
  <c r="U143" i="4" s="1" a="1"/>
  <c r="U143" i="4" s="1"/>
  <c r="T144" i="4"/>
  <c r="U144" i="4" s="1" a="1"/>
  <c r="U144" i="4" s="1"/>
  <c r="T145" i="4"/>
  <c r="U145" i="4" s="1" a="1"/>
  <c r="U145" i="4" s="1"/>
  <c r="T146" i="4"/>
  <c r="U146" i="4" a="1"/>
  <c r="U146" i="4" s="1"/>
  <c r="T147" i="4"/>
  <c r="U147" i="4" s="1" a="1"/>
  <c r="U147" i="4" s="1"/>
  <c r="T148" i="4"/>
  <c r="U148" i="4" a="1"/>
  <c r="U148" i="4" s="1"/>
  <c r="T149" i="4"/>
  <c r="U149" i="4" s="1" a="1"/>
  <c r="U149" i="4"/>
  <c r="T150" i="4"/>
  <c r="U150" i="4" a="1"/>
  <c r="U150" i="4" s="1"/>
  <c r="T151" i="4"/>
  <c r="U151" i="4" s="1" a="1"/>
  <c r="U151" i="4" s="1"/>
  <c r="T152" i="4"/>
  <c r="U152" i="4" a="1"/>
  <c r="U152" i="4" s="1"/>
  <c r="T153" i="4"/>
  <c r="U153" i="4" s="1" a="1"/>
  <c r="U153" i="4" s="1"/>
  <c r="T154" i="4"/>
  <c r="U154" i="4" a="1"/>
  <c r="U154" i="4" s="1"/>
  <c r="T155" i="4"/>
  <c r="U155" i="4" s="1" a="1"/>
  <c r="U155" i="4" s="1"/>
  <c r="T156" i="4"/>
  <c r="U156" i="4" a="1"/>
  <c r="U156" i="4" s="1"/>
  <c r="T157" i="4"/>
  <c r="U157" i="4" s="1" a="1"/>
  <c r="U157" i="4"/>
  <c r="T158" i="4"/>
  <c r="U158" i="4" s="1" a="1"/>
  <c r="U158" i="4" s="1"/>
  <c r="T159" i="4"/>
  <c r="U159" i="4" s="1" a="1"/>
  <c r="U159" i="4" s="1"/>
  <c r="T160" i="4"/>
  <c r="U160" i="4" a="1"/>
  <c r="U160" i="4" s="1"/>
  <c r="T161" i="4"/>
  <c r="U161" i="4" s="1" a="1"/>
  <c r="U161" i="4" s="1"/>
  <c r="T162" i="4"/>
  <c r="U162" i="4" a="1"/>
  <c r="U162" i="4" s="1"/>
  <c r="T163" i="4"/>
  <c r="U163" i="4" s="1" a="1"/>
  <c r="U163" i="4" s="1"/>
  <c r="T164" i="4"/>
  <c r="U164" i="4" s="1" a="1"/>
  <c r="U164" i="4" s="1"/>
  <c r="T165" i="4"/>
  <c r="U165" i="4" s="1" a="1"/>
  <c r="U165" i="4"/>
  <c r="T166" i="4"/>
  <c r="U166" i="4" a="1"/>
  <c r="U166" i="4" s="1"/>
  <c r="T167" i="4"/>
  <c r="U167" i="4" s="1" a="1"/>
  <c r="U167" i="4" s="1"/>
  <c r="T168" i="4"/>
  <c r="U168" i="4" a="1"/>
  <c r="U168" i="4" s="1"/>
  <c r="T169" i="4"/>
  <c r="U169" i="4" s="1" a="1"/>
  <c r="U169" i="4" s="1"/>
  <c r="T170" i="4"/>
  <c r="U170" i="4" a="1"/>
  <c r="U170" i="4" s="1"/>
  <c r="T171" i="4"/>
  <c r="U171" i="4" s="1" a="1"/>
  <c r="U171" i="4" s="1"/>
  <c r="T172" i="4"/>
  <c r="U172" i="4" a="1"/>
  <c r="U172" i="4" s="1"/>
  <c r="T173" i="4"/>
  <c r="U173" i="4" s="1" a="1"/>
  <c r="U173" i="4" s="1"/>
  <c r="T174" i="4"/>
  <c r="U174" i="4" s="1" a="1"/>
  <c r="U174" i="4" s="1"/>
  <c r="T175" i="4"/>
  <c r="U175" i="4" s="1" a="1"/>
  <c r="U175" i="4" s="1"/>
  <c r="T176" i="4"/>
  <c r="U176" i="4" s="1" a="1"/>
  <c r="U176" i="4" s="1"/>
  <c r="T177" i="4"/>
  <c r="U177" i="4" s="1" a="1"/>
  <c r="U177" i="4"/>
  <c r="T178" i="4"/>
  <c r="U178" i="4" a="1"/>
  <c r="U178" i="4" s="1"/>
  <c r="T179" i="4"/>
  <c r="U179" i="4" s="1" a="1"/>
  <c r="U179" i="4" s="1"/>
  <c r="T180" i="4"/>
  <c r="U180" i="4" a="1"/>
  <c r="U180" i="4" s="1"/>
  <c r="T181" i="4"/>
  <c r="U181" i="4" s="1" a="1"/>
  <c r="U181" i="4"/>
  <c r="T182" i="4"/>
  <c r="U182" i="4" s="1" a="1"/>
  <c r="U182" i="4" s="1"/>
  <c r="T183" i="4"/>
  <c r="U183" i="4" s="1" a="1"/>
  <c r="U183" i="4" s="1"/>
  <c r="T184" i="4"/>
  <c r="U184" i="4" a="1"/>
  <c r="U184" i="4" s="1"/>
  <c r="T185" i="4"/>
  <c r="U185" i="4" s="1" a="1"/>
  <c r="U185" i="4" s="1"/>
  <c r="T186" i="4"/>
  <c r="U186" i="4" a="1"/>
  <c r="U186" i="4" s="1"/>
  <c r="T187" i="4"/>
  <c r="U187" i="4" s="1" a="1"/>
  <c r="U187" i="4" s="1"/>
  <c r="T188" i="4"/>
  <c r="U188" i="4" a="1"/>
  <c r="U188" i="4" s="1"/>
  <c r="T189" i="4"/>
  <c r="U189" i="4" s="1" a="1"/>
  <c r="U189" i="4"/>
  <c r="T190" i="4"/>
  <c r="U190" i="4" s="1" a="1"/>
  <c r="U190" i="4" s="1"/>
  <c r="T191" i="4"/>
  <c r="U191" i="4" s="1" a="1"/>
  <c r="U191" i="4" s="1"/>
  <c r="T192" i="4"/>
  <c r="U192" i="4" s="1" a="1"/>
  <c r="U192" i="4" s="1"/>
  <c r="T193" i="4"/>
  <c r="U193" i="4" s="1" a="1"/>
  <c r="U193" i="4" s="1"/>
  <c r="T194" i="4"/>
  <c r="U194" i="4" a="1"/>
  <c r="U194" i="4" s="1"/>
  <c r="T195" i="4"/>
  <c r="U195" i="4" s="1" a="1"/>
  <c r="U195" i="4" s="1"/>
  <c r="T196" i="4"/>
  <c r="U196" i="4" a="1"/>
  <c r="U196" i="4" s="1"/>
  <c r="T197" i="4"/>
  <c r="U197" i="4" s="1" a="1"/>
  <c r="U197" i="4"/>
  <c r="T198" i="4"/>
  <c r="U198" i="4" a="1"/>
  <c r="U198" i="4" s="1"/>
  <c r="T199" i="4"/>
  <c r="U199" i="4" s="1" a="1"/>
  <c r="U199" i="4" s="1"/>
  <c r="T200" i="4"/>
  <c r="U200" i="4" a="1"/>
  <c r="U200" i="4" s="1"/>
  <c r="T201" i="4"/>
  <c r="U201" i="4" s="1" a="1"/>
  <c r="U201" i="4" s="1"/>
  <c r="T202" i="4"/>
  <c r="U202" i="4" a="1"/>
  <c r="U202" i="4" s="1"/>
  <c r="T203" i="4"/>
  <c r="U203" i="4" s="1" a="1"/>
  <c r="U203" i="4" s="1"/>
  <c r="T204" i="4"/>
  <c r="U204" i="4" a="1"/>
  <c r="U204" i="4" s="1"/>
  <c r="T205" i="4"/>
  <c r="U205" i="4" s="1" a="1"/>
  <c r="U205" i="4" s="1"/>
  <c r="T206" i="4"/>
  <c r="U206" i="4" a="1"/>
  <c r="U206" i="4" s="1"/>
  <c r="T207" i="4"/>
  <c r="U207" i="4" s="1" a="1"/>
  <c r="U207" i="4" s="1"/>
  <c r="T208" i="4"/>
  <c r="U208" i="4" s="1" a="1"/>
  <c r="U208" i="4" s="1"/>
  <c r="T209" i="4"/>
  <c r="U209" i="4" s="1" a="1"/>
  <c r="U209" i="4"/>
  <c r="T210" i="4"/>
  <c r="U210" i="4" a="1"/>
  <c r="U210" i="4" s="1"/>
  <c r="T211" i="4"/>
  <c r="U211" i="4" s="1" a="1"/>
  <c r="U211" i="4" s="1"/>
  <c r="T212" i="4"/>
  <c r="U212" i="4" a="1"/>
  <c r="U212" i="4" s="1"/>
  <c r="T213" i="4"/>
  <c r="U213" i="4" s="1" a="1"/>
  <c r="U213" i="4"/>
  <c r="T214" i="4"/>
  <c r="U214" i="4" s="1" a="1"/>
  <c r="U214" i="4" s="1"/>
  <c r="T215" i="4"/>
  <c r="U215" i="4" s="1" a="1"/>
  <c r="U215" i="4" s="1"/>
  <c r="T216" i="4"/>
  <c r="U216" i="4" s="1" a="1"/>
  <c r="U216" i="4" s="1"/>
  <c r="T217" i="4"/>
  <c r="U217" i="4" s="1" a="1"/>
  <c r="U217" i="4" s="1"/>
  <c r="T218" i="4"/>
  <c r="U218" i="4" a="1"/>
  <c r="U218" i="4" s="1"/>
  <c r="T219" i="4"/>
  <c r="U219" i="4" s="1" a="1"/>
  <c r="U219" i="4" s="1"/>
  <c r="T220" i="4"/>
  <c r="U220" i="4" a="1"/>
  <c r="U220" i="4" s="1"/>
  <c r="T221" i="4"/>
  <c r="U221" i="4" s="1" a="1"/>
  <c r="U221" i="4" s="1"/>
  <c r="T222" i="4"/>
  <c r="U222" i="4" s="1" a="1"/>
  <c r="U222" i="4" s="1"/>
  <c r="T223" i="4"/>
  <c r="U223" i="4" s="1" a="1"/>
  <c r="U223" i="4" s="1"/>
  <c r="T224" i="4"/>
  <c r="U224" i="4" s="1" a="1"/>
  <c r="U224" i="4" s="1"/>
  <c r="T225" i="4"/>
  <c r="U225" i="4" s="1" a="1"/>
  <c r="U225" i="4"/>
  <c r="T226" i="4"/>
  <c r="U226" i="4" a="1"/>
  <c r="U226" i="4" s="1"/>
  <c r="T227" i="4"/>
  <c r="U227" i="4" s="1" a="1"/>
  <c r="U227" i="4" s="1"/>
  <c r="T228" i="4"/>
  <c r="U228" i="4" a="1"/>
  <c r="U228" i="4" s="1"/>
  <c r="T229" i="4"/>
  <c r="U229" i="4" s="1" a="1"/>
  <c r="U229" i="4"/>
  <c r="T230" i="4"/>
  <c r="U230" i="4" s="1" a="1"/>
  <c r="U230" i="4" s="1"/>
  <c r="T231" i="4"/>
  <c r="U231" i="4" s="1" a="1"/>
  <c r="U231" i="4" s="1"/>
  <c r="T232" i="4"/>
  <c r="U232" i="4" a="1"/>
  <c r="U232" i="4" s="1"/>
  <c r="T233" i="4"/>
  <c r="U233" i="4" s="1" a="1"/>
  <c r="U233" i="4" s="1"/>
  <c r="T234" i="4"/>
  <c r="U234" i="4" a="1"/>
  <c r="U234" i="4" s="1"/>
  <c r="T235" i="4"/>
  <c r="U235" i="4" s="1" a="1"/>
  <c r="U235" i="4" s="1"/>
  <c r="T236" i="4"/>
  <c r="U236" i="4" a="1"/>
  <c r="U236" i="4" s="1"/>
  <c r="T237" i="4"/>
  <c r="U237" i="4" s="1" a="1"/>
  <c r="U237" i="4" s="1"/>
  <c r="T238" i="4"/>
  <c r="U238" i="4" a="1"/>
  <c r="U238" i="4" s="1"/>
  <c r="T239" i="4"/>
  <c r="U239" i="4" s="1" a="1"/>
  <c r="U239" i="4" s="1"/>
  <c r="T240" i="4"/>
  <c r="U240" i="4" a="1"/>
  <c r="U240" i="4" s="1"/>
  <c r="T241" i="4"/>
  <c r="U241" i="4" s="1" a="1"/>
  <c r="U241" i="4"/>
  <c r="T242" i="4"/>
  <c r="U242" i="4" a="1"/>
  <c r="U242" i="4" s="1"/>
  <c r="T243" i="4"/>
  <c r="U243" i="4" s="1" a="1"/>
  <c r="U243" i="4" s="1"/>
  <c r="T244" i="4"/>
  <c r="U244" i="4" a="1"/>
  <c r="U244" i="4" s="1"/>
  <c r="T245" i="4"/>
  <c r="U245" i="4" s="1" a="1"/>
  <c r="U245" i="4" s="1"/>
  <c r="T246" i="4"/>
  <c r="U246" i="4" s="1" a="1"/>
  <c r="U246" i="4" s="1"/>
  <c r="T247" i="4"/>
  <c r="U247" i="4" s="1" a="1"/>
  <c r="U247" i="4" s="1"/>
  <c r="T248" i="4"/>
  <c r="U248" i="4" s="1" a="1"/>
  <c r="U248" i="4" s="1"/>
  <c r="T249" i="4"/>
  <c r="U249" i="4" s="1" a="1"/>
  <c r="U249" i="4" s="1"/>
  <c r="T250" i="4"/>
  <c r="U250" i="4" s="1" a="1"/>
  <c r="U250" i="4" s="1"/>
  <c r="T251" i="4"/>
  <c r="U251" i="4" s="1" a="1"/>
  <c r="U251" i="4" s="1"/>
  <c r="T252" i="4"/>
  <c r="U252" i="4" a="1"/>
  <c r="U252" i="4" s="1"/>
  <c r="T253" i="4"/>
  <c r="U253" i="4" s="1" a="1"/>
  <c r="U253" i="4" s="1"/>
  <c r="T254" i="4"/>
  <c r="U254" i="4" a="1"/>
  <c r="U254" i="4" s="1"/>
  <c r="T255" i="4"/>
  <c r="U255" i="4" s="1" a="1"/>
  <c r="U255" i="4" s="1"/>
  <c r="T256" i="4"/>
  <c r="U256" i="4" s="1" a="1"/>
  <c r="U256" i="4" s="1"/>
  <c r="T257" i="4"/>
  <c r="U257" i="4" s="1" a="1"/>
  <c r="U257" i="4"/>
  <c r="T258" i="4"/>
  <c r="U258" i="4" a="1"/>
  <c r="U258" i="4" s="1"/>
  <c r="T259" i="4"/>
  <c r="U259" i="4" s="1" a="1"/>
  <c r="U259" i="4" s="1"/>
  <c r="T260" i="4"/>
  <c r="U260" i="4" a="1"/>
  <c r="U260" i="4" s="1"/>
  <c r="T261" i="4"/>
  <c r="U261" i="4" s="1" a="1"/>
  <c r="U261" i="4" s="1"/>
  <c r="T262" i="4"/>
  <c r="U262" i="4" a="1"/>
  <c r="U262" i="4" s="1"/>
  <c r="T263" i="4"/>
  <c r="U263" i="4" s="1" a="1"/>
  <c r="U263" i="4" s="1"/>
  <c r="T264" i="4"/>
  <c r="U264" i="4" a="1"/>
  <c r="U264" i="4" s="1"/>
  <c r="T265" i="4"/>
  <c r="U265" i="4" s="1" a="1"/>
  <c r="U265" i="4" s="1"/>
  <c r="T266" i="4"/>
  <c r="U266" i="4" s="1" a="1"/>
  <c r="U266" i="4" s="1"/>
  <c r="T267" i="4"/>
  <c r="U267" i="4" s="1" a="1"/>
  <c r="U267" i="4" s="1"/>
  <c r="T268" i="4"/>
  <c r="U268" i="4" s="1" a="1"/>
  <c r="U268" i="4" s="1"/>
  <c r="T269" i="4"/>
  <c r="U269" i="4" s="1" a="1"/>
  <c r="U269" i="4" s="1"/>
  <c r="T270" i="4"/>
  <c r="U270" i="4" s="1" a="1"/>
  <c r="U270" i="4" s="1"/>
  <c r="T271" i="4"/>
  <c r="U271" i="4" s="1" a="1"/>
  <c r="U271" i="4" s="1"/>
  <c r="T272" i="4"/>
  <c r="U272" i="4" a="1"/>
  <c r="U272" i="4" s="1"/>
  <c r="T273" i="4"/>
  <c r="U273" i="4" s="1" a="1"/>
  <c r="U273" i="4" s="1"/>
  <c r="T274" i="4"/>
  <c r="U274" i="4" a="1"/>
  <c r="U274" i="4" s="1"/>
  <c r="T275" i="4"/>
  <c r="U275" i="4" s="1" a="1"/>
  <c r="U275" i="4" s="1"/>
  <c r="T276" i="4"/>
  <c r="U276" i="4" s="1" a="1"/>
  <c r="U276" i="4" s="1"/>
  <c r="T277" i="4"/>
  <c r="U277" i="4" s="1" a="1"/>
  <c r="U277" i="4"/>
  <c r="T278" i="4"/>
  <c r="U278" i="4" a="1"/>
  <c r="U278" i="4" s="1"/>
  <c r="T279" i="4"/>
  <c r="U279" i="4" s="1" a="1"/>
  <c r="U279" i="4" s="1"/>
  <c r="T280" i="4"/>
  <c r="U280" i="4" a="1"/>
  <c r="U280" i="4" s="1"/>
  <c r="T281" i="4"/>
  <c r="U281" i="4" s="1" a="1"/>
  <c r="U281" i="4" s="1"/>
  <c r="T282" i="4"/>
  <c r="U282" i="4" a="1"/>
  <c r="U282" i="4" s="1"/>
  <c r="T283" i="4"/>
  <c r="U283" i="4" s="1" a="1"/>
  <c r="U283" i="4" s="1"/>
  <c r="T284" i="4"/>
  <c r="U284" i="4" a="1"/>
  <c r="U284" i="4" s="1"/>
  <c r="T285" i="4"/>
  <c r="U285" i="4" s="1" a="1"/>
  <c r="U285" i="4"/>
  <c r="T286" i="4"/>
  <c r="U286" i="4" a="1"/>
  <c r="U286" i="4" s="1"/>
  <c r="T287" i="4"/>
  <c r="U287" i="4" s="1" a="1"/>
  <c r="U287" i="4" s="1"/>
  <c r="T288" i="4"/>
  <c r="U288" i="4" a="1"/>
  <c r="U288" i="4" s="1"/>
  <c r="T289" i="4"/>
  <c r="U289" i="4" s="1" a="1"/>
  <c r="U289" i="4" s="1"/>
  <c r="T290" i="4"/>
  <c r="U290" i="4" s="1" a="1"/>
  <c r="U290" i="4" s="1"/>
  <c r="T291" i="4"/>
  <c r="U291" i="4" s="1" a="1"/>
  <c r="U291" i="4" s="1"/>
  <c r="T292" i="4"/>
  <c r="U292" i="4" s="1" a="1"/>
  <c r="U292" i="4" s="1"/>
  <c r="T293" i="4"/>
  <c r="U293" i="4" s="1" a="1"/>
  <c r="U293" i="4" s="1"/>
  <c r="T294" i="4"/>
  <c r="U294" i="4" s="1" a="1"/>
  <c r="U294" i="4" s="1"/>
  <c r="T295" i="4"/>
  <c r="U295" i="4" s="1" a="1"/>
  <c r="U295" i="4" s="1"/>
  <c r="T296" i="4"/>
  <c r="U296" i="4" a="1"/>
  <c r="U296" i="4" s="1"/>
  <c r="T297" i="4"/>
  <c r="U297" i="4" s="1" a="1"/>
  <c r="U297" i="4" s="1"/>
  <c r="T298" i="4"/>
  <c r="U298" i="4" a="1"/>
  <c r="U298" i="4" s="1"/>
  <c r="T299" i="4"/>
  <c r="U299" i="4" s="1" a="1"/>
  <c r="U299" i="4" s="1"/>
  <c r="T300" i="4"/>
  <c r="U300" i="4" a="1"/>
  <c r="U300" i="4" s="1"/>
  <c r="T301" i="4"/>
  <c r="U301" i="4" s="1" a="1"/>
  <c r="U301" i="4" s="1"/>
  <c r="T302" i="4"/>
  <c r="U302" i="4" a="1"/>
  <c r="U302" i="4" s="1"/>
  <c r="T303" i="4"/>
  <c r="U303" i="4" s="1" a="1"/>
  <c r="U303" i="4" s="1"/>
  <c r="T304" i="4"/>
  <c r="U304" i="4" a="1"/>
  <c r="U304" i="4" s="1"/>
  <c r="T305" i="4"/>
  <c r="U305" i="4" s="1" a="1"/>
  <c r="U305" i="4"/>
  <c r="T306" i="4"/>
  <c r="U306" i="4" a="1"/>
  <c r="U306" i="4" s="1"/>
  <c r="T307" i="4"/>
  <c r="U307" i="4" s="1" a="1"/>
  <c r="U307" i="4" s="1"/>
  <c r="T308" i="4"/>
  <c r="U308" i="4" a="1"/>
  <c r="U308" i="4" s="1"/>
  <c r="T309" i="4"/>
  <c r="U309" i="4" s="1" a="1"/>
  <c r="U309" i="4" s="1"/>
  <c r="T310" i="4"/>
  <c r="U310" i="4" s="1" a="1"/>
  <c r="U310" i="4" s="1"/>
  <c r="T311" i="4"/>
  <c r="U311" i="4" s="1" a="1"/>
  <c r="U311" i="4" s="1"/>
  <c r="T312" i="4"/>
  <c r="U312" i="4" s="1" a="1"/>
  <c r="U312" i="4" s="1"/>
  <c r="T313" i="4"/>
  <c r="U313" i="4" s="1" a="1"/>
  <c r="U313" i="4" s="1"/>
  <c r="T314" i="4"/>
  <c r="U314" i="4" s="1" a="1"/>
  <c r="U314" i="4" s="1"/>
  <c r="T315" i="4"/>
  <c r="U315" i="4" s="1" a="1"/>
  <c r="U315" i="4" s="1"/>
  <c r="T316" i="4"/>
  <c r="U316" i="4" a="1"/>
  <c r="U316" i="4" s="1"/>
  <c r="T317" i="4"/>
  <c r="U317" i="4" s="1" a="1"/>
  <c r="U317" i="4" s="1"/>
  <c r="T318" i="4"/>
  <c r="U318" i="4" a="1"/>
  <c r="U318" i="4" s="1"/>
  <c r="T319" i="4"/>
  <c r="U319" i="4" s="1" a="1"/>
  <c r="U319" i="4" s="1"/>
  <c r="T320" i="4"/>
  <c r="U320" i="4" s="1" a="1"/>
  <c r="U320" i="4" s="1"/>
  <c r="T321" i="4"/>
  <c r="U321" i="4" s="1" a="1"/>
  <c r="U321" i="4" s="1"/>
  <c r="T322" i="4"/>
  <c r="U322" i="4" a="1"/>
  <c r="U322" i="4" s="1"/>
  <c r="T323" i="4"/>
  <c r="U323" i="4" s="1" a="1"/>
  <c r="U323" i="4" s="1"/>
  <c r="T324" i="4"/>
  <c r="U324" i="4" a="1"/>
  <c r="U324" i="4" s="1"/>
  <c r="T325" i="4"/>
  <c r="U325" i="4" s="1" a="1"/>
  <c r="U325" i="4" s="1"/>
  <c r="T326" i="4"/>
  <c r="U326" i="4" s="1" a="1"/>
  <c r="U326" i="4" s="1"/>
  <c r="T327" i="4"/>
  <c r="U327" i="4" s="1" a="1"/>
  <c r="U327" i="4" s="1"/>
  <c r="T328" i="4"/>
  <c r="U328" i="4" a="1"/>
  <c r="U328" i="4" s="1"/>
  <c r="T329" i="4"/>
  <c r="U329" i="4" s="1" a="1"/>
  <c r="U329" i="4" s="1"/>
  <c r="T330" i="4"/>
  <c r="U330" i="4" s="1" a="1"/>
  <c r="U330" i="4" s="1"/>
  <c r="T331" i="4"/>
  <c r="U331" i="4" s="1" a="1"/>
  <c r="U331" i="4" s="1"/>
  <c r="T332" i="4"/>
  <c r="U332" i="4" s="1" a="1"/>
  <c r="U332" i="4" s="1"/>
  <c r="T333" i="4"/>
  <c r="U333" i="4" s="1" a="1"/>
  <c r="U333" i="4" s="1"/>
  <c r="T334" i="4"/>
  <c r="U334" i="4" s="1" a="1"/>
  <c r="U334" i="4" s="1"/>
  <c r="T335" i="4"/>
  <c r="U335" i="4" s="1" a="1"/>
  <c r="U335" i="4" s="1"/>
  <c r="T336" i="4"/>
  <c r="U336" i="4" a="1"/>
  <c r="U336" i="4" s="1"/>
  <c r="T337" i="4"/>
  <c r="U337" i="4" s="1" a="1"/>
  <c r="U337" i="4" s="1"/>
  <c r="T338" i="4"/>
  <c r="U338" i="4" a="1"/>
  <c r="U338" i="4" s="1"/>
  <c r="T339" i="4"/>
  <c r="U339" i="4" s="1" a="1"/>
  <c r="U339" i="4" s="1"/>
  <c r="T340" i="4"/>
  <c r="U340" i="4" s="1" a="1"/>
  <c r="U340" i="4" s="1"/>
  <c r="T341" i="4"/>
  <c r="U341" i="4" s="1" a="1"/>
  <c r="U341" i="4" s="1"/>
  <c r="T342" i="4"/>
  <c r="U342" i="4" a="1"/>
  <c r="U342" i="4" s="1"/>
  <c r="T343" i="4"/>
  <c r="U343" i="4" s="1" a="1"/>
  <c r="U343" i="4" s="1"/>
  <c r="T344" i="4"/>
  <c r="U344" i="4" s="1" a="1"/>
  <c r="U344" i="4" s="1"/>
  <c r="T345" i="4"/>
  <c r="U345" i="4" s="1" a="1"/>
  <c r="U345" i="4" s="1"/>
  <c r="T346" i="4"/>
  <c r="U346" i="4" s="1" a="1"/>
  <c r="U346" i="4" s="1"/>
  <c r="T347" i="4"/>
  <c r="U347" i="4" s="1" a="1"/>
  <c r="U347" i="4"/>
  <c r="T348" i="4"/>
  <c r="U348" i="4" s="1" a="1"/>
  <c r="U348" i="4" s="1"/>
  <c r="T349" i="4"/>
  <c r="U349" i="4" s="1" a="1"/>
  <c r="U349" i="4" s="1"/>
  <c r="T350" i="4"/>
  <c r="U350" i="4" s="1" a="1"/>
  <c r="U350" i="4" s="1"/>
  <c r="T351" i="4"/>
  <c r="U351" i="4" s="1" a="1"/>
  <c r="U351" i="4" s="1"/>
  <c r="T352" i="4"/>
  <c r="U352" i="4" a="1"/>
  <c r="U352" i="4" s="1"/>
  <c r="T353" i="4"/>
  <c r="U353" i="4" a="1"/>
  <c r="U353" i="4" s="1"/>
  <c r="T354" i="4"/>
  <c r="U354" i="4" a="1"/>
  <c r="U354" i="4" s="1"/>
  <c r="T355" i="4"/>
  <c r="U355" i="4" s="1" a="1"/>
  <c r="U355" i="4"/>
  <c r="T356" i="4"/>
  <c r="U356" i="4" s="1" a="1"/>
  <c r="U356" i="4" s="1"/>
  <c r="T357" i="4"/>
  <c r="U357" i="4" a="1"/>
  <c r="U357" i="4" s="1"/>
  <c r="T358" i="4"/>
  <c r="U358" i="4" a="1"/>
  <c r="U358" i="4" s="1"/>
  <c r="T359" i="4"/>
  <c r="U359" i="4" s="1" a="1"/>
  <c r="U359" i="4" s="1"/>
  <c r="T360" i="4"/>
  <c r="U360" i="4" a="1"/>
  <c r="U360" i="4" s="1"/>
  <c r="T361" i="4"/>
  <c r="U361" i="4" a="1"/>
  <c r="U361" i="4" s="1"/>
  <c r="T362" i="4"/>
  <c r="U362" i="4" a="1"/>
  <c r="U362" i="4" s="1"/>
  <c r="T363" i="4"/>
  <c r="U363" i="4" s="1" a="1"/>
  <c r="U363" i="4" s="1"/>
  <c r="T364" i="4"/>
  <c r="U364" i="4" s="1" a="1"/>
  <c r="U364" i="4" s="1"/>
  <c r="T365" i="4"/>
  <c r="U365" i="4" s="1" a="1"/>
  <c r="U365" i="4" s="1"/>
  <c r="T366" i="4"/>
  <c r="U366" i="4" a="1"/>
  <c r="U366" i="4" s="1"/>
  <c r="T367" i="4"/>
  <c r="U367" i="4" s="1" a="1"/>
  <c r="U367" i="4"/>
  <c r="T368" i="4"/>
  <c r="U368" i="4" s="1" a="1"/>
  <c r="U368" i="4" s="1"/>
  <c r="T369" i="4"/>
  <c r="U369" i="4" s="1" a="1"/>
  <c r="U369" i="4" s="1"/>
  <c r="T370" i="4"/>
  <c r="U370" i="4" a="1"/>
  <c r="U370" i="4" s="1"/>
  <c r="T371" i="4"/>
  <c r="U371" i="4" s="1" a="1"/>
  <c r="U371" i="4" s="1"/>
  <c r="T372" i="4"/>
  <c r="U372" i="4" s="1" a="1"/>
  <c r="U372" i="4" s="1"/>
  <c r="T373" i="4"/>
  <c r="U373" i="4" s="1" a="1"/>
  <c r="U373" i="4" s="1"/>
  <c r="T374" i="4"/>
  <c r="U374" i="4" s="1" a="1"/>
  <c r="U374" i="4" s="1"/>
  <c r="T375" i="4"/>
  <c r="U375" i="4" s="1" a="1"/>
  <c r="U375" i="4"/>
  <c r="T376" i="4"/>
  <c r="U376" i="4" s="1" a="1"/>
  <c r="U376" i="4" s="1"/>
  <c r="T377" i="4"/>
  <c r="U377" i="4" a="1"/>
  <c r="U377" i="4" s="1"/>
  <c r="T378" i="4"/>
  <c r="U378" i="4" s="1" a="1"/>
  <c r="U378" i="4" s="1"/>
  <c r="T379" i="4"/>
  <c r="U379" i="4" s="1" a="1"/>
  <c r="U379" i="4" s="1"/>
  <c r="T380" i="4"/>
  <c r="U380" i="4" s="1" a="1"/>
  <c r="U380" i="4" s="1"/>
  <c r="T381" i="4"/>
  <c r="U381" i="4" s="1" a="1"/>
  <c r="U381" i="4" s="1"/>
  <c r="T382" i="4"/>
  <c r="U382" i="4" a="1"/>
  <c r="U382" i="4" s="1"/>
  <c r="T383" i="4"/>
  <c r="U383" i="4" s="1" a="1"/>
  <c r="U383" i="4" s="1"/>
  <c r="T384" i="4"/>
  <c r="U384" i="4" a="1"/>
  <c r="U384" i="4" s="1"/>
  <c r="T385" i="4"/>
  <c r="U385" i="4" s="1" a="1"/>
  <c r="U385" i="4" s="1"/>
  <c r="T386" i="4"/>
  <c r="U386" i="4" a="1"/>
  <c r="U386" i="4" s="1"/>
  <c r="T387" i="4"/>
  <c r="U387" i="4" s="1" a="1"/>
  <c r="U387" i="4" s="1"/>
  <c r="T388" i="4"/>
  <c r="U388" i="4" s="1" a="1"/>
  <c r="U388" i="4" s="1"/>
  <c r="T389" i="4"/>
  <c r="U389" i="4" s="1" a="1"/>
  <c r="U389" i="4" s="1"/>
  <c r="T390" i="4"/>
  <c r="U390" i="4" a="1"/>
  <c r="U390" i="4" s="1"/>
  <c r="T391" i="4"/>
  <c r="U391" i="4" s="1" a="1"/>
  <c r="U391" i="4"/>
  <c r="T392" i="4"/>
  <c r="U392" i="4" a="1"/>
  <c r="U392" i="4" s="1"/>
  <c r="T393" i="4"/>
  <c r="U393" i="4" s="1" a="1"/>
  <c r="U393" i="4" s="1"/>
  <c r="T394" i="4"/>
  <c r="U394" i="4" a="1"/>
  <c r="U394" i="4" s="1"/>
  <c r="T395" i="4"/>
  <c r="U395" i="4" s="1" a="1"/>
  <c r="U395" i="4" s="1"/>
  <c r="T396" i="4"/>
  <c r="U396" i="4" s="1" a="1"/>
  <c r="U396" i="4" s="1"/>
  <c r="T397" i="4"/>
  <c r="U397" i="4" s="1" a="1"/>
  <c r="U397" i="4" s="1"/>
  <c r="T398" i="4"/>
  <c r="U398" i="4" a="1"/>
  <c r="U398" i="4" s="1"/>
  <c r="T399" i="4"/>
  <c r="U399" i="4" s="1" a="1"/>
  <c r="U399" i="4" s="1"/>
  <c r="T400" i="4"/>
  <c r="U400" i="4" s="1" a="1"/>
  <c r="U400" i="4" s="1"/>
  <c r="T401" i="4"/>
  <c r="U401" i="4" s="1" a="1"/>
  <c r="U401" i="4" s="1"/>
  <c r="T402" i="4"/>
  <c r="U402" i="4" a="1"/>
  <c r="U402" i="4" s="1"/>
  <c r="T403" i="4"/>
  <c r="U403" i="4" s="1" a="1"/>
  <c r="U403" i="4" s="1"/>
  <c r="T404" i="4"/>
  <c r="U404" i="4" s="1" a="1"/>
  <c r="U404" i="4" s="1"/>
  <c r="T405" i="4"/>
  <c r="U405" i="4" s="1" a="1"/>
  <c r="U405" i="4" s="1"/>
  <c r="T406" i="4"/>
  <c r="U406" i="4" s="1" a="1"/>
  <c r="U406" i="4" s="1"/>
  <c r="T407" i="4"/>
  <c r="U407" i="4" s="1" a="1"/>
  <c r="U407" i="4"/>
  <c r="T408" i="4"/>
  <c r="U408" i="4" s="1" a="1"/>
  <c r="U408" i="4" s="1"/>
  <c r="T409" i="4"/>
  <c r="U409" i="4" s="1" a="1"/>
  <c r="U409" i="4" s="1"/>
  <c r="T410" i="4"/>
  <c r="U410" i="4" s="1" a="1"/>
  <c r="U410" i="4" s="1"/>
  <c r="T411" i="4"/>
  <c r="U411" i="4" s="1" a="1"/>
  <c r="U411" i="4"/>
  <c r="T412" i="4"/>
  <c r="U412" i="4" s="1" a="1"/>
  <c r="U412" i="4" s="1"/>
  <c r="T413" i="4"/>
  <c r="U413" i="4" s="1" a="1"/>
  <c r="U413" i="4" s="1"/>
  <c r="T414" i="4"/>
  <c r="U414" i="4" a="1"/>
  <c r="U414" i="4" s="1"/>
  <c r="T415" i="4"/>
  <c r="U415" i="4" s="1" a="1"/>
  <c r="U415" i="4"/>
  <c r="T416" i="4"/>
  <c r="U416" i="4" s="1" a="1"/>
  <c r="U416" i="4" s="1"/>
  <c r="T417" i="4"/>
  <c r="U417" i="4" s="1" a="1"/>
  <c r="U417" i="4" s="1"/>
  <c r="T418" i="4"/>
  <c r="U418" i="4" s="1" a="1"/>
  <c r="U418" i="4" s="1"/>
  <c r="T419" i="4"/>
  <c r="U419" i="4" s="1" a="1"/>
  <c r="U419" i="4" s="1"/>
  <c r="T420" i="4"/>
  <c r="U420" i="4" s="1" a="1"/>
  <c r="U420" i="4" s="1"/>
  <c r="T421" i="4"/>
  <c r="U421" i="4" s="1" a="1"/>
  <c r="U421" i="4" s="1"/>
  <c r="T422" i="4"/>
  <c r="U422" i="4" a="1"/>
  <c r="U422" i="4"/>
  <c r="T423" i="4"/>
  <c r="U423" i="4" a="1"/>
  <c r="U423" i="4" s="1"/>
  <c r="T424" i="4"/>
  <c r="U424" i="4" s="1" a="1"/>
  <c r="U424" i="4" s="1"/>
  <c r="T425" i="4"/>
  <c r="U425" i="4" s="1" a="1"/>
  <c r="U425" i="4" s="1"/>
  <c r="T426" i="4"/>
  <c r="U426" i="4" a="1"/>
  <c r="U426" i="4" s="1"/>
  <c r="T427" i="4"/>
  <c r="U427" i="4" s="1" a="1"/>
  <c r="U427" i="4" s="1"/>
  <c r="T428" i="4"/>
  <c r="U428" i="4" s="1" a="1"/>
  <c r="U428" i="4" s="1"/>
  <c r="T429" i="4"/>
  <c r="U429" i="4" s="1" a="1"/>
  <c r="U429" i="4" s="1"/>
  <c r="T430" i="4"/>
  <c r="U430" i="4" s="1" a="1"/>
  <c r="U430" i="4" s="1"/>
  <c r="T431" i="4"/>
  <c r="U431" i="4" a="1"/>
  <c r="U431" i="4" s="1"/>
  <c r="T432" i="4"/>
  <c r="U432" i="4" s="1" a="1"/>
  <c r="U432" i="4" s="1"/>
  <c r="T433" i="4"/>
  <c r="U433" i="4" a="1"/>
  <c r="U433" i="4" s="1"/>
  <c r="T434" i="4"/>
  <c r="U434" i="4" s="1" a="1"/>
  <c r="U434" i="4" s="1"/>
  <c r="T435" i="4"/>
  <c r="U435" i="4" s="1" a="1"/>
  <c r="U435" i="4" s="1"/>
  <c r="T436" i="4"/>
  <c r="U436" i="4" a="1"/>
  <c r="U436" i="4" s="1"/>
  <c r="T437" i="4"/>
  <c r="U437" i="4" s="1" a="1"/>
  <c r="U437" i="4" s="1"/>
  <c r="T438" i="4"/>
  <c r="U438" i="4" s="1" a="1"/>
  <c r="U438" i="4" s="1"/>
  <c r="T439" i="4"/>
  <c r="U439" i="4" s="1" a="1"/>
  <c r="U439" i="4" s="1"/>
  <c r="T440" i="4"/>
  <c r="U440" i="4" s="1" a="1"/>
  <c r="U440" i="4" s="1"/>
  <c r="T441" i="4"/>
  <c r="U441" i="4" s="1" a="1"/>
  <c r="U441" i="4" s="1"/>
  <c r="T442" i="4"/>
  <c r="U442" i="4" s="1" a="1"/>
  <c r="U442" i="4" s="1"/>
  <c r="T443" i="4"/>
  <c r="U443" i="4" s="1" a="1"/>
  <c r="U443" i="4" s="1"/>
  <c r="T444" i="4"/>
  <c r="U444" i="4" a="1"/>
  <c r="U444" i="4" s="1"/>
  <c r="T445" i="4"/>
  <c r="U445" i="4" s="1" a="1"/>
  <c r="U445" i="4" s="1"/>
  <c r="T446" i="4"/>
  <c r="U446" i="4" a="1"/>
  <c r="U446" i="4" s="1"/>
  <c r="T447" i="4"/>
  <c r="U447" i="4" s="1" a="1"/>
  <c r="U447" i="4" s="1"/>
  <c r="T448" i="4"/>
  <c r="U448" i="4" s="1" a="1"/>
  <c r="U448" i="4" s="1"/>
  <c r="T449" i="4"/>
  <c r="U449" i="4" s="1" a="1"/>
  <c r="U449" i="4" s="1"/>
  <c r="T450" i="4"/>
  <c r="U450" i="4" s="1" a="1"/>
  <c r="U450" i="4" s="1"/>
  <c r="T451" i="4"/>
  <c r="U451" i="4" s="1" a="1"/>
  <c r="U451" i="4" s="1"/>
  <c r="T452" i="4"/>
  <c r="U452" i="4" s="1" a="1"/>
  <c r="U452" i="4" s="1"/>
  <c r="T453" i="4"/>
  <c r="U453" i="4" s="1" a="1"/>
  <c r="U453" i="4" s="1"/>
  <c r="T454" i="4"/>
  <c r="U454" i="4" s="1" a="1"/>
  <c r="U454" i="4" s="1"/>
  <c r="T455" i="4"/>
  <c r="U455" i="4" s="1" a="1"/>
  <c r="U455" i="4" s="1"/>
  <c r="T456" i="4"/>
  <c r="U456" i="4" s="1" a="1"/>
  <c r="U456" i="4" s="1"/>
  <c r="T457" i="4"/>
  <c r="U457" i="4" s="1" a="1"/>
  <c r="U457" i="4" s="1"/>
  <c r="T458" i="4"/>
  <c r="U458" i="4" s="1" a="1"/>
  <c r="U458" i="4" s="1"/>
  <c r="T459" i="4"/>
  <c r="U459" i="4" s="1" a="1"/>
  <c r="U459" i="4" s="1"/>
  <c r="T460" i="4"/>
  <c r="U460" i="4" s="1" a="1"/>
  <c r="U460" i="4" s="1"/>
  <c r="T461" i="4"/>
  <c r="U461" i="4" a="1"/>
  <c r="U461" i="4" s="1"/>
  <c r="T462" i="4"/>
  <c r="U462" i="4" a="1"/>
  <c r="U462" i="4" s="1"/>
  <c r="T463" i="4"/>
  <c r="U463" i="4" s="1" a="1"/>
  <c r="U463" i="4" s="1"/>
  <c r="T464" i="4"/>
  <c r="U464" i="4" s="1" a="1"/>
  <c r="U464" i="4" s="1"/>
  <c r="T465" i="4"/>
  <c r="U465" i="4" s="1" a="1"/>
  <c r="U465" i="4" s="1"/>
  <c r="T466" i="4"/>
  <c r="U466" i="4" s="1" a="1"/>
  <c r="U466" i="4" s="1"/>
  <c r="T467" i="4"/>
  <c r="U467" i="4" a="1"/>
  <c r="U467" i="4" s="1"/>
  <c r="T468" i="4"/>
  <c r="U468" i="4" s="1" a="1"/>
  <c r="U468" i="4" s="1"/>
  <c r="T469" i="4"/>
  <c r="U469" i="4" s="1" a="1"/>
  <c r="U469" i="4" s="1"/>
  <c r="T470" i="4"/>
  <c r="U470" i="4" a="1"/>
  <c r="U470" i="4" s="1"/>
  <c r="T471" i="4"/>
  <c r="U471" i="4" s="1" a="1"/>
  <c r="U471" i="4" s="1"/>
  <c r="T472" i="4"/>
  <c r="U472" i="4" s="1" a="1"/>
  <c r="U472" i="4" s="1"/>
  <c r="T473" i="4"/>
  <c r="U473" i="4" s="1" a="1"/>
  <c r="U473" i="4" s="1"/>
  <c r="T474" i="4"/>
  <c r="U474" i="4" s="1" a="1"/>
  <c r="U474" i="4" s="1"/>
  <c r="T475" i="4"/>
  <c r="U475" i="4" s="1" a="1"/>
  <c r="U475" i="4" s="1"/>
  <c r="T476" i="4"/>
  <c r="U476" i="4" a="1"/>
  <c r="U476" i="4" s="1"/>
  <c r="T477" i="4"/>
  <c r="U477" i="4" a="1"/>
  <c r="U477" i="4" s="1"/>
  <c r="T478" i="4"/>
  <c r="U478" i="4" a="1"/>
  <c r="U478" i="4" s="1"/>
  <c r="T479" i="4"/>
  <c r="U479" i="4" s="1" a="1"/>
  <c r="U479" i="4" s="1"/>
  <c r="T480" i="4"/>
  <c r="U480" i="4" s="1" a="1"/>
  <c r="U480" i="4" s="1"/>
  <c r="T481" i="4"/>
  <c r="U481" i="4" s="1" a="1"/>
  <c r="U481" i="4" s="1"/>
  <c r="T482" i="4"/>
  <c r="U482" i="4" s="1" a="1"/>
  <c r="U482" i="4" s="1"/>
  <c r="T483" i="4"/>
  <c r="U483" i="4" a="1"/>
  <c r="U483" i="4" s="1"/>
  <c r="T484" i="4"/>
  <c r="U484" i="4" s="1" a="1"/>
  <c r="U484" i="4" s="1"/>
  <c r="T485" i="4"/>
  <c r="U485" i="4" a="1"/>
  <c r="U485" i="4" s="1"/>
  <c r="T486" i="4"/>
  <c r="U486" i="4" s="1" a="1"/>
  <c r="U486" i="4" s="1"/>
  <c r="T487" i="4"/>
  <c r="U487" i="4" s="1" a="1"/>
  <c r="U487" i="4" s="1"/>
  <c r="T488" i="4"/>
  <c r="U488" i="4" s="1" a="1"/>
  <c r="U488" i="4" s="1"/>
  <c r="T489" i="4"/>
  <c r="U489" i="4" s="1" a="1"/>
  <c r="U489" i="4" s="1"/>
  <c r="T490" i="4"/>
  <c r="U490" i="4" s="1" a="1"/>
  <c r="U490" i="4" s="1"/>
  <c r="T491" i="4"/>
  <c r="U491" i="4" a="1"/>
  <c r="U491" i="4" s="1"/>
  <c r="T492" i="4"/>
  <c r="U492" i="4" s="1" a="1"/>
  <c r="U492" i="4" s="1"/>
  <c r="T493" i="4"/>
  <c r="U493" i="4" s="1" a="1"/>
  <c r="U493" i="4" s="1"/>
  <c r="T494" i="4"/>
  <c r="U494" i="4" a="1"/>
  <c r="U494" i="4" s="1"/>
  <c r="T495" i="4"/>
  <c r="U495" i="4" s="1" a="1"/>
  <c r="U495" i="4" s="1"/>
  <c r="T496" i="4"/>
  <c r="U496" i="4" s="1" a="1"/>
  <c r="U496" i="4" s="1"/>
  <c r="T497" i="4"/>
  <c r="U497" i="4" s="1" a="1"/>
  <c r="U497" i="4" s="1"/>
  <c r="T498" i="4"/>
  <c r="U498" i="4" s="1" a="1"/>
  <c r="U498" i="4"/>
  <c r="T499" i="4"/>
  <c r="U499" i="4" s="1" a="1"/>
  <c r="U499" i="4" s="1"/>
  <c r="T500" i="4"/>
  <c r="U500" i="4" a="1"/>
  <c r="U500" i="4" s="1"/>
  <c r="T501" i="4"/>
  <c r="U501" i="4" a="1"/>
  <c r="U501" i="4" s="1"/>
  <c r="T502" i="4"/>
  <c r="U502" i="4" s="1" a="1"/>
  <c r="U502" i="4" s="1"/>
  <c r="T503" i="4"/>
  <c r="U503" i="4" s="1" a="1"/>
  <c r="U503" i="4" s="1"/>
  <c r="T504" i="4"/>
  <c r="U504" i="4" s="1" a="1"/>
  <c r="U504" i="4" s="1"/>
  <c r="T505" i="4"/>
  <c r="U505" i="4" s="1" a="1"/>
  <c r="U505" i="4"/>
  <c r="T506" i="4"/>
  <c r="U506" i="4" s="1" a="1"/>
  <c r="U506" i="4" s="1"/>
  <c r="T507" i="4"/>
  <c r="U507" i="4" a="1"/>
  <c r="U507" i="4" s="1"/>
  <c r="T508" i="4"/>
  <c r="U508" i="4" s="1" a="1"/>
  <c r="U508" i="4" s="1"/>
  <c r="T509" i="4"/>
  <c r="U509" i="4" a="1"/>
  <c r="U509" i="4" s="1"/>
  <c r="T510" i="4"/>
  <c r="U510" i="4" s="1" a="1"/>
  <c r="U510" i="4" s="1"/>
  <c r="T511" i="4"/>
  <c r="U511" i="4" s="1" a="1"/>
  <c r="U511" i="4" s="1"/>
  <c r="T512" i="4"/>
  <c r="U512" i="4" s="1" a="1"/>
  <c r="U512" i="4" s="1"/>
  <c r="T513" i="4"/>
  <c r="U513" i="4" s="1" a="1"/>
  <c r="U513" i="4" s="1"/>
  <c r="T514" i="4"/>
  <c r="U514" i="4" s="1" a="1"/>
  <c r="U514" i="4" s="1"/>
  <c r="T515" i="4"/>
  <c r="U515" i="4" s="1" a="1"/>
  <c r="U515" i="4" s="1"/>
  <c r="T516" i="4"/>
  <c r="U516" i="4" a="1"/>
  <c r="U516" i="4" s="1"/>
  <c r="T517" i="4"/>
  <c r="U517" i="4" a="1"/>
  <c r="U517" i="4" s="1"/>
  <c r="T518" i="4"/>
  <c r="U518" i="4" s="1" a="1"/>
  <c r="U518" i="4" s="1"/>
  <c r="T519" i="4"/>
  <c r="U519" i="4" s="1" a="1"/>
  <c r="U519" i="4" s="1"/>
  <c r="T520" i="4"/>
  <c r="U520" i="4" s="1" a="1"/>
  <c r="U520" i="4" s="1"/>
  <c r="T521" i="4"/>
  <c r="U521" i="4" s="1" a="1"/>
  <c r="U521" i="4" s="1"/>
  <c r="T522" i="4"/>
  <c r="U522" i="4" s="1" a="1"/>
  <c r="U522" i="4" s="1"/>
  <c r="T523" i="4"/>
  <c r="U523" i="4" s="1" a="1"/>
  <c r="U523" i="4" s="1"/>
  <c r="T524" i="4"/>
  <c r="U524" i="4" a="1"/>
  <c r="U524" i="4" s="1"/>
  <c r="T525" i="4"/>
  <c r="U525" i="4" s="1" a="1"/>
  <c r="U525" i="4" s="1"/>
  <c r="T526" i="4"/>
  <c r="U526" i="4" s="1" a="1"/>
  <c r="U526" i="4" s="1"/>
  <c r="T527" i="4"/>
  <c r="U527" i="4" s="1" a="1"/>
  <c r="U527" i="4" s="1"/>
  <c r="T528" i="4"/>
  <c r="U528" i="4" s="1" a="1"/>
  <c r="U528" i="4" s="1"/>
  <c r="T529" i="4"/>
  <c r="U529" i="4" s="1" a="1"/>
  <c r="U529" i="4" s="1"/>
  <c r="T530" i="4"/>
  <c r="U530" i="4" s="1" a="1"/>
  <c r="U530" i="4" s="1"/>
  <c r="T531" i="4"/>
  <c r="U531" i="4" s="1" a="1"/>
  <c r="U531" i="4" s="1"/>
  <c r="T532" i="4"/>
  <c r="U532" i="4" a="1"/>
  <c r="U532" i="4" s="1"/>
  <c r="T533" i="4"/>
  <c r="U533" i="4" s="1" a="1"/>
  <c r="U533" i="4" s="1"/>
  <c r="T534" i="4"/>
  <c r="U534" i="4" s="1" a="1"/>
  <c r="U534" i="4" s="1"/>
  <c r="T535" i="4"/>
  <c r="U535" i="4" s="1" a="1"/>
  <c r="U535" i="4" s="1"/>
  <c r="T536" i="4"/>
  <c r="U536" i="4" s="1" a="1"/>
  <c r="U536" i="4" s="1"/>
  <c r="T537" i="4"/>
  <c r="U537" i="4" s="1" a="1"/>
  <c r="U537" i="4" s="1"/>
  <c r="T538" i="4"/>
  <c r="U538" i="4" s="1" a="1"/>
  <c r="U538" i="4" s="1"/>
  <c r="T539" i="4"/>
  <c r="U539" i="4" a="1"/>
  <c r="U539" i="4" s="1"/>
  <c r="T540" i="4"/>
  <c r="U540" i="4" s="1" a="1"/>
  <c r="U540" i="4" s="1"/>
  <c r="T541" i="4"/>
  <c r="U541" i="4" s="1" a="1"/>
  <c r="U541" i="4" s="1"/>
  <c r="T542" i="4"/>
  <c r="U542" i="4" s="1" a="1"/>
  <c r="U542" i="4" s="1"/>
  <c r="T543" i="4"/>
  <c r="U543" i="4" s="1" a="1"/>
  <c r="U543" i="4" s="1"/>
  <c r="T544" i="4"/>
  <c r="U544" i="4" s="1" a="1"/>
  <c r="U544" i="4" s="1"/>
  <c r="T545" i="4"/>
  <c r="U545" i="4" s="1" a="1"/>
  <c r="U545" i="4" s="1"/>
  <c r="T546" i="4"/>
  <c r="U546" i="4" s="1" a="1"/>
  <c r="U546" i="4" s="1"/>
  <c r="T547" i="4"/>
  <c r="U547" i="4" a="1"/>
  <c r="U547" i="4" s="1"/>
  <c r="T548" i="4"/>
  <c r="U548" i="4" s="1" a="1"/>
  <c r="U548" i="4" s="1"/>
  <c r="T549" i="4"/>
  <c r="U549" i="4" a="1"/>
  <c r="U549" i="4" s="1"/>
  <c r="T550" i="4"/>
  <c r="U550" i="4" s="1" a="1"/>
  <c r="U550" i="4" s="1"/>
  <c r="T551" i="4"/>
  <c r="U551" i="4" s="1" a="1"/>
  <c r="U551" i="4" s="1"/>
  <c r="T552" i="4"/>
  <c r="U552" i="4" s="1" a="1"/>
  <c r="U552" i="4" s="1"/>
  <c r="T553" i="4"/>
  <c r="U553" i="4" s="1" a="1"/>
  <c r="U553" i="4" s="1"/>
  <c r="T554" i="4"/>
  <c r="U554" i="4" s="1" a="1"/>
  <c r="U554" i="4" s="1"/>
  <c r="T555" i="4"/>
  <c r="U555" i="4" a="1"/>
  <c r="U555" i="4"/>
  <c r="T556" i="4"/>
  <c r="U556" i="4" a="1"/>
  <c r="U556" i="4" s="1"/>
  <c r="T557" i="4"/>
  <c r="U557" i="4" a="1"/>
  <c r="U557" i="4" s="1"/>
  <c r="T558" i="4"/>
  <c r="U558" i="4" s="1" a="1"/>
  <c r="U558" i="4" s="1"/>
  <c r="T559" i="4"/>
  <c r="U559" i="4" s="1" a="1"/>
  <c r="U559" i="4" s="1"/>
  <c r="T560" i="4"/>
  <c r="U560" i="4" s="1" a="1"/>
  <c r="U560" i="4" s="1"/>
  <c r="T561" i="4"/>
  <c r="U561" i="4" s="1" a="1"/>
  <c r="U561" i="4" s="1"/>
  <c r="T562" i="4"/>
  <c r="U562" i="4" s="1" a="1"/>
  <c r="U562" i="4" s="1"/>
  <c r="T563" i="4"/>
  <c r="U563" i="4" s="1" a="1"/>
  <c r="U563" i="4" s="1"/>
  <c r="T564" i="4"/>
  <c r="U564" i="4" s="1" a="1"/>
  <c r="U564" i="4" s="1"/>
  <c r="T565" i="4"/>
  <c r="U565" i="4" a="1"/>
  <c r="U565" i="4" s="1"/>
  <c r="T566" i="4"/>
  <c r="U566" i="4" s="1" a="1"/>
  <c r="U566" i="4" s="1"/>
  <c r="T567" i="4"/>
  <c r="U567" i="4" s="1" a="1"/>
  <c r="U567" i="4" s="1"/>
  <c r="T568" i="4"/>
  <c r="U568" i="4" s="1" a="1"/>
  <c r="U568" i="4" s="1"/>
  <c r="T569" i="4"/>
  <c r="U569" i="4" s="1" a="1"/>
  <c r="U569" i="4" s="1"/>
  <c r="T570" i="4"/>
  <c r="U570" i="4" s="1" a="1"/>
  <c r="U570" i="4" s="1"/>
  <c r="T571" i="4"/>
  <c r="U571" i="4" s="1" a="1"/>
  <c r="U571" i="4" s="1"/>
  <c r="T572" i="4"/>
  <c r="U572" i="4" s="1" a="1"/>
  <c r="U572" i="4" s="1"/>
  <c r="T573" i="4"/>
  <c r="U573" i="4" s="1" a="1"/>
  <c r="U573" i="4" s="1"/>
  <c r="T574" i="4"/>
  <c r="U574" i="4" s="1" a="1"/>
  <c r="U574" i="4" s="1"/>
  <c r="T575" i="4"/>
  <c r="U575" i="4" s="1" a="1"/>
  <c r="U575" i="4" s="1"/>
  <c r="T576" i="4"/>
  <c r="U576" i="4" s="1" a="1"/>
  <c r="U576" i="4" s="1"/>
  <c r="T577" i="4"/>
  <c r="U577" i="4" s="1" a="1"/>
  <c r="U577" i="4" s="1"/>
  <c r="T578" i="4"/>
  <c r="U578" i="4" s="1" a="1"/>
  <c r="U578" i="4" s="1"/>
  <c r="T579" i="4"/>
  <c r="U579" i="4" a="1"/>
  <c r="U579" i="4" s="1"/>
  <c r="T580" i="4"/>
  <c r="U580" i="4" a="1"/>
  <c r="U580" i="4" s="1"/>
  <c r="T581" i="4"/>
  <c r="U581" i="4" s="1" a="1"/>
  <c r="U581" i="4" s="1"/>
  <c r="T582" i="4"/>
  <c r="U582" i="4" s="1" a="1"/>
  <c r="U582" i="4" s="1"/>
  <c r="T583" i="4"/>
  <c r="U583" i="4" s="1" a="1"/>
  <c r="U583" i="4" s="1"/>
  <c r="T584" i="4"/>
  <c r="U584" i="4" s="1" a="1"/>
  <c r="U584" i="4" s="1"/>
  <c r="T585" i="4"/>
  <c r="U585" i="4" s="1" a="1"/>
  <c r="U585" i="4" s="1"/>
  <c r="T586" i="4"/>
  <c r="U586" i="4" s="1" a="1"/>
  <c r="U586" i="4" s="1"/>
  <c r="T587" i="4"/>
  <c r="U587" i="4" s="1" a="1"/>
  <c r="U587" i="4" s="1"/>
  <c r="T588" i="4"/>
  <c r="U588" i="4" a="1"/>
  <c r="U588" i="4" s="1"/>
  <c r="T589" i="4"/>
  <c r="U589" i="4" a="1"/>
  <c r="U589" i="4" s="1"/>
  <c r="T590" i="4"/>
  <c r="U590" i="4" s="1" a="1"/>
  <c r="U590" i="4" s="1"/>
  <c r="T591" i="4"/>
  <c r="U591" i="4" s="1" a="1"/>
  <c r="U591" i="4" s="1"/>
  <c r="T592" i="4"/>
  <c r="U592" i="4" s="1" a="1"/>
  <c r="U592" i="4" s="1"/>
  <c r="T593" i="4"/>
  <c r="U593" i="4" s="1" a="1"/>
  <c r="U593" i="4" s="1"/>
  <c r="T594" i="4"/>
  <c r="U594" i="4" s="1" a="1"/>
  <c r="U594" i="4" s="1"/>
  <c r="T595" i="4"/>
  <c r="U595" i="4" s="1" a="1"/>
  <c r="U595" i="4" s="1"/>
  <c r="T596" i="4"/>
  <c r="U596" i="4" a="1"/>
  <c r="U596" i="4" s="1"/>
  <c r="T597" i="4"/>
  <c r="U597" i="4" s="1" a="1"/>
  <c r="U597" i="4" s="1"/>
  <c r="T598" i="4"/>
  <c r="U598" i="4" s="1" a="1"/>
  <c r="U598" i="4" s="1"/>
  <c r="T599" i="4"/>
  <c r="U599" i="4" s="1" a="1"/>
  <c r="U599" i="4" s="1"/>
  <c r="T600" i="4"/>
  <c r="U600" i="4" s="1" a="1"/>
  <c r="U600" i="4" s="1"/>
  <c r="T601" i="4"/>
  <c r="U601" i="4" s="1" a="1"/>
  <c r="U601" i="4" s="1"/>
  <c r="T602" i="4"/>
  <c r="U602" i="4" s="1" a="1"/>
  <c r="U602" i="4" s="1"/>
  <c r="T603" i="4"/>
  <c r="U603" i="4" s="1" a="1"/>
  <c r="U603" i="4" s="1"/>
  <c r="T604" i="4"/>
  <c r="U604" i="4" a="1"/>
  <c r="U604" i="4" s="1"/>
  <c r="T605" i="4"/>
  <c r="U605" i="4" a="1"/>
  <c r="U605" i="4" s="1"/>
  <c r="T606" i="4"/>
  <c r="U606" i="4" s="1" a="1"/>
  <c r="U606" i="4" s="1"/>
  <c r="T607" i="4"/>
  <c r="U607" i="4" s="1" a="1"/>
  <c r="U607" i="4" s="1"/>
  <c r="T608" i="4"/>
  <c r="U608" i="4" s="1" a="1"/>
  <c r="U608" i="4" s="1"/>
  <c r="T609" i="4"/>
  <c r="U609" i="4" s="1" a="1"/>
  <c r="U609" i="4" s="1"/>
  <c r="T610" i="4"/>
  <c r="U610" i="4" s="1" a="1"/>
  <c r="U610" i="4" s="1"/>
  <c r="T611" i="4"/>
  <c r="U611" i="4" s="1" a="1"/>
  <c r="U611" i="4" s="1"/>
  <c r="T612" i="4"/>
  <c r="U612" i="4" a="1"/>
  <c r="U612" i="4" s="1"/>
  <c r="T613" i="4"/>
  <c r="U613" i="4" s="1" a="1"/>
  <c r="U613" i="4" s="1"/>
  <c r="T614" i="4"/>
  <c r="U614" i="4" s="1" a="1"/>
  <c r="U614" i="4" s="1"/>
  <c r="T615" i="4"/>
  <c r="U615" i="4" s="1" a="1"/>
  <c r="U615" i="4" s="1"/>
  <c r="T616" i="4"/>
  <c r="U616" i="4" s="1" a="1"/>
  <c r="U616" i="4" s="1"/>
  <c r="T617" i="4"/>
  <c r="U617" i="4" s="1" a="1"/>
  <c r="U617" i="4" s="1"/>
  <c r="T618" i="4"/>
  <c r="U618" i="4" s="1" a="1"/>
  <c r="U618" i="4" s="1"/>
  <c r="T619" i="4"/>
  <c r="U619" i="4" s="1" a="1"/>
  <c r="U619" i="4" s="1"/>
  <c r="T620" i="4"/>
  <c r="U620" i="4" a="1"/>
  <c r="U620" i="4" s="1"/>
  <c r="T621" i="4"/>
  <c r="U621" i="4" a="1"/>
  <c r="U621" i="4" s="1"/>
  <c r="T622" i="4"/>
  <c r="U622" i="4" s="1" a="1"/>
  <c r="U622" i="4" s="1"/>
  <c r="T623" i="4"/>
  <c r="U623" i="4" s="1" a="1"/>
  <c r="U623" i="4" s="1"/>
  <c r="T624" i="4"/>
  <c r="U624" i="4" s="1" a="1"/>
  <c r="U624" i="4" s="1"/>
  <c r="T625" i="4"/>
  <c r="U625" i="4" s="1" a="1"/>
  <c r="U625" i="4" s="1"/>
  <c r="T626" i="4"/>
  <c r="U626" i="4" s="1" a="1"/>
  <c r="U626" i="4" s="1"/>
  <c r="T627" i="4"/>
  <c r="U627" i="4" s="1" a="1"/>
  <c r="U627" i="4" s="1"/>
  <c r="T628" i="4"/>
  <c r="U628" i="4" a="1"/>
  <c r="U628" i="4" s="1"/>
  <c r="T629" i="4"/>
  <c r="U629" i="4" s="1" a="1"/>
  <c r="U629" i="4" s="1"/>
  <c r="T630" i="4"/>
  <c r="U630" i="4" s="1" a="1"/>
  <c r="U630" i="4" s="1"/>
  <c r="T631" i="4"/>
  <c r="U631" i="4" s="1" a="1"/>
  <c r="U631" i="4" s="1"/>
  <c r="T632" i="4"/>
  <c r="U632" i="4" s="1" a="1"/>
  <c r="U632" i="4" s="1"/>
  <c r="T633" i="4"/>
  <c r="U633" i="4" s="1" a="1"/>
  <c r="U633" i="4" s="1"/>
  <c r="T634" i="4"/>
  <c r="U634" i="4" s="1" a="1"/>
  <c r="U634" i="4" s="1"/>
  <c r="T635" i="4"/>
  <c r="U635" i="4" s="1" a="1"/>
  <c r="U635" i="4" s="1"/>
  <c r="T636" i="4"/>
  <c r="U636" i="4" a="1"/>
  <c r="U636" i="4" s="1"/>
  <c r="T637" i="4"/>
  <c r="U637" i="4" a="1"/>
  <c r="U637" i="4" s="1"/>
  <c r="T638" i="4"/>
  <c r="U638" i="4" s="1" a="1"/>
  <c r="U638" i="4" s="1"/>
  <c r="T639" i="4"/>
  <c r="U639" i="4" s="1" a="1"/>
  <c r="U639" i="4" s="1"/>
  <c r="T640" i="4"/>
  <c r="U640" i="4" s="1" a="1"/>
  <c r="U640" i="4" s="1"/>
  <c r="T641" i="4"/>
  <c r="U641" i="4" s="1" a="1"/>
  <c r="U641" i="4" s="1"/>
  <c r="T642" i="4"/>
  <c r="U642" i="4" s="1" a="1"/>
  <c r="U642" i="4" s="1"/>
  <c r="T643" i="4"/>
  <c r="U643" i="4" s="1" a="1"/>
  <c r="U643" i="4" s="1"/>
  <c r="T644" i="4"/>
  <c r="U644" i="4" a="1"/>
  <c r="U644" i="4" s="1"/>
  <c r="T645" i="4"/>
  <c r="U645" i="4" s="1" a="1"/>
  <c r="U645" i="4" s="1"/>
  <c r="T646" i="4"/>
  <c r="U646" i="4" s="1" a="1"/>
  <c r="U646" i="4" s="1"/>
  <c r="T647" i="4"/>
  <c r="U647" i="4" s="1" a="1"/>
  <c r="U647" i="4" s="1"/>
  <c r="T648" i="4"/>
  <c r="U648" i="4" s="1" a="1"/>
  <c r="U648" i="4" s="1"/>
  <c r="T649" i="4"/>
  <c r="U649" i="4" s="1" a="1"/>
  <c r="U649" i="4" s="1"/>
  <c r="T650" i="4"/>
  <c r="U650" i="4" s="1" a="1"/>
  <c r="U650" i="4" s="1"/>
  <c r="T651" i="4"/>
  <c r="U651" i="4" s="1" a="1"/>
  <c r="U651" i="4" s="1"/>
  <c r="T652" i="4"/>
  <c r="U652" i="4" a="1"/>
  <c r="U652" i="4" s="1"/>
  <c r="T653" i="4"/>
  <c r="U653" i="4" a="1"/>
  <c r="U653" i="4" s="1"/>
  <c r="T654" i="4"/>
  <c r="U654" i="4" s="1" a="1"/>
  <c r="U654" i="4" s="1"/>
  <c r="T655" i="4"/>
  <c r="U655" i="4" s="1" a="1"/>
  <c r="U655" i="4" s="1"/>
  <c r="T656" i="4"/>
  <c r="U656" i="4" s="1" a="1"/>
  <c r="U656" i="4" s="1"/>
  <c r="T657" i="4"/>
  <c r="U657" i="4" s="1" a="1"/>
  <c r="U657" i="4" s="1"/>
  <c r="T658" i="4"/>
  <c r="U658" i="4" s="1" a="1"/>
  <c r="U658" i="4" s="1"/>
  <c r="T659" i="4"/>
  <c r="U659" i="4" s="1" a="1"/>
  <c r="U659" i="4" s="1"/>
  <c r="T660" i="4"/>
  <c r="U660" i="4" a="1"/>
  <c r="U660" i="4" s="1"/>
  <c r="T661" i="4"/>
  <c r="U661" i="4" s="1" a="1"/>
  <c r="U661" i="4" s="1"/>
  <c r="T662" i="4"/>
  <c r="U662" i="4" s="1" a="1"/>
  <c r="U662" i="4" s="1"/>
  <c r="T663" i="4"/>
  <c r="U663" i="4" s="1" a="1"/>
  <c r="U663" i="4" s="1"/>
  <c r="T664" i="4"/>
  <c r="U664" i="4" s="1" a="1"/>
  <c r="U664" i="4" s="1"/>
  <c r="T665" i="4"/>
  <c r="U665" i="4" s="1" a="1"/>
  <c r="U665" i="4" s="1"/>
  <c r="T666" i="4"/>
  <c r="U666" i="4" s="1" a="1"/>
  <c r="U666" i="4" s="1"/>
  <c r="T667" i="4"/>
  <c r="U667" i="4" s="1" a="1"/>
  <c r="U667" i="4" s="1"/>
  <c r="T668" i="4"/>
  <c r="U668" i="4" a="1"/>
  <c r="U668" i="4" s="1"/>
  <c r="T669" i="4"/>
  <c r="U669" i="4" a="1"/>
  <c r="U669" i="4" s="1"/>
  <c r="T670" i="4"/>
  <c r="U670" i="4" s="1" a="1"/>
  <c r="U670" i="4" s="1"/>
  <c r="T671" i="4"/>
  <c r="U671" i="4" s="1" a="1"/>
  <c r="U671" i="4" s="1"/>
  <c r="T672" i="4"/>
  <c r="U672" i="4" s="1" a="1"/>
  <c r="U672" i="4" s="1"/>
  <c r="T673" i="4"/>
  <c r="U673" i="4" s="1" a="1"/>
  <c r="U673" i="4"/>
  <c r="T674" i="4"/>
  <c r="U674" i="4" a="1"/>
  <c r="U674" i="4" s="1"/>
  <c r="T675" i="4"/>
  <c r="U675" i="4" a="1"/>
  <c r="U675" i="4" s="1"/>
  <c r="T676" i="4"/>
  <c r="U676" i="4" a="1"/>
  <c r="U676" i="4" s="1"/>
  <c r="T677" i="4"/>
  <c r="U677" i="4" s="1" a="1"/>
  <c r="U677" i="4" s="1"/>
  <c r="T678" i="4"/>
  <c r="U678" i="4" s="1" a="1"/>
  <c r="U678" i="4" s="1"/>
  <c r="T679" i="4"/>
  <c r="U679" i="4" s="1" a="1"/>
  <c r="U679" i="4" s="1"/>
  <c r="T680" i="4"/>
  <c r="U680" i="4" s="1" a="1"/>
  <c r="U680" i="4"/>
  <c r="T681" i="4"/>
  <c r="U681" i="4" s="1" a="1"/>
  <c r="U681" i="4" s="1"/>
  <c r="T682" i="4"/>
  <c r="U682" i="4" a="1"/>
  <c r="U682" i="4" s="1"/>
  <c r="T683" i="4"/>
  <c r="U683" i="4" a="1"/>
  <c r="U683" i="4" s="1"/>
  <c r="T684" i="4"/>
  <c r="U684" i="4" s="1" a="1"/>
  <c r="U684" i="4" s="1"/>
  <c r="T685" i="4"/>
  <c r="U685" i="4" s="1" a="1"/>
  <c r="U685" i="4" s="1"/>
  <c r="T686" i="4"/>
  <c r="U686" i="4" s="1" a="1"/>
  <c r="U686" i="4" s="1"/>
  <c r="T687" i="4"/>
  <c r="U687" i="4" s="1" a="1"/>
  <c r="U687" i="4" s="1"/>
  <c r="T688" i="4"/>
  <c r="U688" i="4" s="1" a="1"/>
  <c r="U688" i="4"/>
  <c r="T689" i="4"/>
  <c r="U689" i="4" s="1" a="1"/>
  <c r="U689" i="4"/>
  <c r="T690" i="4"/>
  <c r="U690" i="4" s="1" a="1"/>
  <c r="U690" i="4" s="1"/>
  <c r="T691" i="4"/>
  <c r="U691" i="4" a="1"/>
  <c r="U691" i="4" s="1"/>
  <c r="T692" i="4"/>
  <c r="U692" i="4" s="1" a="1"/>
  <c r="U692" i="4" s="1"/>
  <c r="T693" i="4"/>
  <c r="U693" i="4" s="1" a="1"/>
  <c r="U693" i="4" s="1"/>
  <c r="T694" i="4"/>
  <c r="U694" i="4" s="1" a="1"/>
  <c r="U694" i="4" s="1"/>
  <c r="T695" i="4"/>
  <c r="U695" i="4" s="1" a="1"/>
  <c r="U695" i="4"/>
  <c r="T696" i="4"/>
  <c r="U696" i="4" a="1"/>
  <c r="U696" i="4" s="1"/>
  <c r="T697" i="4"/>
  <c r="U697" i="4" s="1" a="1"/>
  <c r="U697" i="4" s="1"/>
  <c r="T698" i="4"/>
  <c r="U698" i="4" s="1" a="1"/>
  <c r="U698" i="4" s="1"/>
  <c r="T699" i="4"/>
  <c r="U699" i="4" s="1" a="1"/>
  <c r="U699" i="4" s="1"/>
  <c r="T700" i="4"/>
  <c r="U700" i="4" a="1"/>
  <c r="U700" i="4" s="1"/>
  <c r="T701" i="4"/>
  <c r="U701" i="4" s="1" a="1"/>
  <c r="U701" i="4" s="1"/>
  <c r="T702" i="4"/>
  <c r="U702" i="4" s="1" a="1"/>
  <c r="U702" i="4" s="1"/>
  <c r="T703" i="4"/>
  <c r="U703" i="4" s="1" a="1"/>
  <c r="U703" i="4" s="1"/>
  <c r="T704" i="4"/>
  <c r="U704" i="4" a="1"/>
  <c r="U704" i="4" s="1"/>
  <c r="T705" i="4"/>
  <c r="U705" i="4" s="1" a="1"/>
  <c r="U705" i="4" s="1"/>
  <c r="T706" i="4"/>
  <c r="U706" i="4" a="1"/>
  <c r="U706" i="4" s="1"/>
  <c r="T707" i="4"/>
  <c r="U707" i="4" s="1" a="1"/>
  <c r="U707" i="4"/>
  <c r="T708" i="4"/>
  <c r="U708" i="4" s="1" a="1"/>
  <c r="U708" i="4" s="1"/>
  <c r="T709" i="4"/>
  <c r="U709" i="4" s="1" a="1"/>
  <c r="U709" i="4"/>
  <c r="T710" i="4"/>
  <c r="U710" i="4" a="1"/>
  <c r="U710" i="4" s="1"/>
  <c r="T711" i="4"/>
  <c r="U711" i="4" s="1" a="1"/>
  <c r="U711" i="4"/>
  <c r="T712" i="4"/>
  <c r="U712" i="4" s="1" a="1"/>
  <c r="U712" i="4" s="1"/>
  <c r="T713" i="4"/>
  <c r="U713" i="4" s="1" a="1"/>
  <c r="U713" i="4"/>
  <c r="T714" i="4"/>
  <c r="U714" i="4" a="1"/>
  <c r="U714" i="4" s="1"/>
  <c r="T715" i="4"/>
  <c r="U715" i="4" s="1" a="1"/>
  <c r="U715" i="4"/>
  <c r="T716" i="4"/>
  <c r="U716" i="4" s="1" a="1"/>
  <c r="U716" i="4" s="1"/>
  <c r="T717" i="4"/>
  <c r="U717" i="4" s="1" a="1"/>
  <c r="U717" i="4"/>
  <c r="T718" i="4"/>
  <c r="U718" i="4" a="1"/>
  <c r="U718" i="4" s="1"/>
  <c r="T719" i="4"/>
  <c r="U719" i="4" s="1" a="1"/>
  <c r="U719" i="4"/>
  <c r="T720" i="4"/>
  <c r="U720" i="4" s="1" a="1"/>
  <c r="U720" i="4" s="1"/>
  <c r="T721" i="4"/>
  <c r="U721" i="4" s="1" a="1"/>
  <c r="U721" i="4"/>
  <c r="T722" i="4"/>
  <c r="U722" i="4" a="1"/>
  <c r="U722" i="4" s="1"/>
  <c r="T723" i="4"/>
  <c r="U723" i="4" s="1" a="1"/>
  <c r="U723" i="4"/>
  <c r="T724" i="4"/>
  <c r="U724" i="4" s="1" a="1"/>
  <c r="U724" i="4" s="1"/>
  <c r="T725" i="4"/>
  <c r="U725" i="4" s="1" a="1"/>
  <c r="U725" i="4"/>
  <c r="T726" i="4"/>
  <c r="U726" i="4" a="1"/>
  <c r="U726" i="4" s="1"/>
  <c r="T727" i="4"/>
  <c r="U727" i="4" s="1" a="1"/>
  <c r="U727" i="4"/>
  <c r="T728" i="4"/>
  <c r="U728" i="4" s="1" a="1"/>
  <c r="U728" i="4" s="1"/>
  <c r="T729" i="4"/>
  <c r="U729" i="4" s="1" a="1"/>
  <c r="U729" i="4"/>
  <c r="T730" i="4"/>
  <c r="U730" i="4" a="1"/>
  <c r="U730" i="4" s="1"/>
  <c r="T731" i="4"/>
  <c r="U731" i="4" s="1" a="1"/>
  <c r="U731" i="4"/>
  <c r="T732" i="4"/>
  <c r="U732" i="4" s="1" a="1"/>
  <c r="U732" i="4" s="1"/>
  <c r="T733" i="4"/>
  <c r="U733" i="4" s="1" a="1"/>
  <c r="U733" i="4"/>
  <c r="T734" i="4"/>
  <c r="U734" i="4" a="1"/>
  <c r="U734" i="4" s="1"/>
  <c r="T735" i="4"/>
  <c r="U735" i="4" s="1" a="1"/>
  <c r="U735" i="4"/>
  <c r="T736" i="4"/>
  <c r="U736" i="4" s="1" a="1"/>
  <c r="U736" i="4" s="1"/>
  <c r="T737" i="4"/>
  <c r="U737" i="4" s="1" a="1"/>
  <c r="U737" i="4"/>
  <c r="T738" i="4"/>
  <c r="U738" i="4" a="1"/>
  <c r="U738" i="4" s="1"/>
  <c r="T739" i="4"/>
  <c r="U739" i="4" s="1" a="1"/>
  <c r="U739" i="4"/>
  <c r="T740" i="4"/>
  <c r="U740" i="4" s="1" a="1"/>
  <c r="U740" i="4" s="1"/>
  <c r="T741" i="4"/>
  <c r="U741" i="4" s="1" a="1"/>
  <c r="U741" i="4"/>
  <c r="T742" i="4"/>
  <c r="U742" i="4" a="1"/>
  <c r="U742" i="4" s="1"/>
  <c r="T743" i="4"/>
  <c r="U743" i="4" s="1" a="1"/>
  <c r="U743" i="4"/>
  <c r="T744" i="4"/>
  <c r="U744" i="4" s="1" a="1"/>
  <c r="U744" i="4" s="1"/>
  <c r="T745" i="4"/>
  <c r="U745" i="4" s="1" a="1"/>
  <c r="U745" i="4"/>
  <c r="T746" i="4"/>
  <c r="U746" i="4" a="1"/>
  <c r="U746" i="4" s="1"/>
  <c r="T747" i="4"/>
  <c r="U747" i="4" s="1" a="1"/>
  <c r="U747" i="4" s="1"/>
  <c r="T748" i="4"/>
  <c r="U748" i="4" s="1" a="1"/>
  <c r="U748" i="4" s="1"/>
  <c r="T749" i="4"/>
  <c r="U749" i="4" s="1" a="1"/>
  <c r="U749" i="4"/>
  <c r="T750" i="4"/>
  <c r="U750" i="4" s="1" a="1"/>
  <c r="U750" i="4" s="1"/>
  <c r="T751" i="4"/>
  <c r="U751" i="4" s="1" a="1"/>
  <c r="U751" i="4" s="1"/>
  <c r="T752" i="4"/>
  <c r="U752" i="4" a="1"/>
  <c r="U752" i="4" s="1"/>
  <c r="T753" i="4"/>
  <c r="U753" i="4" s="1" a="1"/>
  <c r="U753" i="4" s="1"/>
  <c r="T754" i="4"/>
  <c r="U754" i="4" a="1"/>
  <c r="U754" i="4" s="1"/>
  <c r="T755" i="4"/>
  <c r="U755" i="4" s="1" a="1"/>
  <c r="U755" i="4" s="1"/>
  <c r="T756" i="4"/>
  <c r="U756" i="4" s="1" a="1"/>
  <c r="U756" i="4" s="1"/>
  <c r="T757" i="4"/>
  <c r="U757" i="4" s="1" a="1"/>
  <c r="U757" i="4" s="1"/>
  <c r="T758" i="4"/>
  <c r="U758" i="4" a="1"/>
  <c r="U758" i="4" s="1"/>
  <c r="T759" i="4"/>
  <c r="U759" i="4" s="1" a="1"/>
  <c r="U759" i="4" s="1"/>
  <c r="T760" i="4"/>
  <c r="U760" i="4" a="1"/>
  <c r="U760" i="4" s="1"/>
  <c r="T761" i="4"/>
  <c r="U761" i="4" s="1" a="1"/>
  <c r="U761" i="4"/>
  <c r="T762" i="4"/>
  <c r="U762" i="4" s="1" a="1"/>
  <c r="U762" i="4" s="1"/>
  <c r="T763" i="4"/>
  <c r="U763" i="4" s="1" a="1"/>
  <c r="U763" i="4" s="1"/>
  <c r="T764" i="4"/>
  <c r="U764" i="4" s="1" a="1"/>
  <c r="U764" i="4" s="1"/>
  <c r="T765" i="4"/>
  <c r="U765" i="4" s="1" a="1"/>
  <c r="U765" i="4" s="1"/>
  <c r="T766" i="4"/>
  <c r="U766" i="4" s="1" a="1"/>
  <c r="U766" i="4" s="1"/>
  <c r="T767" i="4"/>
  <c r="U767" i="4" s="1" a="1"/>
  <c r="U767" i="4" s="1"/>
  <c r="T768" i="4"/>
  <c r="U768" i="4" a="1"/>
  <c r="U768" i="4" s="1"/>
  <c r="T769" i="4"/>
  <c r="U769" i="4" s="1" a="1"/>
  <c r="U769" i="4"/>
  <c r="T770" i="4"/>
  <c r="U770" i="4" a="1"/>
  <c r="U770" i="4" s="1"/>
  <c r="T771" i="4"/>
  <c r="U771" i="4" s="1" a="1"/>
  <c r="U771" i="4" s="1"/>
  <c r="T772" i="4"/>
  <c r="U772" i="4" a="1"/>
  <c r="U772" i="4" s="1"/>
  <c r="T773" i="4"/>
  <c r="U773" i="4" s="1" a="1"/>
  <c r="U773" i="4" s="1"/>
  <c r="T774" i="4"/>
  <c r="U774" i="4" s="1" a="1"/>
  <c r="U774" i="4" s="1"/>
  <c r="T775" i="4"/>
  <c r="U775" i="4" s="1" a="1"/>
  <c r="U775" i="4" s="1"/>
  <c r="T776" i="4"/>
  <c r="U776" i="4" s="1" a="1"/>
  <c r="U776" i="4" s="1"/>
  <c r="T777" i="4"/>
  <c r="U777" i="4" s="1" a="1"/>
  <c r="U777" i="4"/>
  <c r="T778" i="4"/>
  <c r="U778" i="4" a="1"/>
  <c r="U778" i="4" s="1"/>
  <c r="T779" i="4"/>
  <c r="U779" i="4" s="1" a="1"/>
  <c r="U779" i="4" s="1"/>
  <c r="T780" i="4"/>
  <c r="U780" i="4" s="1" a="1"/>
  <c r="U780" i="4" s="1"/>
  <c r="T781" i="4"/>
  <c r="U781" i="4" s="1" a="1"/>
  <c r="U781" i="4"/>
  <c r="T782" i="4"/>
  <c r="U782" i="4" s="1" a="1"/>
  <c r="U782" i="4" s="1"/>
  <c r="T783" i="4"/>
  <c r="U783" i="4" s="1" a="1"/>
  <c r="U783" i="4" s="1"/>
  <c r="T784" i="4"/>
  <c r="U784" i="4" a="1"/>
  <c r="U784" i="4" s="1"/>
  <c r="T785" i="4"/>
  <c r="U785" i="4" s="1" a="1"/>
  <c r="U785" i="4" s="1"/>
  <c r="T786" i="4"/>
  <c r="U786" i="4" a="1"/>
  <c r="U786" i="4" s="1"/>
  <c r="T787" i="4"/>
  <c r="U787" i="4" s="1" a="1"/>
  <c r="U787" i="4" s="1"/>
  <c r="T788" i="4"/>
  <c r="U788" i="4" s="1" a="1"/>
  <c r="U788" i="4" s="1"/>
  <c r="T789" i="4"/>
  <c r="U789" i="4" s="1" a="1"/>
  <c r="U789" i="4" s="1"/>
  <c r="T790" i="4"/>
  <c r="U790" i="4" a="1"/>
  <c r="U790" i="4" s="1"/>
  <c r="T791" i="4"/>
  <c r="U791" i="4" s="1" a="1"/>
  <c r="U791" i="4" s="1"/>
  <c r="T792" i="4"/>
  <c r="U792" i="4" a="1"/>
  <c r="U792" i="4" s="1"/>
  <c r="T793" i="4"/>
  <c r="U793" i="4" s="1" a="1"/>
  <c r="U793" i="4"/>
  <c r="T794" i="4"/>
  <c r="U794" i="4" s="1" a="1"/>
  <c r="U794" i="4" s="1"/>
  <c r="T795" i="4"/>
  <c r="U795" i="4" s="1" a="1"/>
  <c r="U795" i="4" s="1"/>
  <c r="T796" i="4"/>
  <c r="U796" i="4" s="1" a="1"/>
  <c r="U796" i="4" s="1"/>
  <c r="T797" i="4"/>
  <c r="U797" i="4" s="1" a="1"/>
  <c r="U797" i="4" s="1"/>
  <c r="T798" i="4"/>
  <c r="U798" i="4" s="1" a="1"/>
  <c r="U798" i="4" s="1"/>
  <c r="T799" i="4"/>
  <c r="U799" i="4" s="1" a="1"/>
  <c r="U799" i="4" s="1"/>
  <c r="T800" i="4"/>
  <c r="U800" i="4" a="1"/>
  <c r="U800" i="4" s="1"/>
  <c r="T801" i="4"/>
  <c r="U801" i="4" s="1" a="1"/>
  <c r="U801" i="4"/>
  <c r="T802" i="4"/>
  <c r="U802" i="4" a="1"/>
  <c r="U802" i="4" s="1"/>
  <c r="T803" i="4"/>
  <c r="U803" i="4" s="1" a="1"/>
  <c r="U803" i="4" s="1"/>
  <c r="T804" i="4"/>
  <c r="U804" i="4" a="1"/>
  <c r="U804" i="4" s="1"/>
  <c r="T805" i="4"/>
  <c r="U805" i="4" s="1" a="1"/>
  <c r="U805" i="4" s="1"/>
  <c r="T806" i="4"/>
  <c r="U806" i="4" s="1" a="1"/>
  <c r="U806" i="4" s="1"/>
  <c r="T807" i="4"/>
  <c r="U807" i="4" s="1" a="1"/>
  <c r="U807" i="4" s="1"/>
  <c r="T808" i="4"/>
  <c r="U808" i="4" s="1" a="1"/>
  <c r="U808" i="4" s="1"/>
  <c r="T809" i="4"/>
  <c r="U809" i="4" s="1" a="1"/>
  <c r="U809" i="4"/>
  <c r="T810" i="4"/>
  <c r="U810" i="4" a="1"/>
  <c r="U810" i="4" s="1"/>
  <c r="T811" i="4"/>
  <c r="U811" i="4" s="1" a="1"/>
  <c r="U811" i="4" s="1"/>
  <c r="T812" i="4"/>
  <c r="U812" i="4" s="1" a="1"/>
  <c r="U812" i="4" s="1"/>
  <c r="T813" i="4"/>
  <c r="U813" i="4" s="1" a="1"/>
  <c r="U813" i="4"/>
  <c r="T814" i="4"/>
  <c r="U814" i="4" s="1" a="1"/>
  <c r="U814" i="4" s="1"/>
  <c r="T815" i="4"/>
  <c r="U815" i="4" s="1" a="1"/>
  <c r="U815" i="4" s="1"/>
  <c r="T816" i="4"/>
  <c r="U816" i="4" s="1" a="1"/>
  <c r="U816" i="4" s="1"/>
  <c r="T817" i="4"/>
  <c r="U817" i="4" s="1" a="1"/>
  <c r="U817" i="4" s="1"/>
  <c r="T818" i="4"/>
  <c r="U818" i="4" a="1"/>
  <c r="U818" i="4" s="1"/>
  <c r="T819" i="4"/>
  <c r="U819" i="4" s="1" a="1"/>
  <c r="U819" i="4"/>
  <c r="T820" i="4"/>
  <c r="U820" i="4" a="1"/>
  <c r="U820" i="4" s="1"/>
  <c r="T821" i="4"/>
  <c r="U821" i="4" a="1"/>
  <c r="U821" i="4" s="1"/>
  <c r="T822" i="4"/>
  <c r="U822" i="4" a="1"/>
  <c r="U822" i="4" s="1"/>
  <c r="T823" i="4"/>
  <c r="U823" i="4" s="1" a="1"/>
  <c r="U823" i="4"/>
  <c r="T824" i="4"/>
  <c r="U824" i="4" a="1"/>
  <c r="U824" i="4" s="1"/>
  <c r="T825" i="4"/>
  <c r="U825" i="4" s="1" a="1"/>
  <c r="U825" i="4" s="1"/>
  <c r="T826" i="4"/>
  <c r="U826" i="4" a="1"/>
  <c r="U826" i="4"/>
  <c r="T827" i="4"/>
  <c r="U827" i="4" s="1" a="1"/>
  <c r="U827" i="4"/>
  <c r="T828" i="4"/>
  <c r="U828" i="4" s="1" a="1"/>
  <c r="U828" i="4" s="1"/>
  <c r="T829" i="4"/>
  <c r="U829" i="4" s="1" a="1"/>
  <c r="U829" i="4" s="1"/>
  <c r="T830" i="4"/>
  <c r="U830" i="4" a="1"/>
  <c r="U830" i="4"/>
  <c r="T831" i="4"/>
  <c r="U831" i="4" s="1" a="1"/>
  <c r="U831" i="4" s="1"/>
  <c r="T832" i="4"/>
  <c r="U832" i="4" s="1" a="1"/>
  <c r="U832" i="4" s="1"/>
  <c r="T833" i="4"/>
  <c r="U833" i="4" s="1" a="1"/>
  <c r="U833" i="4" s="1"/>
  <c r="T834" i="4"/>
  <c r="U834" i="4" s="1" a="1"/>
  <c r="U834" i="4" s="1"/>
  <c r="T835" i="4"/>
  <c r="U835" i="4" s="1" a="1"/>
  <c r="U835" i="4" s="1"/>
  <c r="T836" i="4"/>
  <c r="U836" i="4" a="1"/>
  <c r="U836" i="4" s="1"/>
  <c r="T837" i="4"/>
  <c r="U837" i="4" a="1"/>
  <c r="U837" i="4" s="1"/>
  <c r="T838" i="4"/>
  <c r="U838" i="4" a="1"/>
  <c r="U838" i="4" s="1"/>
  <c r="T839" i="4"/>
  <c r="U839" i="4" s="1" a="1"/>
  <c r="U839" i="4"/>
  <c r="T840" i="4"/>
  <c r="U840" i="4" a="1"/>
  <c r="U840" i="4" s="1"/>
  <c r="T841" i="4"/>
  <c r="U841" i="4" s="1" a="1"/>
  <c r="U841" i="4" s="1"/>
  <c r="T842" i="4"/>
  <c r="U842" i="4" s="1" a="1"/>
  <c r="U842" i="4" s="1"/>
  <c r="T843" i="4"/>
  <c r="U843" i="4" s="1" a="1"/>
  <c r="U843" i="4"/>
  <c r="T844" i="4"/>
  <c r="U844" i="4" s="1" a="1"/>
  <c r="U844" i="4" s="1"/>
  <c r="T845" i="4"/>
  <c r="U845" i="4" s="1" a="1"/>
  <c r="U845" i="4" s="1"/>
  <c r="T846" i="4"/>
  <c r="U846" i="4" a="1"/>
  <c r="U846" i="4" s="1"/>
  <c r="T847" i="4"/>
  <c r="U847" i="4" s="1" a="1"/>
  <c r="U847" i="4" s="1"/>
  <c r="T848" i="4"/>
  <c r="U848" i="4" s="1" a="1"/>
  <c r="U848" i="4" s="1"/>
  <c r="T849" i="4"/>
  <c r="U849" i="4" a="1"/>
  <c r="U849" i="4" s="1"/>
  <c r="T850" i="4"/>
  <c r="U850" i="4" s="1" a="1"/>
  <c r="U850" i="4" s="1"/>
  <c r="T851" i="4"/>
  <c r="U851" i="4" s="1" a="1"/>
  <c r="U851" i="4" s="1"/>
  <c r="T852" i="4"/>
  <c r="U852" i="4" a="1"/>
  <c r="U852" i="4" s="1"/>
  <c r="T853" i="4"/>
  <c r="U853" i="4" a="1"/>
  <c r="U853" i="4" s="1"/>
  <c r="T854" i="4"/>
  <c r="U854" i="4" a="1"/>
  <c r="U854" i="4" s="1"/>
  <c r="T855" i="4"/>
  <c r="U855" i="4" s="1" a="1"/>
  <c r="U855" i="4"/>
  <c r="T856" i="4"/>
  <c r="U856" i="4" a="1"/>
  <c r="U856" i="4" s="1"/>
  <c r="T857" i="4"/>
  <c r="U857" i="4" s="1" a="1"/>
  <c r="U857" i="4" s="1"/>
  <c r="T858" i="4"/>
  <c r="U858" i="4" a="1"/>
  <c r="U858" i="4"/>
  <c r="T859" i="4"/>
  <c r="U859" i="4" s="1" a="1"/>
  <c r="U859" i="4"/>
  <c r="T860" i="4"/>
  <c r="U860" i="4" s="1" a="1"/>
  <c r="U860" i="4" s="1"/>
  <c r="T861" i="4"/>
  <c r="U861" i="4" s="1" a="1"/>
  <c r="U861" i="4" s="1"/>
  <c r="T862" i="4"/>
  <c r="U862" i="4" a="1"/>
  <c r="U862" i="4"/>
  <c r="T863" i="4"/>
  <c r="U863" i="4" s="1" a="1"/>
  <c r="U863" i="4" s="1"/>
  <c r="T864" i="4"/>
  <c r="U864" i="4" s="1" a="1"/>
  <c r="U864" i="4" s="1"/>
  <c r="T865" i="4"/>
  <c r="U865" i="4" s="1" a="1"/>
  <c r="U865" i="4" s="1"/>
  <c r="T866" i="4"/>
  <c r="U866" i="4" s="1" a="1"/>
  <c r="U866" i="4" s="1"/>
  <c r="T867" i="4"/>
  <c r="U867" i="4" s="1" a="1"/>
  <c r="U867" i="4" s="1"/>
  <c r="T868" i="4"/>
  <c r="U868" i="4" a="1"/>
  <c r="U868" i="4" s="1"/>
  <c r="T869" i="4"/>
  <c r="U869" i="4" a="1"/>
  <c r="U869" i="4" s="1"/>
  <c r="T870" i="4"/>
  <c r="U870" i="4" a="1"/>
  <c r="U870" i="4" s="1"/>
  <c r="T871" i="4"/>
  <c r="U871" i="4" s="1" a="1"/>
  <c r="U871" i="4"/>
  <c r="T872" i="4"/>
  <c r="U872" i="4" a="1"/>
  <c r="U872" i="4" s="1"/>
  <c r="T873" i="4"/>
  <c r="U873" i="4" s="1" a="1"/>
  <c r="U873" i="4" s="1"/>
  <c r="T874" i="4"/>
  <c r="U874" i="4" s="1" a="1"/>
  <c r="U874" i="4" s="1"/>
  <c r="T875" i="4"/>
  <c r="U875" i="4" a="1"/>
  <c r="U875" i="4" s="1"/>
  <c r="T876" i="4"/>
  <c r="U876" i="4" a="1"/>
  <c r="U876" i="4" s="1"/>
  <c r="T877" i="4"/>
  <c r="U877" i="4" a="1"/>
  <c r="U877" i="4" s="1"/>
  <c r="T878" i="4"/>
  <c r="U878" i="4" s="1" a="1"/>
  <c r="U878" i="4" s="1"/>
  <c r="T879" i="4"/>
  <c r="U879" i="4" s="1" a="1"/>
  <c r="U879" i="4" s="1"/>
  <c r="T880" i="4"/>
  <c r="U880" i="4" s="1" a="1"/>
  <c r="U880" i="4" s="1"/>
  <c r="T881" i="4"/>
  <c r="U881" i="4" s="1" a="1"/>
  <c r="U881" i="4" s="1"/>
  <c r="T882" i="4"/>
  <c r="U882" i="4" a="1"/>
  <c r="U882" i="4" s="1"/>
  <c r="T883" i="4"/>
  <c r="U883" i="4" s="1" a="1"/>
  <c r="U883" i="4" s="1"/>
  <c r="T884" i="4"/>
  <c r="U884" i="4" s="1" a="1"/>
  <c r="U884" i="4" s="1"/>
  <c r="T885" i="4"/>
  <c r="U885" i="4" a="1"/>
  <c r="U885" i="4" s="1"/>
  <c r="T886" i="4"/>
  <c r="U886" i="4" s="1" a="1"/>
  <c r="U886" i="4" s="1"/>
  <c r="T887" i="4"/>
  <c r="U887" i="4" s="1" a="1"/>
  <c r="U887" i="4" s="1"/>
  <c r="T888" i="4"/>
  <c r="U888" i="4" s="1" a="1"/>
  <c r="U888" i="4" s="1"/>
  <c r="T889" i="4"/>
  <c r="U889" i="4" s="1" a="1"/>
  <c r="U889" i="4" s="1"/>
  <c r="T890" i="4"/>
  <c r="U890" i="4" s="1" a="1"/>
  <c r="U890" i="4" s="1"/>
  <c r="T891" i="4"/>
  <c r="U891" i="4" a="1"/>
  <c r="U891" i="4" s="1"/>
  <c r="T892" i="4"/>
  <c r="U892" i="4" a="1"/>
  <c r="U892" i="4" s="1"/>
  <c r="T893" i="4"/>
  <c r="U893" i="4" a="1"/>
  <c r="U893" i="4" s="1"/>
  <c r="T894" i="4"/>
  <c r="U894" i="4" s="1" a="1"/>
  <c r="U894" i="4" s="1"/>
  <c r="T895" i="4"/>
  <c r="U895" i="4" s="1" a="1"/>
  <c r="U895" i="4" s="1"/>
  <c r="T896" i="4"/>
  <c r="U896" i="4" s="1" a="1"/>
  <c r="U896" i="4" s="1"/>
  <c r="T897" i="4"/>
  <c r="U897" i="4" s="1" a="1"/>
  <c r="U897" i="4" s="1"/>
  <c r="T898" i="4"/>
  <c r="U898" i="4" a="1"/>
  <c r="U898" i="4" s="1"/>
  <c r="T899" i="4"/>
  <c r="U899" i="4" s="1" a="1"/>
  <c r="U899" i="4" s="1"/>
  <c r="T900" i="4"/>
  <c r="U900" i="4" a="1"/>
  <c r="U900" i="4" s="1"/>
  <c r="T901" i="4"/>
  <c r="U901" i="4" s="1" a="1"/>
  <c r="U901" i="4" s="1"/>
  <c r="T902" i="4"/>
  <c r="U902" i="4" s="1" a="1"/>
  <c r="U902" i="4" s="1"/>
  <c r="T903" i="4"/>
  <c r="U903" i="4" s="1" a="1"/>
  <c r="U903" i="4" s="1"/>
  <c r="T904" i="4"/>
  <c r="U904" i="4" s="1" a="1"/>
  <c r="U904" i="4" s="1"/>
  <c r="T905" i="4"/>
  <c r="U905" i="4" s="1" a="1"/>
  <c r="U905" i="4" s="1"/>
  <c r="T906" i="4"/>
  <c r="U906" i="4" a="1"/>
  <c r="U906" i="4"/>
  <c r="T907" i="4"/>
  <c r="U907" i="4" a="1"/>
  <c r="U907" i="4" s="1"/>
  <c r="T908" i="4"/>
  <c r="U908" i="4" a="1"/>
  <c r="U908" i="4" s="1"/>
  <c r="T909" i="4"/>
  <c r="U909" i="4" a="1"/>
  <c r="U909" i="4" s="1"/>
  <c r="T910" i="4"/>
  <c r="U910" i="4" s="1" a="1"/>
  <c r="U910" i="4" s="1"/>
  <c r="T911" i="4"/>
  <c r="U911" i="4" s="1" a="1"/>
  <c r="U911" i="4" s="1"/>
  <c r="T912" i="4"/>
  <c r="U912" i="4" s="1" a="1"/>
  <c r="U912" i="4" s="1"/>
  <c r="T913" i="4"/>
  <c r="U913" i="4" s="1" a="1"/>
  <c r="U913" i="4" s="1"/>
  <c r="T914" i="4"/>
  <c r="U914" i="4" a="1"/>
  <c r="U914" i="4" s="1"/>
  <c r="T915" i="4"/>
  <c r="U915" i="4" a="1"/>
  <c r="U915" i="4" s="1"/>
  <c r="T916" i="4"/>
  <c r="U916" i="4" s="1" a="1"/>
  <c r="U916" i="4" s="1"/>
  <c r="T917" i="4"/>
  <c r="U917" i="4" s="1" a="1"/>
  <c r="U917" i="4" s="1"/>
  <c r="T918" i="4"/>
  <c r="U918" i="4" s="1" a="1"/>
  <c r="U918" i="4" s="1"/>
  <c r="T919" i="4"/>
  <c r="U919" i="4" s="1" a="1"/>
  <c r="U919" i="4" s="1"/>
  <c r="T920" i="4"/>
  <c r="U920" i="4" s="1" a="1"/>
  <c r="U920" i="4" s="1"/>
  <c r="T921" i="4"/>
  <c r="U921" i="4" s="1" a="1"/>
  <c r="U921" i="4" s="1"/>
  <c r="T922" i="4"/>
  <c r="U922" i="4" s="1" a="1"/>
  <c r="U922" i="4" s="1"/>
  <c r="T923" i="4"/>
  <c r="U923" i="4" a="1"/>
  <c r="U923" i="4" s="1"/>
  <c r="T924" i="4"/>
  <c r="U924" i="4" a="1"/>
  <c r="U924" i="4" s="1"/>
  <c r="T925" i="4"/>
  <c r="U925" i="4" a="1"/>
  <c r="U925" i="4" s="1"/>
  <c r="T926" i="4"/>
  <c r="U926" i="4" s="1" a="1"/>
  <c r="U926" i="4" s="1"/>
  <c r="T927" i="4"/>
  <c r="U927" i="4" s="1" a="1"/>
  <c r="U927" i="4" s="1"/>
  <c r="T928" i="4"/>
  <c r="U928" i="4" s="1" a="1"/>
  <c r="U928" i="4" s="1"/>
  <c r="T929" i="4"/>
  <c r="U929" i="4" s="1" a="1"/>
  <c r="U929" i="4" s="1"/>
  <c r="T930" i="4"/>
  <c r="U930" i="4" a="1"/>
  <c r="U930" i="4"/>
  <c r="T931" i="4"/>
  <c r="U931" i="4" s="1" a="1"/>
  <c r="U931" i="4" s="1"/>
  <c r="T932" i="4"/>
  <c r="U932" i="4" s="1" a="1"/>
  <c r="U932" i="4" s="1"/>
  <c r="T933" i="4"/>
  <c r="U933" i="4" s="1" a="1"/>
  <c r="U933" i="4" s="1"/>
  <c r="T934" i="4"/>
  <c r="U934" i="4" s="1" a="1"/>
  <c r="U934" i="4" s="1"/>
  <c r="T935" i="4"/>
  <c r="U935" i="4" s="1" a="1"/>
  <c r="U935" i="4" s="1"/>
  <c r="T936" i="4"/>
  <c r="U936" i="4" s="1" a="1"/>
  <c r="U936" i="4" s="1"/>
  <c r="T937" i="4"/>
  <c r="U937" i="4" s="1" a="1"/>
  <c r="U937" i="4" s="1"/>
  <c r="T938" i="4"/>
  <c r="U938" i="4" s="1" a="1"/>
  <c r="U938" i="4" s="1"/>
  <c r="T939" i="4"/>
  <c r="U939" i="4" a="1"/>
  <c r="U939" i="4" s="1"/>
  <c r="T940" i="4"/>
  <c r="U940" i="4" a="1"/>
  <c r="U940" i="4" s="1"/>
  <c r="T941" i="4"/>
  <c r="U941" i="4" a="1"/>
  <c r="U941" i="4" s="1"/>
  <c r="T942" i="4"/>
  <c r="U942" i="4" s="1" a="1"/>
  <c r="U942" i="4" s="1"/>
  <c r="T943" i="4"/>
  <c r="U943" i="4" s="1" a="1"/>
  <c r="U943" i="4" s="1"/>
  <c r="T944" i="4"/>
  <c r="U944" i="4" s="1" a="1"/>
  <c r="U944" i="4" s="1"/>
  <c r="T945" i="4"/>
  <c r="U945" i="4" s="1" a="1"/>
  <c r="U945" i="4" s="1"/>
  <c r="T946" i="4"/>
  <c r="U946" i="4" a="1"/>
  <c r="U946" i="4" s="1"/>
  <c r="T947" i="4"/>
  <c r="U947" i="4" s="1" a="1"/>
  <c r="U947" i="4" s="1"/>
  <c r="T948" i="4"/>
  <c r="U948" i="4" s="1" a="1"/>
  <c r="U948" i="4" s="1"/>
  <c r="T949" i="4"/>
  <c r="U949" i="4" a="1"/>
  <c r="U949" i="4" s="1"/>
  <c r="T950" i="4"/>
  <c r="U950" i="4" s="1" a="1"/>
  <c r="U950" i="4" s="1"/>
  <c r="T951" i="4"/>
  <c r="U951" i="4" s="1" a="1"/>
  <c r="U951" i="4" s="1"/>
  <c r="T952" i="4"/>
  <c r="U952" i="4" s="1" a="1"/>
  <c r="U952" i="4" s="1"/>
  <c r="T953" i="4"/>
  <c r="U953" i="4" s="1" a="1"/>
  <c r="U953" i="4" s="1"/>
  <c r="T954" i="4"/>
  <c r="U954" i="4" s="1" a="1"/>
  <c r="U954" i="4" s="1"/>
  <c r="T955" i="4"/>
  <c r="U955" i="4" a="1"/>
  <c r="U955" i="4" s="1"/>
  <c r="T956" i="4"/>
  <c r="U956" i="4" a="1"/>
  <c r="U956" i="4" s="1"/>
  <c r="T957" i="4"/>
  <c r="U957" i="4" a="1"/>
  <c r="U957" i="4" s="1"/>
  <c r="T958" i="4"/>
  <c r="U958" i="4" s="1" a="1"/>
  <c r="U958" i="4" s="1"/>
  <c r="T959" i="4"/>
  <c r="U959" i="4" s="1" a="1"/>
  <c r="U959" i="4" s="1"/>
  <c r="T960" i="4"/>
  <c r="U960" i="4" s="1" a="1"/>
  <c r="U960" i="4" s="1"/>
  <c r="T961" i="4"/>
  <c r="U961" i="4" s="1" a="1"/>
  <c r="U961" i="4" s="1"/>
  <c r="T962" i="4"/>
  <c r="U962" i="4" a="1"/>
  <c r="U962" i="4" s="1"/>
  <c r="T963" i="4"/>
  <c r="U963" i="4" s="1" a="1"/>
  <c r="U963" i="4" s="1"/>
  <c r="T964" i="4"/>
  <c r="U964" i="4" a="1"/>
  <c r="U964" i="4" s="1"/>
  <c r="T965" i="4"/>
  <c r="U965" i="4" s="1" a="1"/>
  <c r="U965" i="4" s="1"/>
  <c r="T966" i="4"/>
  <c r="U966" i="4" s="1" a="1"/>
  <c r="U966" i="4" s="1"/>
  <c r="T967" i="4"/>
  <c r="U967" i="4" s="1" a="1"/>
  <c r="U967" i="4" s="1"/>
  <c r="T968" i="4"/>
  <c r="U968" i="4" s="1" a="1"/>
  <c r="U968" i="4" s="1"/>
  <c r="T969" i="4"/>
  <c r="U969" i="4" s="1" a="1"/>
  <c r="U969" i="4" s="1"/>
  <c r="T970" i="4"/>
  <c r="U970" i="4" a="1"/>
  <c r="U970" i="4"/>
  <c r="T971" i="4"/>
  <c r="U971" i="4" a="1"/>
  <c r="U971" i="4" s="1"/>
  <c r="T972" i="4"/>
  <c r="U972" i="4" a="1"/>
  <c r="U972" i="4" s="1"/>
  <c r="T973" i="4"/>
  <c r="U973" i="4" a="1"/>
  <c r="U973" i="4" s="1"/>
  <c r="T974" i="4"/>
  <c r="U974" i="4" s="1" a="1"/>
  <c r="U974" i="4" s="1"/>
  <c r="T975" i="4"/>
  <c r="U975" i="4" s="1" a="1"/>
  <c r="U975" i="4" s="1"/>
  <c r="T976" i="4"/>
  <c r="U976" i="4" s="1" a="1"/>
  <c r="U976" i="4" s="1"/>
  <c r="T977" i="4"/>
  <c r="U977" i="4" s="1" a="1"/>
  <c r="U977" i="4" s="1"/>
  <c r="T978" i="4"/>
  <c r="U978" i="4" a="1"/>
  <c r="U978" i="4" s="1"/>
  <c r="T979" i="4"/>
  <c r="U979" i="4" a="1"/>
  <c r="U979" i="4" s="1"/>
  <c r="T980" i="4"/>
  <c r="U980" i="4" s="1" a="1"/>
  <c r="U980" i="4" s="1"/>
  <c r="T981" i="4"/>
  <c r="U981" i="4" s="1" a="1"/>
  <c r="U981" i="4" s="1"/>
  <c r="T982" i="4"/>
  <c r="U982" i="4" s="1" a="1"/>
  <c r="U982" i="4" s="1"/>
  <c r="T983" i="4"/>
  <c r="U983" i="4" s="1" a="1"/>
  <c r="U983" i="4" s="1"/>
  <c r="T984" i="4"/>
  <c r="U984" i="4" s="1" a="1"/>
  <c r="U984" i="4" s="1"/>
  <c r="T985" i="4"/>
  <c r="U985" i="4" s="1" a="1"/>
  <c r="U985" i="4" s="1"/>
  <c r="T986" i="4"/>
  <c r="U986" i="4" s="1" a="1"/>
  <c r="U986" i="4" s="1"/>
  <c r="T987" i="4"/>
  <c r="U987" i="4" a="1"/>
  <c r="U987" i="4" s="1"/>
  <c r="T988" i="4"/>
  <c r="U988" i="4" a="1"/>
  <c r="U988" i="4" s="1"/>
  <c r="T989" i="4"/>
  <c r="U989" i="4" a="1"/>
  <c r="U989" i="4" s="1"/>
  <c r="T990" i="4"/>
  <c r="U990" i="4" s="1" a="1"/>
  <c r="U990" i="4" s="1"/>
  <c r="T991" i="4"/>
  <c r="U991" i="4" s="1" a="1"/>
  <c r="U991" i="4" s="1"/>
  <c r="T992" i="4"/>
  <c r="U992" i="4" s="1" a="1"/>
  <c r="U992" i="4" s="1"/>
  <c r="T993" i="4"/>
  <c r="U993" i="4" s="1" a="1"/>
  <c r="U993" i="4" s="1"/>
  <c r="T994" i="4"/>
  <c r="U994" i="4" a="1"/>
  <c r="U994" i="4"/>
  <c r="T995" i="4"/>
  <c r="U995" i="4" s="1" a="1"/>
  <c r="U995" i="4" s="1"/>
  <c r="T996" i="4"/>
  <c r="U996" i="4" s="1" a="1"/>
  <c r="U996" i="4" s="1"/>
  <c r="T997" i="4"/>
  <c r="U997" i="4" s="1" a="1"/>
  <c r="U997" i="4" s="1"/>
  <c r="T998" i="4"/>
  <c r="U998" i="4" s="1" a="1"/>
  <c r="U998" i="4" s="1"/>
  <c r="T999" i="4"/>
  <c r="U999" i="4" s="1" a="1"/>
  <c r="U999" i="4" s="1"/>
  <c r="T1000" i="4"/>
  <c r="U1000" i="4" s="1" a="1"/>
  <c r="U1000" i="4" s="1"/>
  <c r="T1001" i="4"/>
  <c r="U1001" i="4" s="1" a="1"/>
  <c r="U1001" i="4" s="1"/>
  <c r="T1002" i="4"/>
  <c r="U1002" i="4" s="1" a="1"/>
  <c r="U1002" i="4" s="1"/>
  <c r="T1003" i="4"/>
  <c r="U1003" i="4" a="1"/>
  <c r="U1003" i="4" s="1"/>
  <c r="T1004" i="4"/>
  <c r="U1004" i="4" a="1"/>
  <c r="U1004" i="4" s="1"/>
  <c r="T1005" i="4"/>
  <c r="U1005" i="4" a="1"/>
  <c r="U1005" i="4" s="1"/>
  <c r="T1006" i="4"/>
  <c r="U1006" i="4" s="1" a="1"/>
  <c r="U1006" i="4" s="1"/>
  <c r="T1007" i="4"/>
  <c r="U1007" i="4" s="1" a="1"/>
  <c r="U1007" i="4" s="1"/>
  <c r="T1008" i="4"/>
  <c r="U1008" i="4" s="1" a="1"/>
  <c r="U1008" i="4" s="1"/>
  <c r="T1009" i="4"/>
  <c r="U1009" i="4" s="1" a="1"/>
  <c r="U1009" i="4" s="1"/>
  <c r="T1010" i="4"/>
  <c r="U1010" i="4" a="1"/>
  <c r="U1010" i="4" s="1"/>
  <c r="T1011" i="4"/>
  <c r="U1011" i="4" s="1" a="1"/>
  <c r="U1011" i="4" s="1"/>
  <c r="T1012" i="4"/>
  <c r="U1012" i="4" s="1" a="1"/>
  <c r="U1012" i="4" s="1"/>
  <c r="T1013" i="4"/>
  <c r="U1013" i="4" a="1"/>
  <c r="U1013" i="4" s="1"/>
  <c r="T1014" i="4"/>
  <c r="U1014" i="4" s="1" a="1"/>
  <c r="U1014" i="4" s="1"/>
  <c r="T1015" i="4"/>
  <c r="U1015" i="4" s="1" a="1"/>
  <c r="U1015" i="4" s="1"/>
  <c r="T1016" i="4"/>
  <c r="U1016" i="4" s="1" a="1"/>
  <c r="U1016" i="4" s="1"/>
  <c r="T1017" i="4"/>
  <c r="U1017" i="4" s="1" a="1"/>
  <c r="U1017" i="4" s="1"/>
  <c r="T1018" i="4"/>
  <c r="U1018" i="4" s="1" a="1"/>
  <c r="U1018" i="4" s="1"/>
  <c r="T1019" i="4"/>
  <c r="U1019" i="4" a="1"/>
  <c r="U1019" i="4" s="1"/>
  <c r="T1020" i="4"/>
  <c r="U1020" i="4" a="1"/>
  <c r="U1020" i="4" s="1"/>
  <c r="T1021" i="4"/>
  <c r="U1021" i="4" a="1"/>
  <c r="U1021" i="4" s="1"/>
  <c r="T1022" i="4"/>
  <c r="U1022" i="4" s="1" a="1"/>
  <c r="U1022" i="4" s="1"/>
  <c r="T1023" i="4"/>
  <c r="U1023" i="4" s="1" a="1"/>
  <c r="U1023" i="4" s="1"/>
  <c r="T1024" i="4"/>
  <c r="U1024" i="4" s="1" a="1"/>
  <c r="U1024" i="4" s="1"/>
  <c r="T1025" i="4"/>
  <c r="U1025" i="4" s="1" a="1"/>
  <c r="U1025" i="4" s="1"/>
  <c r="T1026" i="4"/>
  <c r="U1026" i="4" a="1"/>
  <c r="U1026" i="4" s="1"/>
  <c r="T1027" i="4"/>
  <c r="U1027" i="4" s="1" a="1"/>
  <c r="U1027" i="4" s="1"/>
  <c r="T1028" i="4"/>
  <c r="U1028" i="4" a="1"/>
  <c r="U1028" i="4" s="1"/>
  <c r="T1029" i="4"/>
  <c r="U1029" i="4" s="1" a="1"/>
  <c r="U1029" i="4" s="1"/>
  <c r="T1030" i="4"/>
  <c r="U1030" i="4" s="1" a="1"/>
  <c r="U1030" i="4" s="1"/>
  <c r="T1031" i="4"/>
  <c r="U1031" i="4" s="1" a="1"/>
  <c r="U1031" i="4" s="1"/>
  <c r="T1032" i="4"/>
  <c r="U1032" i="4" s="1" a="1"/>
  <c r="U1032" i="4" s="1"/>
  <c r="T1033" i="4"/>
  <c r="U1033" i="4" s="1" a="1"/>
  <c r="U1033" i="4" s="1"/>
  <c r="T1034" i="4"/>
  <c r="U1034" i="4" a="1"/>
  <c r="U1034" i="4"/>
  <c r="T1035" i="4"/>
  <c r="U1035" i="4" a="1"/>
  <c r="U1035" i="4" s="1"/>
  <c r="T1036" i="4"/>
  <c r="U1036" i="4" a="1"/>
  <c r="U1036" i="4" s="1"/>
  <c r="T1037" i="4"/>
  <c r="U1037" i="4" a="1"/>
  <c r="U1037" i="4" s="1"/>
  <c r="T1038" i="4"/>
  <c r="U1038" i="4" s="1" a="1"/>
  <c r="U1038" i="4" s="1"/>
  <c r="T1039" i="4"/>
  <c r="U1039" i="4" s="1" a="1"/>
  <c r="U1039" i="4" s="1"/>
  <c r="T1040" i="4"/>
  <c r="U1040" i="4" s="1" a="1"/>
  <c r="U1040" i="4" s="1"/>
  <c r="T1041" i="4"/>
  <c r="U1041" i="4" s="1" a="1"/>
  <c r="U1041" i="4" s="1"/>
  <c r="T1042" i="4"/>
  <c r="U1042" i="4" a="1"/>
  <c r="U1042" i="4" s="1"/>
  <c r="T1043" i="4"/>
  <c r="U1043" i="4" a="1"/>
  <c r="U1043" i="4" s="1"/>
  <c r="T1044" i="4"/>
  <c r="U1044" i="4" s="1" a="1"/>
  <c r="U1044" i="4" s="1"/>
  <c r="T1045" i="4"/>
  <c r="U1045" i="4" s="1" a="1"/>
  <c r="U1045" i="4" s="1"/>
  <c r="U2" i="4" a="1"/>
  <c r="U2" i="4" s="1"/>
  <c r="T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<sst xmlns="http://schemas.openxmlformats.org/spreadsheetml/2006/main" count="42888" uniqueCount="64">
  <si>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</si>
  <si>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</si>
  <si>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</si>
  <si>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</si>
  <si>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</si>
  <si>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</si>
  <si>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</si>
  <si>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</si>
  <si>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</si>
  <si>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</si>
  <si>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</si>
  <si>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</si>
  <si>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</si>
  <si>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</si>
  <si>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</si>
  <si>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</si>
  <si>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</si>
  <si>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</si>
  <si>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</si>
  <si>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</si>
  <si>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</si>
  <si>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</si>
  <si>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</si>
  <si>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</si>
  <si>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</si>
  <si>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</si>
  <si>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</si>
  <si>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</si>
  <si>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</si>
  <si>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</si>
  <si>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</si>
  <si>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</si>
  <si>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</si>
  <si>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</si>
  <si>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</si>
  <si>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</si>
  <si>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</si>
  <si>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</si>
  <si>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</si>
  <si>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</si>
  <si>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</si>
  <si>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</si>
  <si>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</si>
  <si>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</si>
  <si>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</si>
  <si>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</si>
  <si>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</si>
  <si>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</si>
  <si>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</si>
  <si>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</si>
  <si>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</si>
  <si>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</si>
  <si>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</si>
  <si>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</si>
  <si>
    <t>Alc_cons</t>
  </si>
  <si>
    <t>Talc</t>
  </si>
  <si>
    <t>Absences</t>
  </si>
  <si>
    <t>G2&lt;G1</t>
  </si>
  <si>
    <t>G3&lt;G2</t>
  </si>
  <si>
    <t>G_reduce</t>
  </si>
  <si>
    <t>G_avg</t>
  </si>
  <si>
    <t>low</t>
  </si>
  <si>
    <t>med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</si>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</sst>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7AE7-F417-4814-92ED-115EEF806547}">
  <dimension ref="A1:AG1045"/>
  <sheetViews>
    <sheetView topLeftCell="M1" workbookViewId="0">
      <pane ySplit="1" topLeftCell="A1027" activePane="bottomLeft" state="frozen"/>
      <selection activeCell="G1" sqref="G1"/>
      <selection pane="bottomLeft" activeCell="O1039" sqref="A1:AG1045"/>
    </sheetView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 x14ac:dyDescent="0.35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 x14ac:dyDescent="0.35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3</v>
      </c>
      <c r="P4" t="s">
        <v>42</v>
      </c>
      <c r="Q4" t="s">
        <v>43</v>
      </c>
      <c r="R4" t="s">
        <v>42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 x14ac:dyDescent="0.35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 x14ac:dyDescent="0.35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42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 x14ac:dyDescent="0.35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 x14ac:dyDescent="0.35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 x14ac:dyDescent="0.35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 x14ac:dyDescent="0.35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42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 x14ac:dyDescent="0.35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 x14ac:dyDescent="0.35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42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 x14ac:dyDescent="0.35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 x14ac:dyDescent="0.35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 x14ac:dyDescent="0.35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42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 x14ac:dyDescent="0.35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 x14ac:dyDescent="0.35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 x14ac:dyDescent="0.35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 x14ac:dyDescent="0.35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 x14ac:dyDescent="0.35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43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 x14ac:dyDescent="0.35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 x14ac:dyDescent="0.35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 x14ac:dyDescent="0.35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 x14ac:dyDescent="0.35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 x14ac:dyDescent="0.35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 x14ac:dyDescent="0.35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 x14ac:dyDescent="0.35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2</v>
      </c>
      <c r="P27" t="s">
        <v>43</v>
      </c>
      <c r="Q27" t="s">
        <v>42</v>
      </c>
      <c r="R27" t="s">
        <v>42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 x14ac:dyDescent="0.35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42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 x14ac:dyDescent="0.35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42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 x14ac:dyDescent="0.35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43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 x14ac:dyDescent="0.35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 x14ac:dyDescent="0.35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 x14ac:dyDescent="0.35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 x14ac:dyDescent="0.35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 x14ac:dyDescent="0.35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 x14ac:dyDescent="0.35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42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 x14ac:dyDescent="0.35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 x14ac:dyDescent="0.35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 x14ac:dyDescent="0.35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 x14ac:dyDescent="0.35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 x14ac:dyDescent="0.35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 x14ac:dyDescent="0.35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1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 x14ac:dyDescent="0.35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 x14ac:dyDescent="0.35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 x14ac:dyDescent="0.35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 x14ac:dyDescent="0.35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 x14ac:dyDescent="0.35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 x14ac:dyDescent="0.35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 x14ac:dyDescent="0.35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 x14ac:dyDescent="0.35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42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 x14ac:dyDescent="0.35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1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 x14ac:dyDescent="0.35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42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 x14ac:dyDescent="0.35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42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 x14ac:dyDescent="0.35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1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 x14ac:dyDescent="0.35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42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 x14ac:dyDescent="0.35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42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 x14ac:dyDescent="0.35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 x14ac:dyDescent="0.35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 x14ac:dyDescent="0.35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 x14ac:dyDescent="0.35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 x14ac:dyDescent="0.35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43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 x14ac:dyDescent="0.35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 x14ac:dyDescent="0.35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 x14ac:dyDescent="0.35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 x14ac:dyDescent="0.35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 x14ac:dyDescent="0.35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 x14ac:dyDescent="0.35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 x14ac:dyDescent="0.35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 x14ac:dyDescent="0.35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42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 x14ac:dyDescent="0.35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42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 x14ac:dyDescent="0.35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 x14ac:dyDescent="0.35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42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 x14ac:dyDescent="0.35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 x14ac:dyDescent="0.35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2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 x14ac:dyDescent="0.35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 x14ac:dyDescent="0.35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 x14ac:dyDescent="0.35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 x14ac:dyDescent="0.35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 x14ac:dyDescent="0.35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42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 x14ac:dyDescent="0.35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 x14ac:dyDescent="0.35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 x14ac:dyDescent="0.35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42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 x14ac:dyDescent="0.35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42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 x14ac:dyDescent="0.35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42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 x14ac:dyDescent="0.35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 x14ac:dyDescent="0.35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 x14ac:dyDescent="0.35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2</v>
      </c>
      <c r="P87" t="s">
        <v>43</v>
      </c>
      <c r="Q87" t="s">
        <v>43</v>
      </c>
      <c r="R87" t="s">
        <v>42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 x14ac:dyDescent="0.35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 x14ac:dyDescent="0.35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 x14ac:dyDescent="0.35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1</v>
      </c>
      <c r="P90" t="s">
        <v>43</v>
      </c>
      <c r="Q90" t="s">
        <v>43</v>
      </c>
      <c r="R90" t="s">
        <v>42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 x14ac:dyDescent="0.35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 x14ac:dyDescent="0.35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42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 x14ac:dyDescent="0.35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 x14ac:dyDescent="0.35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 x14ac:dyDescent="0.35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 x14ac:dyDescent="0.35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 x14ac:dyDescent="0.35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1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 x14ac:dyDescent="0.35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43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 x14ac:dyDescent="0.35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42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 x14ac:dyDescent="0.35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 x14ac:dyDescent="0.35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42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 x14ac:dyDescent="0.35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 x14ac:dyDescent="0.35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 x14ac:dyDescent="0.35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43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 x14ac:dyDescent="0.35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42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 x14ac:dyDescent="0.35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42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 x14ac:dyDescent="0.35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 x14ac:dyDescent="0.35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42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 x14ac:dyDescent="0.35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 x14ac:dyDescent="0.35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 x14ac:dyDescent="0.35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 x14ac:dyDescent="0.35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 x14ac:dyDescent="0.35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1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 x14ac:dyDescent="0.35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 x14ac:dyDescent="0.35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 x14ac:dyDescent="0.35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 x14ac:dyDescent="0.35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 x14ac:dyDescent="0.35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 x14ac:dyDescent="0.35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 x14ac:dyDescent="0.35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 x14ac:dyDescent="0.35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 x14ac:dyDescent="0.35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 x14ac:dyDescent="0.35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 x14ac:dyDescent="0.35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 x14ac:dyDescent="0.35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 x14ac:dyDescent="0.35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42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 x14ac:dyDescent="0.35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 x14ac:dyDescent="0.35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 x14ac:dyDescent="0.35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3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 x14ac:dyDescent="0.35">
      <c r="A130" t="s">
        <v>33</v>
      </c>
      <c r="B130" t="s">
        <v>50</v>
      </c>
      <c r="C130">
        <v>18</v>
      </c>
      <c r="D130" t="s">
        <v>52</v>
      </c>
      <c r="E130" t="s">
        <v>36</v>
      </c>
      <c r="F130" t="s">
        <v>44</v>
      </c>
      <c r="G130">
        <v>2</v>
      </c>
      <c r="H130">
        <v>2</v>
      </c>
      <c r="I130" t="s">
        <v>48</v>
      </c>
      <c r="J130" t="s">
        <v>45</v>
      </c>
      <c r="K130" t="s">
        <v>51</v>
      </c>
      <c r="L130" t="s">
        <v>41</v>
      </c>
      <c r="M130">
        <v>1</v>
      </c>
      <c r="N130">
        <v>1</v>
      </c>
      <c r="O130">
        <v>2</v>
      </c>
      <c r="P130" t="s">
        <v>43</v>
      </c>
      <c r="Q130" t="s">
        <v>42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 x14ac:dyDescent="0.35">
      <c r="A131" t="s">
        <v>33</v>
      </c>
      <c r="B131" t="s">
        <v>50</v>
      </c>
      <c r="C131">
        <v>16</v>
      </c>
      <c r="D131" t="s">
        <v>52</v>
      </c>
      <c r="E131" t="s">
        <v>36</v>
      </c>
      <c r="F131" t="s">
        <v>44</v>
      </c>
      <c r="G131">
        <v>4</v>
      </c>
      <c r="H131">
        <v>4</v>
      </c>
      <c r="I131" t="s">
        <v>39</v>
      </c>
      <c r="J131" t="s">
        <v>39</v>
      </c>
      <c r="K131" t="s">
        <v>40</v>
      </c>
      <c r="L131" t="s">
        <v>41</v>
      </c>
      <c r="M131">
        <v>1</v>
      </c>
      <c r="N131">
        <v>1</v>
      </c>
      <c r="O131">
        <v>0</v>
      </c>
      <c r="P131" t="s">
        <v>43</v>
      </c>
      <c r="Q131" t="s">
        <v>43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43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 x14ac:dyDescent="0.35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2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 x14ac:dyDescent="0.35">
      <c r="A133" t="s">
        <v>33</v>
      </c>
      <c r="B133" t="s">
        <v>34</v>
      </c>
      <c r="C133">
        <v>15</v>
      </c>
      <c r="D133" t="s">
        <v>35</v>
      </c>
      <c r="E133" t="s">
        <v>36</v>
      </c>
      <c r="F133" t="s">
        <v>44</v>
      </c>
      <c r="G133">
        <v>1</v>
      </c>
      <c r="H133">
        <v>1</v>
      </c>
      <c r="I133" t="s">
        <v>38</v>
      </c>
      <c r="J133" t="s">
        <v>45</v>
      </c>
      <c r="K133" t="s">
        <v>40</v>
      </c>
      <c r="L133" t="s">
        <v>41</v>
      </c>
      <c r="M133">
        <v>3</v>
      </c>
      <c r="N133">
        <v>1</v>
      </c>
      <c r="O133">
        <v>0</v>
      </c>
      <c r="P133" t="s">
        <v>43</v>
      </c>
      <c r="Q133" t="s">
        <v>42</v>
      </c>
      <c r="R133" t="s">
        <v>43</v>
      </c>
      <c r="S133" t="s">
        <v>42</v>
      </c>
      <c r="T133" t="s">
        <v>43</v>
      </c>
      <c r="U133" t="s">
        <v>42</v>
      </c>
      <c r="V133" t="s">
        <v>42</v>
      </c>
      <c r="W133" t="s">
        <v>42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 x14ac:dyDescent="0.35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44</v>
      </c>
      <c r="G134">
        <v>2</v>
      </c>
      <c r="H134">
        <v>2</v>
      </c>
      <c r="I134" t="s">
        <v>45</v>
      </c>
      <c r="J134" t="s">
        <v>45</v>
      </c>
      <c r="K134" t="s">
        <v>40</v>
      </c>
      <c r="L134" t="s">
        <v>46</v>
      </c>
      <c r="M134">
        <v>1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42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 x14ac:dyDescent="0.35">
      <c r="A135" t="s">
        <v>33</v>
      </c>
      <c r="B135" t="s">
        <v>34</v>
      </c>
      <c r="C135">
        <v>16</v>
      </c>
      <c r="D135" t="s">
        <v>35</v>
      </c>
      <c r="E135" t="s">
        <v>36</v>
      </c>
      <c r="F135" t="s">
        <v>37</v>
      </c>
      <c r="G135">
        <v>3</v>
      </c>
      <c r="H135">
        <v>4</v>
      </c>
      <c r="I135" t="s">
        <v>48</v>
      </c>
      <c r="J135" t="s">
        <v>45</v>
      </c>
      <c r="K135" t="s">
        <v>40</v>
      </c>
      <c r="L135" t="s">
        <v>46</v>
      </c>
      <c r="M135">
        <v>1</v>
      </c>
      <c r="N135">
        <v>1</v>
      </c>
      <c r="O135">
        <v>0</v>
      </c>
      <c r="P135" t="s">
        <v>43</v>
      </c>
      <c r="Q135" t="s">
        <v>43</v>
      </c>
      <c r="R135" t="s">
        <v>43</v>
      </c>
      <c r="S135" t="s">
        <v>43</v>
      </c>
      <c r="T135" t="s">
        <v>42</v>
      </c>
      <c r="U135" t="s">
        <v>42</v>
      </c>
      <c r="V135" t="s">
        <v>42</v>
      </c>
      <c r="W135" t="s">
        <v>43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 x14ac:dyDescent="0.35">
      <c r="A136" t="s">
        <v>33</v>
      </c>
      <c r="B136" t="s">
        <v>50</v>
      </c>
      <c r="C136">
        <v>15</v>
      </c>
      <c r="D136" t="s">
        <v>52</v>
      </c>
      <c r="E136" t="s">
        <v>36</v>
      </c>
      <c r="F136" t="s">
        <v>44</v>
      </c>
      <c r="G136">
        <v>3</v>
      </c>
      <c r="H136">
        <v>4</v>
      </c>
      <c r="I136" t="s">
        <v>38</v>
      </c>
      <c r="J136" t="s">
        <v>39</v>
      </c>
      <c r="K136" t="s">
        <v>40</v>
      </c>
      <c r="L136" t="s">
        <v>41</v>
      </c>
      <c r="M136">
        <v>4</v>
      </c>
      <c r="N136">
        <v>2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43</v>
      </c>
      <c r="W136" t="s">
        <v>42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 x14ac:dyDescent="0.35">
      <c r="A137" t="s">
        <v>33</v>
      </c>
      <c r="B137" t="s">
        <v>34</v>
      </c>
      <c r="C137">
        <v>15</v>
      </c>
      <c r="D137" t="s">
        <v>35</v>
      </c>
      <c r="E137" t="s">
        <v>36</v>
      </c>
      <c r="F137" t="s">
        <v>44</v>
      </c>
      <c r="G137">
        <v>4</v>
      </c>
      <c r="H137">
        <v>4</v>
      </c>
      <c r="I137" t="s">
        <v>48</v>
      </c>
      <c r="J137" t="s">
        <v>38</v>
      </c>
      <c r="K137" t="s">
        <v>40</v>
      </c>
      <c r="L137" t="s">
        <v>41</v>
      </c>
      <c r="M137">
        <v>1</v>
      </c>
      <c r="N137">
        <v>3</v>
      </c>
      <c r="O137">
        <v>0</v>
      </c>
      <c r="P137" t="s">
        <v>43</v>
      </c>
      <c r="Q137" t="s">
        <v>42</v>
      </c>
      <c r="R137" t="s">
        <v>43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 x14ac:dyDescent="0.35">
      <c r="A138" t="s">
        <v>33</v>
      </c>
      <c r="B138" t="s">
        <v>50</v>
      </c>
      <c r="C138">
        <v>17</v>
      </c>
      <c r="D138" t="s">
        <v>52</v>
      </c>
      <c r="E138" t="s">
        <v>36</v>
      </c>
      <c r="F138" t="s">
        <v>44</v>
      </c>
      <c r="G138">
        <v>3</v>
      </c>
      <c r="H138">
        <v>4</v>
      </c>
      <c r="I138" t="s">
        <v>38</v>
      </c>
      <c r="J138" t="s">
        <v>45</v>
      </c>
      <c r="K138" t="s">
        <v>40</v>
      </c>
      <c r="L138" t="s">
        <v>41</v>
      </c>
      <c r="M138">
        <v>3</v>
      </c>
      <c r="N138">
        <v>2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 x14ac:dyDescent="0.35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3</v>
      </c>
      <c r="H139">
        <v>3</v>
      </c>
      <c r="I139" t="s">
        <v>45</v>
      </c>
      <c r="J139" t="s">
        <v>45</v>
      </c>
      <c r="K139" t="s">
        <v>40</v>
      </c>
      <c r="L139" t="s">
        <v>45</v>
      </c>
      <c r="M139">
        <v>2</v>
      </c>
      <c r="N139">
        <v>1</v>
      </c>
      <c r="O139">
        <v>2</v>
      </c>
      <c r="P139" t="s">
        <v>43</v>
      </c>
      <c r="Q139" t="s">
        <v>42</v>
      </c>
      <c r="R139" t="s">
        <v>43</v>
      </c>
      <c r="S139" t="s">
        <v>42</v>
      </c>
      <c r="T139" t="s">
        <v>43</v>
      </c>
      <c r="U139" t="s">
        <v>42</v>
      </c>
      <c r="V139" t="s">
        <v>42</v>
      </c>
      <c r="W139" t="s">
        <v>42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 x14ac:dyDescent="0.35">
      <c r="A140" t="s">
        <v>33</v>
      </c>
      <c r="B140" t="s">
        <v>50</v>
      </c>
      <c r="C140">
        <v>16</v>
      </c>
      <c r="D140" t="s">
        <v>35</v>
      </c>
      <c r="E140" t="s">
        <v>47</v>
      </c>
      <c r="F140" t="s">
        <v>44</v>
      </c>
      <c r="G140">
        <v>1</v>
      </c>
      <c r="H140">
        <v>1</v>
      </c>
      <c r="I140" t="s">
        <v>48</v>
      </c>
      <c r="J140" t="s">
        <v>45</v>
      </c>
      <c r="K140" t="s">
        <v>40</v>
      </c>
      <c r="L140" t="s">
        <v>41</v>
      </c>
      <c r="M140">
        <v>1</v>
      </c>
      <c r="N140">
        <v>2</v>
      </c>
      <c r="O140">
        <v>1</v>
      </c>
      <c r="P140" t="s">
        <v>43</v>
      </c>
      <c r="Q140" t="s">
        <v>43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 x14ac:dyDescent="0.35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39</v>
      </c>
      <c r="J141" t="s">
        <v>39</v>
      </c>
      <c r="K141" t="s">
        <v>40</v>
      </c>
      <c r="L141" t="s">
        <v>41</v>
      </c>
      <c r="M141">
        <v>2</v>
      </c>
      <c r="N141">
        <v>1</v>
      </c>
      <c r="O141">
        <v>0</v>
      </c>
      <c r="P141" t="s">
        <v>43</v>
      </c>
      <c r="Q141" t="s">
        <v>43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43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 x14ac:dyDescent="0.35">
      <c r="A142" t="s">
        <v>33</v>
      </c>
      <c r="B142" t="s">
        <v>50</v>
      </c>
      <c r="C142">
        <v>15</v>
      </c>
      <c r="D142" t="s">
        <v>35</v>
      </c>
      <c r="E142" t="s">
        <v>36</v>
      </c>
      <c r="F142" t="s">
        <v>44</v>
      </c>
      <c r="G142">
        <v>4</v>
      </c>
      <c r="H142">
        <v>3</v>
      </c>
      <c r="I142" t="s">
        <v>39</v>
      </c>
      <c r="J142" t="s">
        <v>48</v>
      </c>
      <c r="K142" t="s">
        <v>40</v>
      </c>
      <c r="L142" t="s">
        <v>46</v>
      </c>
      <c r="M142">
        <v>2</v>
      </c>
      <c r="N142">
        <v>4</v>
      </c>
      <c r="O142">
        <v>0</v>
      </c>
      <c r="P142" t="s">
        <v>42</v>
      </c>
      <c r="Q142" t="s">
        <v>42</v>
      </c>
      <c r="R142" t="s">
        <v>43</v>
      </c>
      <c r="S142" t="s">
        <v>43</v>
      </c>
      <c r="T142" t="s">
        <v>42</v>
      </c>
      <c r="U142" t="s">
        <v>42</v>
      </c>
      <c r="V142" t="s">
        <v>42</v>
      </c>
      <c r="W142" t="s">
        <v>43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 x14ac:dyDescent="0.35">
      <c r="A143" t="s">
        <v>33</v>
      </c>
      <c r="B143" t="s">
        <v>50</v>
      </c>
      <c r="C143">
        <v>16</v>
      </c>
      <c r="D143" t="s">
        <v>35</v>
      </c>
      <c r="E143" t="s">
        <v>47</v>
      </c>
      <c r="F143" t="s">
        <v>44</v>
      </c>
      <c r="G143">
        <v>2</v>
      </c>
      <c r="H143">
        <v>2</v>
      </c>
      <c r="I143" t="s">
        <v>48</v>
      </c>
      <c r="J143" t="s">
        <v>48</v>
      </c>
      <c r="K143" t="s">
        <v>51</v>
      </c>
      <c r="L143" t="s">
        <v>46</v>
      </c>
      <c r="M143">
        <v>2</v>
      </c>
      <c r="N143">
        <v>1</v>
      </c>
      <c r="O143">
        <v>2</v>
      </c>
      <c r="P143" t="s">
        <v>43</v>
      </c>
      <c r="Q143" t="s">
        <v>42</v>
      </c>
      <c r="R143" t="s">
        <v>43</v>
      </c>
      <c r="S143" t="s">
        <v>42</v>
      </c>
      <c r="T143" t="s">
        <v>42</v>
      </c>
      <c r="U143" t="s">
        <v>42</v>
      </c>
      <c r="V143" t="s">
        <v>42</v>
      </c>
      <c r="W143" t="s">
        <v>43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 x14ac:dyDescent="0.35">
      <c r="A144" t="s">
        <v>33</v>
      </c>
      <c r="B144" t="s">
        <v>34</v>
      </c>
      <c r="C144">
        <v>15</v>
      </c>
      <c r="D144" t="s">
        <v>35</v>
      </c>
      <c r="E144" t="s">
        <v>36</v>
      </c>
      <c r="F144" t="s">
        <v>44</v>
      </c>
      <c r="G144">
        <v>4</v>
      </c>
      <c r="H144">
        <v>4</v>
      </c>
      <c r="I144" t="s">
        <v>39</v>
      </c>
      <c r="J144" t="s">
        <v>48</v>
      </c>
      <c r="K144" t="s">
        <v>40</v>
      </c>
      <c r="L144" t="s">
        <v>41</v>
      </c>
      <c r="M144">
        <v>1</v>
      </c>
      <c r="N144">
        <v>3</v>
      </c>
      <c r="O144">
        <v>0</v>
      </c>
      <c r="P144" t="s">
        <v>43</v>
      </c>
      <c r="Q144" t="s">
        <v>42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43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 x14ac:dyDescent="0.35">
      <c r="A145" t="s">
        <v>33</v>
      </c>
      <c r="B145" t="s">
        <v>34</v>
      </c>
      <c r="C145">
        <v>16</v>
      </c>
      <c r="D145" t="s">
        <v>35</v>
      </c>
      <c r="E145" t="s">
        <v>47</v>
      </c>
      <c r="F145" t="s">
        <v>44</v>
      </c>
      <c r="G145">
        <v>1</v>
      </c>
      <c r="H145">
        <v>1</v>
      </c>
      <c r="I145" t="s">
        <v>38</v>
      </c>
      <c r="J145" t="s">
        <v>38</v>
      </c>
      <c r="K145" t="s">
        <v>40</v>
      </c>
      <c r="L145" t="s">
        <v>41</v>
      </c>
      <c r="M145">
        <v>1</v>
      </c>
      <c r="N145">
        <v>1</v>
      </c>
      <c r="O145">
        <v>0</v>
      </c>
      <c r="P145" t="s">
        <v>43</v>
      </c>
      <c r="Q145" t="s">
        <v>43</v>
      </c>
      <c r="R145" t="s">
        <v>43</v>
      </c>
      <c r="S145" t="s">
        <v>43</v>
      </c>
      <c r="T145" t="s">
        <v>42</v>
      </c>
      <c r="U145" t="s">
        <v>42</v>
      </c>
      <c r="V145" t="s">
        <v>42</v>
      </c>
      <c r="W145" t="s">
        <v>43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 x14ac:dyDescent="0.35">
      <c r="A146" t="s">
        <v>33</v>
      </c>
      <c r="B146" t="s">
        <v>50</v>
      </c>
      <c r="C146">
        <v>17</v>
      </c>
      <c r="D146" t="s">
        <v>35</v>
      </c>
      <c r="E146" t="s">
        <v>36</v>
      </c>
      <c r="F146" t="s">
        <v>44</v>
      </c>
      <c r="G146">
        <v>2</v>
      </c>
      <c r="H146">
        <v>1</v>
      </c>
      <c r="I146" t="s">
        <v>45</v>
      </c>
      <c r="J146" t="s">
        <v>45</v>
      </c>
      <c r="K146" t="s">
        <v>49</v>
      </c>
      <c r="L146" t="s">
        <v>41</v>
      </c>
      <c r="M146">
        <v>1</v>
      </c>
      <c r="N146">
        <v>1</v>
      </c>
      <c r="O146">
        <v>3</v>
      </c>
      <c r="P146" t="s">
        <v>43</v>
      </c>
      <c r="Q146" t="s">
        <v>42</v>
      </c>
      <c r="R146" t="s">
        <v>43</v>
      </c>
      <c r="S146" t="s">
        <v>43</v>
      </c>
      <c r="T146" t="s">
        <v>42</v>
      </c>
      <c r="U146" t="s">
        <v>42</v>
      </c>
      <c r="V146" t="s">
        <v>42</v>
      </c>
      <c r="W146" t="s">
        <v>43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 x14ac:dyDescent="0.35">
      <c r="A147" t="s">
        <v>33</v>
      </c>
      <c r="B147" t="s">
        <v>34</v>
      </c>
      <c r="C147">
        <v>15</v>
      </c>
      <c r="D147" t="s">
        <v>35</v>
      </c>
      <c r="E147" t="s">
        <v>36</v>
      </c>
      <c r="F147" t="s">
        <v>44</v>
      </c>
      <c r="G147">
        <v>1</v>
      </c>
      <c r="H147">
        <v>1</v>
      </c>
      <c r="I147" t="s">
        <v>45</v>
      </c>
      <c r="J147" t="s">
        <v>48</v>
      </c>
      <c r="K147" t="s">
        <v>40</v>
      </c>
      <c r="L147" t="s">
        <v>46</v>
      </c>
      <c r="M147">
        <v>1</v>
      </c>
      <c r="N147">
        <v>2</v>
      </c>
      <c r="O147">
        <v>0</v>
      </c>
      <c r="P147" t="s">
        <v>43</v>
      </c>
      <c r="Q147" t="s">
        <v>42</v>
      </c>
      <c r="R147" t="s">
        <v>42</v>
      </c>
      <c r="S147" t="s">
        <v>43</v>
      </c>
      <c r="T147" t="s">
        <v>42</v>
      </c>
      <c r="U147" t="s">
        <v>42</v>
      </c>
      <c r="V147" t="s">
        <v>42</v>
      </c>
      <c r="W147" t="s">
        <v>43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 x14ac:dyDescent="0.35">
      <c r="A148" t="s">
        <v>33</v>
      </c>
      <c r="B148" t="s">
        <v>34</v>
      </c>
      <c r="C148">
        <v>15</v>
      </c>
      <c r="D148" t="s">
        <v>35</v>
      </c>
      <c r="E148" t="s">
        <v>36</v>
      </c>
      <c r="F148" t="s">
        <v>44</v>
      </c>
      <c r="G148">
        <v>3</v>
      </c>
      <c r="H148">
        <v>2</v>
      </c>
      <c r="I148" t="s">
        <v>28</v>
      </c>
      <c r="J148" t="s">
        <v>48</v>
      </c>
      <c r="K148" t="s">
        <v>49</v>
      </c>
      <c r="L148" t="s">
        <v>46</v>
      </c>
      <c r="M148">
        <v>1</v>
      </c>
      <c r="N148">
        <v>2</v>
      </c>
      <c r="O148">
        <v>3</v>
      </c>
      <c r="P148" t="s">
        <v>43</v>
      </c>
      <c r="Q148" t="s">
        <v>42</v>
      </c>
      <c r="R148" t="s">
        <v>43</v>
      </c>
      <c r="S148" t="s">
        <v>43</v>
      </c>
      <c r="T148" t="s">
        <v>42</v>
      </c>
      <c r="U148" t="s">
        <v>42</v>
      </c>
      <c r="V148" t="s">
        <v>42</v>
      </c>
      <c r="W148" t="s">
        <v>43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 x14ac:dyDescent="0.35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1</v>
      </c>
      <c r="H149">
        <v>2</v>
      </c>
      <c r="I149" t="s">
        <v>38</v>
      </c>
      <c r="J149" t="s">
        <v>45</v>
      </c>
      <c r="K149" t="s">
        <v>40</v>
      </c>
      <c r="L149" t="s">
        <v>41</v>
      </c>
      <c r="M149">
        <v>1</v>
      </c>
      <c r="N149">
        <v>2</v>
      </c>
      <c r="O149">
        <v>0</v>
      </c>
      <c r="P149" t="s">
        <v>43</v>
      </c>
      <c r="Q149" t="s">
        <v>42</v>
      </c>
      <c r="R149" t="s">
        <v>42</v>
      </c>
      <c r="S149" t="s">
        <v>43</v>
      </c>
      <c r="T149" t="s">
        <v>43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 x14ac:dyDescent="0.35">
      <c r="A150" t="s">
        <v>33</v>
      </c>
      <c r="B150" t="s">
        <v>50</v>
      </c>
      <c r="C150">
        <v>16</v>
      </c>
      <c r="D150" t="s">
        <v>35</v>
      </c>
      <c r="E150" t="s">
        <v>36</v>
      </c>
      <c r="F150" t="s">
        <v>44</v>
      </c>
      <c r="G150">
        <v>4</v>
      </c>
      <c r="H150">
        <v>4</v>
      </c>
      <c r="I150" t="s">
        <v>39</v>
      </c>
      <c r="J150" t="s">
        <v>39</v>
      </c>
      <c r="K150" t="s">
        <v>40</v>
      </c>
      <c r="L150" t="s">
        <v>41</v>
      </c>
      <c r="M150">
        <v>1</v>
      </c>
      <c r="N150">
        <v>1</v>
      </c>
      <c r="O150">
        <v>0</v>
      </c>
      <c r="P150" t="s">
        <v>43</v>
      </c>
      <c r="Q150" t="s">
        <v>42</v>
      </c>
      <c r="R150" t="s">
        <v>43</v>
      </c>
      <c r="S150" t="s">
        <v>43</v>
      </c>
      <c r="T150" t="s">
        <v>42</v>
      </c>
      <c r="U150" t="s">
        <v>43</v>
      </c>
      <c r="V150" t="s">
        <v>42</v>
      </c>
      <c r="W150" t="s">
        <v>42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 x14ac:dyDescent="0.35">
      <c r="A151" t="s">
        <v>33</v>
      </c>
      <c r="B151" t="s">
        <v>50</v>
      </c>
      <c r="C151">
        <v>15</v>
      </c>
      <c r="D151" t="s">
        <v>35</v>
      </c>
      <c r="E151" t="s">
        <v>47</v>
      </c>
      <c r="F151" t="s">
        <v>37</v>
      </c>
      <c r="G151">
        <v>2</v>
      </c>
      <c r="H151">
        <v>1</v>
      </c>
      <c r="I151" t="s">
        <v>48</v>
      </c>
      <c r="J151" t="s">
        <v>45</v>
      </c>
      <c r="K151" t="s">
        <v>40</v>
      </c>
      <c r="L151" t="s">
        <v>41</v>
      </c>
      <c r="M151">
        <v>4</v>
      </c>
      <c r="N151">
        <v>1</v>
      </c>
      <c r="O151">
        <v>3</v>
      </c>
      <c r="P151" t="s">
        <v>43</v>
      </c>
      <c r="Q151" t="s">
        <v>43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 x14ac:dyDescent="0.35">
      <c r="A152" t="s">
        <v>33</v>
      </c>
      <c r="B152" t="s">
        <v>50</v>
      </c>
      <c r="C152">
        <v>18</v>
      </c>
      <c r="D152" t="s">
        <v>35</v>
      </c>
      <c r="E152" t="s">
        <v>47</v>
      </c>
      <c r="F152" t="s">
        <v>44</v>
      </c>
      <c r="G152">
        <v>1</v>
      </c>
      <c r="H152">
        <v>1</v>
      </c>
      <c r="I152" t="s">
        <v>45</v>
      </c>
      <c r="J152" t="s">
        <v>45</v>
      </c>
      <c r="K152" t="s">
        <v>40</v>
      </c>
      <c r="L152" t="s">
        <v>41</v>
      </c>
      <c r="M152">
        <v>1</v>
      </c>
      <c r="N152">
        <v>1</v>
      </c>
      <c r="O152">
        <v>3</v>
      </c>
      <c r="P152" t="s">
        <v>43</v>
      </c>
      <c r="Q152" t="s">
        <v>43</v>
      </c>
      <c r="R152" t="s">
        <v>43</v>
      </c>
      <c r="S152" t="s">
        <v>43</v>
      </c>
      <c r="T152" t="s">
        <v>42</v>
      </c>
      <c r="U152" t="s">
        <v>43</v>
      </c>
      <c r="V152" t="s">
        <v>42</v>
      </c>
      <c r="W152" t="s">
        <v>42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 x14ac:dyDescent="0.35">
      <c r="A153" t="s">
        <v>33</v>
      </c>
      <c r="B153" t="s">
        <v>50</v>
      </c>
      <c r="C153">
        <v>16</v>
      </c>
      <c r="D153" t="s">
        <v>35</v>
      </c>
      <c r="E153" t="s">
        <v>47</v>
      </c>
      <c r="F153" t="s">
        <v>44</v>
      </c>
      <c r="G153">
        <v>2</v>
      </c>
      <c r="H153">
        <v>1</v>
      </c>
      <c r="I153" t="s">
        <v>38</v>
      </c>
      <c r="J153" t="s">
        <v>45</v>
      </c>
      <c r="K153" t="s">
        <v>40</v>
      </c>
      <c r="L153" t="s">
        <v>41</v>
      </c>
      <c r="M153">
        <v>1</v>
      </c>
      <c r="N153">
        <v>1</v>
      </c>
      <c r="O153">
        <v>1</v>
      </c>
      <c r="P153" t="s">
        <v>43</v>
      </c>
      <c r="Q153" t="s">
        <v>43</v>
      </c>
      <c r="R153" t="s">
        <v>43</v>
      </c>
      <c r="S153" t="s">
        <v>42</v>
      </c>
      <c r="T153" t="s">
        <v>42</v>
      </c>
      <c r="U153" t="s">
        <v>42</v>
      </c>
      <c r="V153" t="s">
        <v>43</v>
      </c>
      <c r="W153" t="s">
        <v>42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 x14ac:dyDescent="0.35">
      <c r="A154" t="s">
        <v>33</v>
      </c>
      <c r="B154" t="s">
        <v>34</v>
      </c>
      <c r="C154">
        <v>15</v>
      </c>
      <c r="D154" t="s">
        <v>52</v>
      </c>
      <c r="E154" t="s">
        <v>36</v>
      </c>
      <c r="F154" t="s">
        <v>44</v>
      </c>
      <c r="G154">
        <v>3</v>
      </c>
      <c r="H154">
        <v>3</v>
      </c>
      <c r="I154" t="s">
        <v>48</v>
      </c>
      <c r="J154" t="s">
        <v>48</v>
      </c>
      <c r="K154" t="s">
        <v>51</v>
      </c>
      <c r="L154" t="s">
        <v>45</v>
      </c>
      <c r="M154">
        <v>2</v>
      </c>
      <c r="N154">
        <v>3</v>
      </c>
      <c r="O154">
        <v>2</v>
      </c>
      <c r="P154" t="s">
        <v>43</v>
      </c>
      <c r="Q154" t="s">
        <v>42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 x14ac:dyDescent="0.35">
      <c r="A155" t="s">
        <v>33</v>
      </c>
      <c r="B155" t="s">
        <v>50</v>
      </c>
      <c r="C155">
        <v>19</v>
      </c>
      <c r="D155" t="s">
        <v>35</v>
      </c>
      <c r="E155" t="s">
        <v>36</v>
      </c>
      <c r="F155" t="s">
        <v>44</v>
      </c>
      <c r="G155">
        <v>3</v>
      </c>
      <c r="H155">
        <v>2</v>
      </c>
      <c r="I155" t="s">
        <v>48</v>
      </c>
      <c r="J155" t="s">
        <v>38</v>
      </c>
      <c r="K155" t="s">
        <v>49</v>
      </c>
      <c r="L155" t="s">
        <v>41</v>
      </c>
      <c r="M155">
        <v>1</v>
      </c>
      <c r="N155">
        <v>1</v>
      </c>
      <c r="O155">
        <v>3</v>
      </c>
      <c r="P155" t="s">
        <v>43</v>
      </c>
      <c r="Q155" t="s">
        <v>42</v>
      </c>
      <c r="R155" t="s">
        <v>43</v>
      </c>
      <c r="S155" t="s">
        <v>43</v>
      </c>
      <c r="T155" t="s">
        <v>42</v>
      </c>
      <c r="U155" t="s">
        <v>43</v>
      </c>
      <c r="V155" t="s">
        <v>42</v>
      </c>
      <c r="W155" t="s">
        <v>42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 x14ac:dyDescent="0.35">
      <c r="A156" t="s">
        <v>33</v>
      </c>
      <c r="B156" t="s">
        <v>34</v>
      </c>
      <c r="C156">
        <v>17</v>
      </c>
      <c r="D156" t="s">
        <v>35</v>
      </c>
      <c r="E156" t="s">
        <v>36</v>
      </c>
      <c r="F156" t="s">
        <v>44</v>
      </c>
      <c r="G156">
        <v>4</v>
      </c>
      <c r="H156">
        <v>4</v>
      </c>
      <c r="I156" t="s">
        <v>45</v>
      </c>
      <c r="J156" t="s">
        <v>39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42</v>
      </c>
      <c r="Q156" t="s">
        <v>42</v>
      </c>
      <c r="R156" t="s">
        <v>43</v>
      </c>
      <c r="S156" t="s">
        <v>43</v>
      </c>
      <c r="T156" t="s">
        <v>42</v>
      </c>
      <c r="U156" t="s">
        <v>42</v>
      </c>
      <c r="V156" t="s">
        <v>43</v>
      </c>
      <c r="W156" t="s">
        <v>42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 x14ac:dyDescent="0.35">
      <c r="A157" t="s">
        <v>33</v>
      </c>
      <c r="B157" t="s">
        <v>50</v>
      </c>
      <c r="C157">
        <v>15</v>
      </c>
      <c r="D157" t="s">
        <v>52</v>
      </c>
      <c r="E157" t="s">
        <v>36</v>
      </c>
      <c r="F157" t="s">
        <v>44</v>
      </c>
      <c r="G157">
        <v>2</v>
      </c>
      <c r="H157">
        <v>3</v>
      </c>
      <c r="I157" t="s">
        <v>38</v>
      </c>
      <c r="J157" t="s">
        <v>48</v>
      </c>
      <c r="K157" t="s">
        <v>40</v>
      </c>
      <c r="L157" t="s">
        <v>41</v>
      </c>
      <c r="M157">
        <v>1</v>
      </c>
      <c r="N157">
        <v>2</v>
      </c>
      <c r="O157">
        <v>0</v>
      </c>
      <c r="P157" t="s">
        <v>42</v>
      </c>
      <c r="Q157" t="s">
        <v>43</v>
      </c>
      <c r="R157" t="s">
        <v>42</v>
      </c>
      <c r="S157" t="s">
        <v>42</v>
      </c>
      <c r="T157" t="s">
        <v>42</v>
      </c>
      <c r="U157" t="s">
        <v>42</v>
      </c>
      <c r="V157" t="s">
        <v>43</v>
      </c>
      <c r="W157" t="s">
        <v>43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 x14ac:dyDescent="0.35">
      <c r="A158" t="s">
        <v>33</v>
      </c>
      <c r="B158" t="s">
        <v>50</v>
      </c>
      <c r="C158">
        <v>17</v>
      </c>
      <c r="D158" t="s">
        <v>52</v>
      </c>
      <c r="E158" t="s">
        <v>47</v>
      </c>
      <c r="F158" t="s">
        <v>44</v>
      </c>
      <c r="G158">
        <v>1</v>
      </c>
      <c r="H158">
        <v>2</v>
      </c>
      <c r="I158" t="s">
        <v>45</v>
      </c>
      <c r="J158" t="s">
        <v>45</v>
      </c>
      <c r="K158" t="s">
        <v>51</v>
      </c>
      <c r="L158" t="s">
        <v>41</v>
      </c>
      <c r="M158">
        <v>1</v>
      </c>
      <c r="N158">
        <v>1</v>
      </c>
      <c r="O158">
        <v>0</v>
      </c>
      <c r="P158" t="s">
        <v>43</v>
      </c>
      <c r="Q158" t="s">
        <v>43</v>
      </c>
      <c r="R158" t="s">
        <v>43</v>
      </c>
      <c r="S158" t="s">
        <v>43</v>
      </c>
      <c r="T158" t="s">
        <v>42</v>
      </c>
      <c r="U158" t="s">
        <v>42</v>
      </c>
      <c r="V158" t="s">
        <v>43</v>
      </c>
      <c r="W158" t="s">
        <v>43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 x14ac:dyDescent="0.35">
      <c r="A159" t="s">
        <v>33</v>
      </c>
      <c r="B159" t="s">
        <v>34</v>
      </c>
      <c r="C159">
        <v>18</v>
      </c>
      <c r="D159" t="s">
        <v>52</v>
      </c>
      <c r="E159" t="s">
        <v>36</v>
      </c>
      <c r="F159" t="s">
        <v>44</v>
      </c>
      <c r="G159">
        <v>1</v>
      </c>
      <c r="H159">
        <v>1</v>
      </c>
      <c r="I159" t="s">
        <v>38</v>
      </c>
      <c r="J159" t="s">
        <v>45</v>
      </c>
      <c r="K159" t="s">
        <v>40</v>
      </c>
      <c r="L159" t="s">
        <v>41</v>
      </c>
      <c r="M159">
        <v>3</v>
      </c>
      <c r="N159">
        <v>1</v>
      </c>
      <c r="O159">
        <v>3</v>
      </c>
      <c r="P159" t="s">
        <v>43</v>
      </c>
      <c r="Q159" t="s">
        <v>42</v>
      </c>
      <c r="R159" t="s">
        <v>43</v>
      </c>
      <c r="S159" t="s">
        <v>42</v>
      </c>
      <c r="T159" t="s">
        <v>43</v>
      </c>
      <c r="U159" t="s">
        <v>42</v>
      </c>
      <c r="V159" t="s">
        <v>43</v>
      </c>
      <c r="W159" t="s">
        <v>43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 x14ac:dyDescent="0.35">
      <c r="A160" t="s">
        <v>33</v>
      </c>
      <c r="B160" t="s">
        <v>50</v>
      </c>
      <c r="C160">
        <v>16</v>
      </c>
      <c r="D160" t="s">
        <v>52</v>
      </c>
      <c r="E160" t="s">
        <v>36</v>
      </c>
      <c r="F160" t="s">
        <v>44</v>
      </c>
      <c r="G160">
        <v>2</v>
      </c>
      <c r="H160">
        <v>2</v>
      </c>
      <c r="I160" t="s">
        <v>38</v>
      </c>
      <c r="J160" t="s">
        <v>45</v>
      </c>
      <c r="K160" t="s">
        <v>40</v>
      </c>
      <c r="L160" t="s">
        <v>41</v>
      </c>
      <c r="M160">
        <v>3</v>
      </c>
      <c r="N160">
        <v>1</v>
      </c>
      <c r="O160">
        <v>0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42</v>
      </c>
      <c r="V160" t="s">
        <v>43</v>
      </c>
      <c r="W160" t="s">
        <v>43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 x14ac:dyDescent="0.35">
      <c r="A161" t="s">
        <v>33</v>
      </c>
      <c r="B161" t="s">
        <v>50</v>
      </c>
      <c r="C161">
        <v>16</v>
      </c>
      <c r="D161" t="s">
        <v>35</v>
      </c>
      <c r="E161" t="s">
        <v>36</v>
      </c>
      <c r="F161" t="s">
        <v>44</v>
      </c>
      <c r="G161">
        <v>3</v>
      </c>
      <c r="H161">
        <v>3</v>
      </c>
      <c r="I161" t="s">
        <v>45</v>
      </c>
      <c r="J161" t="s">
        <v>48</v>
      </c>
      <c r="K161" t="s">
        <v>40</v>
      </c>
      <c r="L161" t="s">
        <v>46</v>
      </c>
      <c r="M161">
        <v>1</v>
      </c>
      <c r="N161">
        <v>2</v>
      </c>
      <c r="O161">
        <v>1</v>
      </c>
      <c r="P161" t="s">
        <v>43</v>
      </c>
      <c r="Q161" t="s">
        <v>42</v>
      </c>
      <c r="R161" t="s">
        <v>42</v>
      </c>
      <c r="S161" t="s">
        <v>43</v>
      </c>
      <c r="T161" t="s">
        <v>42</v>
      </c>
      <c r="U161" t="s">
        <v>42</v>
      </c>
      <c r="V161" t="s">
        <v>42</v>
      </c>
      <c r="W161" t="s">
        <v>42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 x14ac:dyDescent="0.35">
      <c r="A162" t="s">
        <v>33</v>
      </c>
      <c r="B162" t="s">
        <v>50</v>
      </c>
      <c r="C162">
        <v>17</v>
      </c>
      <c r="D162" t="s">
        <v>52</v>
      </c>
      <c r="E162" t="s">
        <v>47</v>
      </c>
      <c r="F162" t="s">
        <v>44</v>
      </c>
      <c r="G162">
        <v>2</v>
      </c>
      <c r="H162">
        <v>1</v>
      </c>
      <c r="I162" t="s">
        <v>38</v>
      </c>
      <c r="J162" t="s">
        <v>45</v>
      </c>
      <c r="K162" t="s">
        <v>40</v>
      </c>
      <c r="L162" t="s">
        <v>41</v>
      </c>
      <c r="M162">
        <v>2</v>
      </c>
      <c r="N162">
        <v>1</v>
      </c>
      <c r="O162">
        <v>2</v>
      </c>
      <c r="P162" t="s">
        <v>43</v>
      </c>
      <c r="Q162" t="s">
        <v>43</v>
      </c>
      <c r="R162" t="s">
        <v>43</v>
      </c>
      <c r="S162" t="s">
        <v>42</v>
      </c>
      <c r="T162" t="s">
        <v>42</v>
      </c>
      <c r="U162" t="s">
        <v>43</v>
      </c>
      <c r="V162" t="s">
        <v>42</v>
      </c>
      <c r="W162" t="s">
        <v>42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 x14ac:dyDescent="0.35">
      <c r="A163" t="s">
        <v>33</v>
      </c>
      <c r="B163" t="s">
        <v>50</v>
      </c>
      <c r="C163">
        <v>15</v>
      </c>
      <c r="D163" t="s">
        <v>52</v>
      </c>
      <c r="E163" t="s">
        <v>36</v>
      </c>
      <c r="F163" t="s">
        <v>44</v>
      </c>
      <c r="G163">
        <v>3</v>
      </c>
      <c r="H163">
        <v>2</v>
      </c>
      <c r="I163" t="s">
        <v>45</v>
      </c>
      <c r="J163" t="s">
        <v>45</v>
      </c>
      <c r="K163" t="s">
        <v>40</v>
      </c>
      <c r="L163" t="s">
        <v>41</v>
      </c>
      <c r="M163">
        <v>2</v>
      </c>
      <c r="N163">
        <v>2</v>
      </c>
      <c r="O163">
        <v>2</v>
      </c>
      <c r="P163" t="s">
        <v>42</v>
      </c>
      <c r="Q163" t="s">
        <v>42</v>
      </c>
      <c r="R163" t="s">
        <v>43</v>
      </c>
      <c r="S163" t="s">
        <v>43</v>
      </c>
      <c r="T163" t="s">
        <v>42</v>
      </c>
      <c r="U163" t="s">
        <v>42</v>
      </c>
      <c r="V163" t="s">
        <v>42</v>
      </c>
      <c r="W163" t="s">
        <v>42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 x14ac:dyDescent="0.35">
      <c r="A164" t="s">
        <v>33</v>
      </c>
      <c r="B164" t="s">
        <v>50</v>
      </c>
      <c r="C164">
        <v>16</v>
      </c>
      <c r="D164" t="s">
        <v>35</v>
      </c>
      <c r="E164" t="s">
        <v>47</v>
      </c>
      <c r="F164" t="s">
        <v>44</v>
      </c>
      <c r="G164">
        <v>1</v>
      </c>
      <c r="H164">
        <v>2</v>
      </c>
      <c r="I164" t="s">
        <v>45</v>
      </c>
      <c r="J164" t="s">
        <v>45</v>
      </c>
      <c r="K164" t="s">
        <v>40</v>
      </c>
      <c r="L164" t="s">
        <v>41</v>
      </c>
      <c r="M164">
        <v>2</v>
      </c>
      <c r="N164">
        <v>1</v>
      </c>
      <c r="O164">
        <v>1</v>
      </c>
      <c r="P164" t="s">
        <v>43</v>
      </c>
      <c r="Q164" t="s">
        <v>43</v>
      </c>
      <c r="R164" t="s">
        <v>43</v>
      </c>
      <c r="S164" t="s">
        <v>42</v>
      </c>
      <c r="T164" t="s">
        <v>42</v>
      </c>
      <c r="U164" t="s">
        <v>42</v>
      </c>
      <c r="V164" t="s">
        <v>43</v>
      </c>
      <c r="W164" t="s">
        <v>43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 x14ac:dyDescent="0.35">
      <c r="A165" t="s">
        <v>33</v>
      </c>
      <c r="B165" t="s">
        <v>50</v>
      </c>
      <c r="C165">
        <v>17</v>
      </c>
      <c r="D165" t="s">
        <v>35</v>
      </c>
      <c r="E165" t="s">
        <v>36</v>
      </c>
      <c r="F165" t="s">
        <v>44</v>
      </c>
      <c r="G165">
        <v>1</v>
      </c>
      <c r="H165">
        <v>3</v>
      </c>
      <c r="I165" t="s">
        <v>38</v>
      </c>
      <c r="J165" t="s">
        <v>48</v>
      </c>
      <c r="K165" t="s">
        <v>40</v>
      </c>
      <c r="L165" t="s">
        <v>46</v>
      </c>
      <c r="M165">
        <v>1</v>
      </c>
      <c r="N165">
        <v>1</v>
      </c>
      <c r="O165">
        <v>0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43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 x14ac:dyDescent="0.35">
      <c r="A166" t="s">
        <v>33</v>
      </c>
      <c r="B166" t="s">
        <v>50</v>
      </c>
      <c r="C166">
        <v>17</v>
      </c>
      <c r="D166" t="s">
        <v>52</v>
      </c>
      <c r="E166" t="s">
        <v>47</v>
      </c>
      <c r="F166" t="s">
        <v>44</v>
      </c>
      <c r="G166">
        <v>1</v>
      </c>
      <c r="H166">
        <v>1</v>
      </c>
      <c r="I166" t="s">
        <v>45</v>
      </c>
      <c r="J166" t="s">
        <v>48</v>
      </c>
      <c r="K166" t="s">
        <v>40</v>
      </c>
      <c r="L166" t="s">
        <v>41</v>
      </c>
      <c r="M166">
        <v>4</v>
      </c>
      <c r="N166">
        <v>2</v>
      </c>
      <c r="O166">
        <v>3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43</v>
      </c>
      <c r="V166" t="s">
        <v>43</v>
      </c>
      <c r="W166" t="s">
        <v>42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 x14ac:dyDescent="0.35">
      <c r="A167" t="s">
        <v>33</v>
      </c>
      <c r="B167" t="s">
        <v>50</v>
      </c>
      <c r="C167">
        <v>16</v>
      </c>
      <c r="D167" t="s">
        <v>35</v>
      </c>
      <c r="E167" t="s">
        <v>36</v>
      </c>
      <c r="F167" t="s">
        <v>44</v>
      </c>
      <c r="G167">
        <v>3</v>
      </c>
      <c r="H167">
        <v>2</v>
      </c>
      <c r="I167" t="s">
        <v>48</v>
      </c>
      <c r="J167" t="s">
        <v>48</v>
      </c>
      <c r="K167" t="s">
        <v>40</v>
      </c>
      <c r="L167" t="s">
        <v>41</v>
      </c>
      <c r="M167">
        <v>2</v>
      </c>
      <c r="N167">
        <v>1</v>
      </c>
      <c r="O167">
        <v>1</v>
      </c>
      <c r="P167" t="s">
        <v>43</v>
      </c>
      <c r="Q167" t="s">
        <v>42</v>
      </c>
      <c r="R167" t="s">
        <v>43</v>
      </c>
      <c r="S167" t="s">
        <v>42</v>
      </c>
      <c r="T167" t="s">
        <v>43</v>
      </c>
      <c r="U167" t="s">
        <v>43</v>
      </c>
      <c r="V167" t="s">
        <v>43</v>
      </c>
      <c r="W167" t="s">
        <v>43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 x14ac:dyDescent="0.35">
      <c r="A168" t="s">
        <v>33</v>
      </c>
      <c r="B168" t="s">
        <v>50</v>
      </c>
      <c r="C168">
        <v>16</v>
      </c>
      <c r="D168" t="s">
        <v>35</v>
      </c>
      <c r="E168" t="s">
        <v>36</v>
      </c>
      <c r="F168" t="s">
        <v>44</v>
      </c>
      <c r="G168">
        <v>2</v>
      </c>
      <c r="H168">
        <v>2</v>
      </c>
      <c r="I168" t="s">
        <v>45</v>
      </c>
      <c r="J168" t="s">
        <v>45</v>
      </c>
      <c r="K168" t="s">
        <v>40</v>
      </c>
      <c r="L168" t="s">
        <v>46</v>
      </c>
      <c r="M168">
        <v>1</v>
      </c>
      <c r="N168">
        <v>2</v>
      </c>
      <c r="O168">
        <v>0</v>
      </c>
      <c r="P168" t="s">
        <v>43</v>
      </c>
      <c r="Q168" t="s">
        <v>43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43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 x14ac:dyDescent="0.35">
      <c r="A169" t="s">
        <v>33</v>
      </c>
      <c r="B169" t="s">
        <v>34</v>
      </c>
      <c r="C169">
        <v>16</v>
      </c>
      <c r="D169" t="s">
        <v>35</v>
      </c>
      <c r="E169" t="s">
        <v>36</v>
      </c>
      <c r="F169" t="s">
        <v>44</v>
      </c>
      <c r="G169">
        <v>4</v>
      </c>
      <c r="H169">
        <v>2</v>
      </c>
      <c r="I169" t="s">
        <v>28</v>
      </c>
      <c r="J169" t="s">
        <v>48</v>
      </c>
      <c r="K169" t="s">
        <v>49</v>
      </c>
      <c r="L169" t="s">
        <v>46</v>
      </c>
      <c r="M169">
        <v>1</v>
      </c>
      <c r="N169">
        <v>2</v>
      </c>
      <c r="O169">
        <v>0</v>
      </c>
      <c r="P169" t="s">
        <v>43</v>
      </c>
      <c r="Q169" t="s">
        <v>43</v>
      </c>
      <c r="R169" t="s">
        <v>42</v>
      </c>
      <c r="S169" t="s">
        <v>43</v>
      </c>
      <c r="T169" t="s">
        <v>42</v>
      </c>
      <c r="U169" t="s">
        <v>42</v>
      </c>
      <c r="V169" t="s">
        <v>42</v>
      </c>
      <c r="W169" t="s">
        <v>42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 x14ac:dyDescent="0.35">
      <c r="A170" t="s">
        <v>33</v>
      </c>
      <c r="B170" t="s">
        <v>34</v>
      </c>
      <c r="C170">
        <v>16</v>
      </c>
      <c r="D170" t="s">
        <v>35</v>
      </c>
      <c r="E170" t="s">
        <v>36</v>
      </c>
      <c r="F170" t="s">
        <v>44</v>
      </c>
      <c r="G170">
        <v>2</v>
      </c>
      <c r="H170">
        <v>2</v>
      </c>
      <c r="I170" t="s">
        <v>45</v>
      </c>
      <c r="J170" t="s">
        <v>45</v>
      </c>
      <c r="K170" t="s">
        <v>49</v>
      </c>
      <c r="L170" t="s">
        <v>41</v>
      </c>
      <c r="M170">
        <v>1</v>
      </c>
      <c r="N170">
        <v>2</v>
      </c>
      <c r="O170">
        <v>0</v>
      </c>
      <c r="P170" t="s">
        <v>43</v>
      </c>
      <c r="Q170" t="s">
        <v>42</v>
      </c>
      <c r="R170" t="s">
        <v>42</v>
      </c>
      <c r="S170" t="s">
        <v>43</v>
      </c>
      <c r="T170" t="s">
        <v>43</v>
      </c>
      <c r="U170" t="s">
        <v>42</v>
      </c>
      <c r="V170" t="s">
        <v>42</v>
      </c>
      <c r="W170" t="s">
        <v>43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 x14ac:dyDescent="0.35">
      <c r="A171" t="s">
        <v>33</v>
      </c>
      <c r="B171" t="s">
        <v>34</v>
      </c>
      <c r="C171">
        <v>16</v>
      </c>
      <c r="D171" t="s">
        <v>35</v>
      </c>
      <c r="E171" t="s">
        <v>36</v>
      </c>
      <c r="F171" t="s">
        <v>44</v>
      </c>
      <c r="G171">
        <v>4</v>
      </c>
      <c r="H171">
        <v>4</v>
      </c>
      <c r="I171" t="s">
        <v>28</v>
      </c>
      <c r="J171" t="s">
        <v>28</v>
      </c>
      <c r="K171" t="s">
        <v>51</v>
      </c>
      <c r="L171" t="s">
        <v>41</v>
      </c>
      <c r="M171">
        <v>1</v>
      </c>
      <c r="N171">
        <v>2</v>
      </c>
      <c r="O171">
        <v>0</v>
      </c>
      <c r="P171" t="s">
        <v>43</v>
      </c>
      <c r="Q171" t="s">
        <v>42</v>
      </c>
      <c r="R171" t="s">
        <v>42</v>
      </c>
      <c r="S171" t="s">
        <v>43</v>
      </c>
      <c r="T171" t="s">
        <v>42</v>
      </c>
      <c r="U171" t="s">
        <v>42</v>
      </c>
      <c r="V171" t="s">
        <v>42</v>
      </c>
      <c r="W171" t="s">
        <v>42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 x14ac:dyDescent="0.35">
      <c r="A172" t="s">
        <v>33</v>
      </c>
      <c r="B172" t="s">
        <v>50</v>
      </c>
      <c r="C172">
        <v>16</v>
      </c>
      <c r="D172" t="s">
        <v>35</v>
      </c>
      <c r="E172" t="s">
        <v>36</v>
      </c>
      <c r="F172" t="s">
        <v>44</v>
      </c>
      <c r="G172">
        <v>3</v>
      </c>
      <c r="H172">
        <v>4</v>
      </c>
      <c r="I172" t="s">
        <v>45</v>
      </c>
      <c r="J172" t="s">
        <v>45</v>
      </c>
      <c r="K172" t="s">
        <v>40</v>
      </c>
      <c r="L172" t="s">
        <v>46</v>
      </c>
      <c r="M172">
        <v>3</v>
      </c>
      <c r="N172">
        <v>1</v>
      </c>
      <c r="O172">
        <v>2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42</v>
      </c>
      <c r="W172" t="s">
        <v>43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 x14ac:dyDescent="0.35">
      <c r="A173" t="s">
        <v>33</v>
      </c>
      <c r="B173" t="s">
        <v>50</v>
      </c>
      <c r="C173">
        <v>16</v>
      </c>
      <c r="D173" t="s">
        <v>35</v>
      </c>
      <c r="E173" t="s">
        <v>36</v>
      </c>
      <c r="F173" t="s">
        <v>44</v>
      </c>
      <c r="G173">
        <v>1</v>
      </c>
      <c r="H173">
        <v>0</v>
      </c>
      <c r="I173" t="s">
        <v>45</v>
      </c>
      <c r="J173" t="s">
        <v>45</v>
      </c>
      <c r="K173" t="s">
        <v>51</v>
      </c>
      <c r="L173" t="s">
        <v>41</v>
      </c>
      <c r="M173">
        <v>2</v>
      </c>
      <c r="N173">
        <v>2</v>
      </c>
      <c r="O173">
        <v>0</v>
      </c>
      <c r="P173" t="s">
        <v>43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 x14ac:dyDescent="0.35">
      <c r="A174" t="s">
        <v>33</v>
      </c>
      <c r="B174" t="s">
        <v>50</v>
      </c>
      <c r="C174">
        <v>17</v>
      </c>
      <c r="D174" t="s">
        <v>35</v>
      </c>
      <c r="E174" t="s">
        <v>47</v>
      </c>
      <c r="F174" t="s">
        <v>44</v>
      </c>
      <c r="G174">
        <v>4</v>
      </c>
      <c r="H174">
        <v>4</v>
      </c>
      <c r="I174" t="s">
        <v>39</v>
      </c>
      <c r="J174" t="s">
        <v>45</v>
      </c>
      <c r="K174" t="s">
        <v>51</v>
      </c>
      <c r="L174" t="s">
        <v>41</v>
      </c>
      <c r="M174">
        <v>1</v>
      </c>
      <c r="N174">
        <v>2</v>
      </c>
      <c r="O174">
        <v>0</v>
      </c>
      <c r="P174" t="s">
        <v>43</v>
      </c>
      <c r="Q174" t="s">
        <v>42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43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 x14ac:dyDescent="0.35">
      <c r="A175" t="s">
        <v>33</v>
      </c>
      <c r="B175" t="s">
        <v>34</v>
      </c>
      <c r="C175">
        <v>16</v>
      </c>
      <c r="D175" t="s">
        <v>35</v>
      </c>
      <c r="E175" t="s">
        <v>36</v>
      </c>
      <c r="F175" t="s">
        <v>44</v>
      </c>
      <c r="G175">
        <v>1</v>
      </c>
      <c r="H175">
        <v>3</v>
      </c>
      <c r="I175" t="s">
        <v>38</v>
      </c>
      <c r="J175" t="s">
        <v>48</v>
      </c>
      <c r="K175" t="s">
        <v>49</v>
      </c>
      <c r="L175" t="s">
        <v>41</v>
      </c>
      <c r="M175">
        <v>1</v>
      </c>
      <c r="N175">
        <v>2</v>
      </c>
      <c r="O175">
        <v>3</v>
      </c>
      <c r="P175" t="s">
        <v>43</v>
      </c>
      <c r="Q175" t="s">
        <v>43</v>
      </c>
      <c r="R175" t="s">
        <v>43</v>
      </c>
      <c r="S175" t="s">
        <v>42</v>
      </c>
      <c r="T175" t="s">
        <v>43</v>
      </c>
      <c r="U175" t="s">
        <v>42</v>
      </c>
      <c r="V175" t="s">
        <v>42</v>
      </c>
      <c r="W175" t="s">
        <v>42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 x14ac:dyDescent="0.35">
      <c r="A176" t="s">
        <v>33</v>
      </c>
      <c r="B176" t="s">
        <v>34</v>
      </c>
      <c r="C176">
        <v>16</v>
      </c>
      <c r="D176" t="s">
        <v>35</v>
      </c>
      <c r="E176" t="s">
        <v>47</v>
      </c>
      <c r="F176" t="s">
        <v>44</v>
      </c>
      <c r="G176">
        <v>3</v>
      </c>
      <c r="H176">
        <v>3</v>
      </c>
      <c r="I176" t="s">
        <v>45</v>
      </c>
      <c r="J176" t="s">
        <v>45</v>
      </c>
      <c r="K176" t="s">
        <v>51</v>
      </c>
      <c r="L176" t="s">
        <v>41</v>
      </c>
      <c r="M176">
        <v>2</v>
      </c>
      <c r="N176">
        <v>2</v>
      </c>
      <c r="O176">
        <v>0</v>
      </c>
      <c r="P176" t="s">
        <v>43</v>
      </c>
      <c r="Q176" t="s">
        <v>42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43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 x14ac:dyDescent="0.35">
      <c r="A177" t="s">
        <v>33</v>
      </c>
      <c r="B177" t="s">
        <v>50</v>
      </c>
      <c r="C177">
        <v>17</v>
      </c>
      <c r="D177" t="s">
        <v>35</v>
      </c>
      <c r="E177" t="s">
        <v>47</v>
      </c>
      <c r="F177" t="s">
        <v>44</v>
      </c>
      <c r="G177">
        <v>4</v>
      </c>
      <c r="H177">
        <v>3</v>
      </c>
      <c r="I177" t="s">
        <v>39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0</v>
      </c>
      <c r="P177" t="s">
        <v>43</v>
      </c>
      <c r="Q177" t="s">
        <v>43</v>
      </c>
      <c r="R177" t="s">
        <v>42</v>
      </c>
      <c r="S177" t="s">
        <v>42</v>
      </c>
      <c r="T177" t="s">
        <v>42</v>
      </c>
      <c r="U177" t="s">
        <v>42</v>
      </c>
      <c r="V177" t="s">
        <v>42</v>
      </c>
      <c r="W177" t="s">
        <v>43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 x14ac:dyDescent="0.35">
      <c r="A178" t="s">
        <v>33</v>
      </c>
      <c r="B178" t="s">
        <v>34</v>
      </c>
      <c r="C178">
        <v>16</v>
      </c>
      <c r="D178" t="s">
        <v>35</v>
      </c>
      <c r="E178" t="s">
        <v>36</v>
      </c>
      <c r="F178" t="s">
        <v>44</v>
      </c>
      <c r="G178">
        <v>2</v>
      </c>
      <c r="H178">
        <v>2</v>
      </c>
      <c r="I178" t="s">
        <v>48</v>
      </c>
      <c r="J178" t="s">
        <v>45</v>
      </c>
      <c r="K178" t="s">
        <v>51</v>
      </c>
      <c r="L178" t="s">
        <v>41</v>
      </c>
      <c r="M178">
        <v>2</v>
      </c>
      <c r="N178">
        <v>2</v>
      </c>
      <c r="O178">
        <v>0</v>
      </c>
      <c r="P178" t="s">
        <v>43</v>
      </c>
      <c r="Q178" t="s">
        <v>43</v>
      </c>
      <c r="R178" t="s">
        <v>42</v>
      </c>
      <c r="S178" t="s">
        <v>42</v>
      </c>
      <c r="T178" t="s">
        <v>43</v>
      </c>
      <c r="U178" t="s">
        <v>42</v>
      </c>
      <c r="V178" t="s">
        <v>42</v>
      </c>
      <c r="W178" t="s">
        <v>43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 x14ac:dyDescent="0.35">
      <c r="A179" t="s">
        <v>33</v>
      </c>
      <c r="B179" t="s">
        <v>50</v>
      </c>
      <c r="C179">
        <v>17</v>
      </c>
      <c r="D179" t="s">
        <v>35</v>
      </c>
      <c r="E179" t="s">
        <v>36</v>
      </c>
      <c r="F179" t="s">
        <v>44</v>
      </c>
      <c r="G179">
        <v>3</v>
      </c>
      <c r="H179">
        <v>3</v>
      </c>
      <c r="I179" t="s">
        <v>45</v>
      </c>
      <c r="J179" t="s">
        <v>45</v>
      </c>
      <c r="K179" t="s">
        <v>51</v>
      </c>
      <c r="L179" t="s">
        <v>46</v>
      </c>
      <c r="M179">
        <v>1</v>
      </c>
      <c r="N179">
        <v>2</v>
      </c>
      <c r="O179">
        <v>0</v>
      </c>
      <c r="P179" t="s">
        <v>43</v>
      </c>
      <c r="Q179" t="s">
        <v>43</v>
      </c>
      <c r="R179" t="s">
        <v>43</v>
      </c>
      <c r="S179" t="s">
        <v>42</v>
      </c>
      <c r="T179" t="s">
        <v>43</v>
      </c>
      <c r="U179" t="s">
        <v>42</v>
      </c>
      <c r="V179" t="s">
        <v>42</v>
      </c>
      <c r="W179" t="s">
        <v>43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 x14ac:dyDescent="0.35">
      <c r="A180" t="s">
        <v>33</v>
      </c>
      <c r="B180" t="s">
        <v>50</v>
      </c>
      <c r="C180">
        <v>16</v>
      </c>
      <c r="D180" t="s">
        <v>52</v>
      </c>
      <c r="E180" t="s">
        <v>36</v>
      </c>
      <c r="F180" t="s">
        <v>44</v>
      </c>
      <c r="G180">
        <v>4</v>
      </c>
      <c r="H180">
        <v>2</v>
      </c>
      <c r="I180" t="s">
        <v>39</v>
      </c>
      <c r="J180" t="s">
        <v>48</v>
      </c>
      <c r="K180" t="s">
        <v>45</v>
      </c>
      <c r="L180" t="s">
        <v>41</v>
      </c>
      <c r="M180">
        <v>1</v>
      </c>
      <c r="N180">
        <v>1</v>
      </c>
      <c r="O180">
        <v>0</v>
      </c>
      <c r="P180" t="s">
        <v>43</v>
      </c>
      <c r="Q180" t="s">
        <v>42</v>
      </c>
      <c r="R180" t="s">
        <v>43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 x14ac:dyDescent="0.35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4</v>
      </c>
      <c r="H181">
        <v>3</v>
      </c>
      <c r="I181" t="s">
        <v>45</v>
      </c>
      <c r="J181" t="s">
        <v>45</v>
      </c>
      <c r="K181" t="s">
        <v>40</v>
      </c>
      <c r="L181" t="s">
        <v>41</v>
      </c>
      <c r="M181">
        <v>1</v>
      </c>
      <c r="N181">
        <v>2</v>
      </c>
      <c r="O181">
        <v>0</v>
      </c>
      <c r="P181" t="s">
        <v>43</v>
      </c>
      <c r="Q181" t="s">
        <v>42</v>
      </c>
      <c r="R181" t="s">
        <v>43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 x14ac:dyDescent="0.35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4</v>
      </c>
      <c r="H182">
        <v>3</v>
      </c>
      <c r="I182" t="s">
        <v>39</v>
      </c>
      <c r="J182" t="s">
        <v>45</v>
      </c>
      <c r="K182" t="s">
        <v>49</v>
      </c>
      <c r="L182" t="s">
        <v>41</v>
      </c>
      <c r="M182">
        <v>1</v>
      </c>
      <c r="N182">
        <v>2</v>
      </c>
      <c r="O182">
        <v>0</v>
      </c>
      <c r="P182" t="s">
        <v>43</v>
      </c>
      <c r="Q182" t="s">
        <v>42</v>
      </c>
      <c r="R182" t="s">
        <v>42</v>
      </c>
      <c r="S182" t="s">
        <v>42</v>
      </c>
      <c r="T182" t="s">
        <v>42</v>
      </c>
      <c r="U182" t="s">
        <v>42</v>
      </c>
      <c r="V182" t="s">
        <v>42</v>
      </c>
      <c r="W182" t="s">
        <v>43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 x14ac:dyDescent="0.35">
      <c r="A183" t="s">
        <v>33</v>
      </c>
      <c r="B183" t="s">
        <v>50</v>
      </c>
      <c r="C183">
        <v>16</v>
      </c>
      <c r="D183" t="s">
        <v>35</v>
      </c>
      <c r="E183" t="s">
        <v>36</v>
      </c>
      <c r="F183" t="s">
        <v>44</v>
      </c>
      <c r="G183">
        <v>3</v>
      </c>
      <c r="H183">
        <v>3</v>
      </c>
      <c r="I183" t="s">
        <v>48</v>
      </c>
      <c r="J183" t="s">
        <v>45</v>
      </c>
      <c r="K183" t="s">
        <v>49</v>
      </c>
      <c r="L183" t="s">
        <v>41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 x14ac:dyDescent="0.35">
      <c r="A184" t="s">
        <v>33</v>
      </c>
      <c r="B184" t="s">
        <v>34</v>
      </c>
      <c r="C184">
        <v>17</v>
      </c>
      <c r="D184" t="s">
        <v>35</v>
      </c>
      <c r="E184" t="s">
        <v>36</v>
      </c>
      <c r="F184" t="s">
        <v>44</v>
      </c>
      <c r="G184">
        <v>2</v>
      </c>
      <c r="H184">
        <v>4</v>
      </c>
      <c r="I184" t="s">
        <v>48</v>
      </c>
      <c r="J184" t="s">
        <v>48</v>
      </c>
      <c r="K184" t="s">
        <v>51</v>
      </c>
      <c r="L184" t="s">
        <v>46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42</v>
      </c>
      <c r="T184" t="s">
        <v>42</v>
      </c>
      <c r="U184" t="s">
        <v>42</v>
      </c>
      <c r="V184" t="s">
        <v>43</v>
      </c>
      <c r="W184" t="s">
        <v>43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 x14ac:dyDescent="0.35">
      <c r="A185" t="s">
        <v>33</v>
      </c>
      <c r="B185" t="s">
        <v>34</v>
      </c>
      <c r="C185">
        <v>17</v>
      </c>
      <c r="D185" t="s">
        <v>35</v>
      </c>
      <c r="E185" t="s">
        <v>47</v>
      </c>
      <c r="F185" t="s">
        <v>44</v>
      </c>
      <c r="G185">
        <v>3</v>
      </c>
      <c r="H185">
        <v>3</v>
      </c>
      <c r="I185" t="s">
        <v>45</v>
      </c>
      <c r="J185" t="s">
        <v>45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 x14ac:dyDescent="0.35">
      <c r="A186" t="s">
        <v>33</v>
      </c>
      <c r="B186" t="s">
        <v>34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2</v>
      </c>
      <c r="I186" t="s">
        <v>45</v>
      </c>
      <c r="J186" t="s">
        <v>45</v>
      </c>
      <c r="K186" t="s">
        <v>51</v>
      </c>
      <c r="L186" t="s">
        <v>41</v>
      </c>
      <c r="M186">
        <v>1</v>
      </c>
      <c r="N186">
        <v>2</v>
      </c>
      <c r="O186">
        <v>0</v>
      </c>
      <c r="P186" t="s">
        <v>43</v>
      </c>
      <c r="Q186" t="s">
        <v>42</v>
      </c>
      <c r="R186" t="s">
        <v>42</v>
      </c>
      <c r="S186" t="s">
        <v>43</v>
      </c>
      <c r="T186" t="s">
        <v>42</v>
      </c>
      <c r="U186" t="s">
        <v>42</v>
      </c>
      <c r="V186" t="s">
        <v>42</v>
      </c>
      <c r="W186" t="s">
        <v>43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 x14ac:dyDescent="0.35">
      <c r="A187" t="s">
        <v>33</v>
      </c>
      <c r="B187" t="s">
        <v>50</v>
      </c>
      <c r="C187">
        <v>17</v>
      </c>
      <c r="D187" t="s">
        <v>35</v>
      </c>
      <c r="E187" t="s">
        <v>36</v>
      </c>
      <c r="F187" t="s">
        <v>44</v>
      </c>
      <c r="G187">
        <v>3</v>
      </c>
      <c r="H187">
        <v>3</v>
      </c>
      <c r="I187" t="s">
        <v>48</v>
      </c>
      <c r="J187" t="s">
        <v>48</v>
      </c>
      <c r="K187" t="s">
        <v>45</v>
      </c>
      <c r="L187" t="s">
        <v>41</v>
      </c>
      <c r="M187">
        <v>1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 x14ac:dyDescent="0.35">
      <c r="A188" t="s">
        <v>33</v>
      </c>
      <c r="B188" t="s">
        <v>50</v>
      </c>
      <c r="C188">
        <v>16</v>
      </c>
      <c r="D188" t="s">
        <v>35</v>
      </c>
      <c r="E188" t="s">
        <v>36</v>
      </c>
      <c r="F188" t="s">
        <v>44</v>
      </c>
      <c r="G188">
        <v>1</v>
      </c>
      <c r="H188">
        <v>2</v>
      </c>
      <c r="I188" t="s">
        <v>48</v>
      </c>
      <c r="J188" t="s">
        <v>48</v>
      </c>
      <c r="K188" t="s">
        <v>45</v>
      </c>
      <c r="L188" t="s">
        <v>41</v>
      </c>
      <c r="M188">
        <v>1</v>
      </c>
      <c r="N188">
        <v>1</v>
      </c>
      <c r="O188">
        <v>0</v>
      </c>
      <c r="P188" t="s">
        <v>43</v>
      </c>
      <c r="Q188" t="s">
        <v>42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 x14ac:dyDescent="0.35">
      <c r="A189" t="s">
        <v>33</v>
      </c>
      <c r="B189" t="s">
        <v>50</v>
      </c>
      <c r="C189">
        <v>16</v>
      </c>
      <c r="D189" t="s">
        <v>35</v>
      </c>
      <c r="E189" t="s">
        <v>47</v>
      </c>
      <c r="F189" t="s">
        <v>44</v>
      </c>
      <c r="G189">
        <v>2</v>
      </c>
      <c r="H189">
        <v>1</v>
      </c>
      <c r="I189" t="s">
        <v>45</v>
      </c>
      <c r="J189" t="s">
        <v>45</v>
      </c>
      <c r="K189" t="s">
        <v>40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 x14ac:dyDescent="0.35">
      <c r="A190" t="s">
        <v>33</v>
      </c>
      <c r="B190" t="s">
        <v>34</v>
      </c>
      <c r="C190">
        <v>17</v>
      </c>
      <c r="D190" t="s">
        <v>35</v>
      </c>
      <c r="E190" t="s">
        <v>36</v>
      </c>
      <c r="F190" t="s">
        <v>37</v>
      </c>
      <c r="G190">
        <v>3</v>
      </c>
      <c r="H190">
        <v>3</v>
      </c>
      <c r="I190" t="s">
        <v>28</v>
      </c>
      <c r="J190" t="s">
        <v>45</v>
      </c>
      <c r="K190" t="s">
        <v>51</v>
      </c>
      <c r="L190" t="s">
        <v>41</v>
      </c>
      <c r="M190">
        <v>1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43</v>
      </c>
      <c r="T190" t="s">
        <v>43</v>
      </c>
      <c r="U190" t="s">
        <v>42</v>
      </c>
      <c r="V190" t="s">
        <v>42</v>
      </c>
      <c r="W190" t="s">
        <v>42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 x14ac:dyDescent="0.35">
      <c r="A191" t="s">
        <v>33</v>
      </c>
      <c r="B191" t="s">
        <v>50</v>
      </c>
      <c r="C191">
        <v>17</v>
      </c>
      <c r="D191" t="s">
        <v>52</v>
      </c>
      <c r="E191" t="s">
        <v>36</v>
      </c>
      <c r="F191" t="s">
        <v>44</v>
      </c>
      <c r="G191">
        <v>1</v>
      </c>
      <c r="H191">
        <v>2</v>
      </c>
      <c r="I191" t="s">
        <v>38</v>
      </c>
      <c r="J191" t="s">
        <v>45</v>
      </c>
      <c r="K191" t="s">
        <v>49</v>
      </c>
      <c r="L191" t="s">
        <v>41</v>
      </c>
      <c r="M191">
        <v>1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43</v>
      </c>
      <c r="T191" t="s">
        <v>42</v>
      </c>
      <c r="U191" t="s">
        <v>42</v>
      </c>
      <c r="V191" t="s">
        <v>43</v>
      </c>
      <c r="W191" t="s">
        <v>43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 x14ac:dyDescent="0.35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3</v>
      </c>
      <c r="I192" t="s">
        <v>48</v>
      </c>
      <c r="J192" t="s">
        <v>48</v>
      </c>
      <c r="K192" t="s">
        <v>40</v>
      </c>
      <c r="L192" t="s">
        <v>41</v>
      </c>
      <c r="M192">
        <v>1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43</v>
      </c>
      <c r="T192" t="s">
        <v>42</v>
      </c>
      <c r="U192" t="s">
        <v>42</v>
      </c>
      <c r="V192" t="s">
        <v>42</v>
      </c>
      <c r="W192" t="s">
        <v>43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 x14ac:dyDescent="0.35">
      <c r="A193" t="s">
        <v>33</v>
      </c>
      <c r="B193" t="s">
        <v>34</v>
      </c>
      <c r="C193">
        <v>17</v>
      </c>
      <c r="D193" t="s">
        <v>35</v>
      </c>
      <c r="E193" t="s">
        <v>36</v>
      </c>
      <c r="F193" t="s">
        <v>44</v>
      </c>
      <c r="G193">
        <v>1</v>
      </c>
      <c r="H193">
        <v>1</v>
      </c>
      <c r="I193" t="s">
        <v>38</v>
      </c>
      <c r="J193" t="s">
        <v>48</v>
      </c>
      <c r="K193" t="s">
        <v>40</v>
      </c>
      <c r="L193" t="s">
        <v>41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42</v>
      </c>
      <c r="U193" t="s">
        <v>42</v>
      </c>
      <c r="V193" t="s">
        <v>42</v>
      </c>
      <c r="W193" t="s">
        <v>43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 x14ac:dyDescent="0.35">
      <c r="A194" t="s">
        <v>33</v>
      </c>
      <c r="B194" t="s">
        <v>50</v>
      </c>
      <c r="C194">
        <v>17</v>
      </c>
      <c r="D194" t="s">
        <v>35</v>
      </c>
      <c r="E194" t="s">
        <v>36</v>
      </c>
      <c r="F194" t="s">
        <v>44</v>
      </c>
      <c r="G194">
        <v>1</v>
      </c>
      <c r="H194">
        <v>2</v>
      </c>
      <c r="I194" t="s">
        <v>38</v>
      </c>
      <c r="J194" t="s">
        <v>48</v>
      </c>
      <c r="K194" t="s">
        <v>45</v>
      </c>
      <c r="L194" t="s">
        <v>45</v>
      </c>
      <c r="M194">
        <v>2</v>
      </c>
      <c r="N194">
        <v>2</v>
      </c>
      <c r="O194">
        <v>0</v>
      </c>
      <c r="P194" t="s">
        <v>43</v>
      </c>
      <c r="Q194" t="s">
        <v>43</v>
      </c>
      <c r="R194" t="s">
        <v>42</v>
      </c>
      <c r="S194" t="s">
        <v>42</v>
      </c>
      <c r="T194" t="s">
        <v>43</v>
      </c>
      <c r="U194" t="s">
        <v>42</v>
      </c>
      <c r="V194" t="s">
        <v>42</v>
      </c>
      <c r="W194" t="s">
        <v>43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 x14ac:dyDescent="0.35">
      <c r="A195" t="s">
        <v>33</v>
      </c>
      <c r="B195" t="s">
        <v>50</v>
      </c>
      <c r="C195">
        <v>16</v>
      </c>
      <c r="D195" t="s">
        <v>52</v>
      </c>
      <c r="E195" t="s">
        <v>36</v>
      </c>
      <c r="F195" t="s">
        <v>44</v>
      </c>
      <c r="G195">
        <v>3</v>
      </c>
      <c r="H195">
        <v>3</v>
      </c>
      <c r="I195" t="s">
        <v>48</v>
      </c>
      <c r="J195" t="s">
        <v>48</v>
      </c>
      <c r="K195" t="s">
        <v>51</v>
      </c>
      <c r="L195" t="s">
        <v>41</v>
      </c>
      <c r="M195">
        <v>1</v>
      </c>
      <c r="N195">
        <v>1</v>
      </c>
      <c r="O195">
        <v>0</v>
      </c>
      <c r="P195" t="s">
        <v>43</v>
      </c>
      <c r="Q195" t="s">
        <v>42</v>
      </c>
      <c r="R195" t="s">
        <v>43</v>
      </c>
      <c r="S195" t="s">
        <v>42</v>
      </c>
      <c r="T195" t="s">
        <v>42</v>
      </c>
      <c r="U195" t="s">
        <v>42</v>
      </c>
      <c r="V195" t="s">
        <v>42</v>
      </c>
      <c r="W195" t="s">
        <v>43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 x14ac:dyDescent="0.35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2</v>
      </c>
      <c r="H196">
        <v>3</v>
      </c>
      <c r="I196" t="s">
        <v>45</v>
      </c>
      <c r="J196" t="s">
        <v>45</v>
      </c>
      <c r="K196" t="s">
        <v>49</v>
      </c>
      <c r="L196" t="s">
        <v>46</v>
      </c>
      <c r="M196">
        <v>2</v>
      </c>
      <c r="N196">
        <v>1</v>
      </c>
      <c r="O196">
        <v>0</v>
      </c>
      <c r="P196" t="s">
        <v>43</v>
      </c>
      <c r="Q196" t="s">
        <v>43</v>
      </c>
      <c r="R196" t="s">
        <v>43</v>
      </c>
      <c r="S196" t="s">
        <v>43</v>
      </c>
      <c r="T196" t="s">
        <v>42</v>
      </c>
      <c r="U196" t="s">
        <v>42</v>
      </c>
      <c r="V196" t="s">
        <v>42</v>
      </c>
      <c r="W196" t="s">
        <v>43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 x14ac:dyDescent="0.35">
      <c r="A197" t="s">
        <v>33</v>
      </c>
      <c r="B197" t="s">
        <v>34</v>
      </c>
      <c r="C197">
        <v>17</v>
      </c>
      <c r="D197" t="s">
        <v>35</v>
      </c>
      <c r="E197" t="s">
        <v>47</v>
      </c>
      <c r="F197" t="s">
        <v>44</v>
      </c>
      <c r="G197">
        <v>2</v>
      </c>
      <c r="H197">
        <v>4</v>
      </c>
      <c r="I197" t="s">
        <v>48</v>
      </c>
      <c r="J197" t="s">
        <v>48</v>
      </c>
      <c r="K197" t="s">
        <v>40</v>
      </c>
      <c r="L197" t="s">
        <v>46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 x14ac:dyDescent="0.35">
      <c r="A198" t="s">
        <v>33</v>
      </c>
      <c r="B198" t="s">
        <v>50</v>
      </c>
      <c r="C198">
        <v>17</v>
      </c>
      <c r="D198" t="s">
        <v>35</v>
      </c>
      <c r="E198" t="s">
        <v>36</v>
      </c>
      <c r="F198" t="s">
        <v>44</v>
      </c>
      <c r="G198">
        <v>4</v>
      </c>
      <c r="H198">
        <v>4</v>
      </c>
      <c r="I198" t="s">
        <v>48</v>
      </c>
      <c r="J198" t="s">
        <v>39</v>
      </c>
      <c r="K198" t="s">
        <v>49</v>
      </c>
      <c r="L198" t="s">
        <v>41</v>
      </c>
      <c r="M198">
        <v>1</v>
      </c>
      <c r="N198">
        <v>1</v>
      </c>
      <c r="O198">
        <v>0</v>
      </c>
      <c r="P198" t="s">
        <v>43</v>
      </c>
      <c r="Q198" t="s">
        <v>43</v>
      </c>
      <c r="R198" t="s">
        <v>43</v>
      </c>
      <c r="S198" t="s">
        <v>43</v>
      </c>
      <c r="T198" t="s">
        <v>42</v>
      </c>
      <c r="U198" t="s">
        <v>42</v>
      </c>
      <c r="V198" t="s">
        <v>42</v>
      </c>
      <c r="W198" t="s">
        <v>43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 x14ac:dyDescent="0.35">
      <c r="A199" t="s">
        <v>33</v>
      </c>
      <c r="B199" t="s">
        <v>50</v>
      </c>
      <c r="C199">
        <v>16</v>
      </c>
      <c r="D199" t="s">
        <v>52</v>
      </c>
      <c r="E199" t="s">
        <v>47</v>
      </c>
      <c r="F199" t="s">
        <v>44</v>
      </c>
      <c r="G199">
        <v>3</v>
      </c>
      <c r="H199">
        <v>3</v>
      </c>
      <c r="I199" t="s">
        <v>39</v>
      </c>
      <c r="J199" t="s">
        <v>45</v>
      </c>
      <c r="K199" t="s">
        <v>49</v>
      </c>
      <c r="L199" t="s">
        <v>46</v>
      </c>
      <c r="M199">
        <v>3</v>
      </c>
      <c r="N199">
        <v>1</v>
      </c>
      <c r="O199">
        <v>0</v>
      </c>
      <c r="P199" t="s">
        <v>43</v>
      </c>
      <c r="Q199" t="s">
        <v>42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43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 x14ac:dyDescent="0.35">
      <c r="A200" t="s">
        <v>33</v>
      </c>
      <c r="B200" t="s">
        <v>34</v>
      </c>
      <c r="C200">
        <v>17</v>
      </c>
      <c r="D200" t="s">
        <v>35</v>
      </c>
      <c r="E200" t="s">
        <v>36</v>
      </c>
      <c r="F200" t="s">
        <v>44</v>
      </c>
      <c r="G200">
        <v>4</v>
      </c>
      <c r="H200">
        <v>4</v>
      </c>
      <c r="I200" t="s">
        <v>48</v>
      </c>
      <c r="J200" t="s">
        <v>39</v>
      </c>
      <c r="K200" t="s">
        <v>49</v>
      </c>
      <c r="L200" t="s">
        <v>41</v>
      </c>
      <c r="M200">
        <v>2</v>
      </c>
      <c r="N200">
        <v>1</v>
      </c>
      <c r="O200">
        <v>1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 x14ac:dyDescent="0.35">
      <c r="A201" t="s">
        <v>33</v>
      </c>
      <c r="B201" t="s">
        <v>34</v>
      </c>
      <c r="C201">
        <v>16</v>
      </c>
      <c r="D201" t="s">
        <v>35</v>
      </c>
      <c r="E201" t="s">
        <v>47</v>
      </c>
      <c r="F201" t="s">
        <v>44</v>
      </c>
      <c r="G201">
        <v>4</v>
      </c>
      <c r="H201">
        <v>4</v>
      </c>
      <c r="I201" t="s">
        <v>39</v>
      </c>
      <c r="J201" t="s">
        <v>39</v>
      </c>
      <c r="K201" t="s">
        <v>51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42</v>
      </c>
      <c r="S201" t="s">
        <v>43</v>
      </c>
      <c r="T201" t="s">
        <v>42</v>
      </c>
      <c r="U201" t="s">
        <v>42</v>
      </c>
      <c r="V201" t="s">
        <v>42</v>
      </c>
      <c r="W201" t="s">
        <v>43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 x14ac:dyDescent="0.35">
      <c r="A202" t="s">
        <v>33</v>
      </c>
      <c r="B202" t="s">
        <v>34</v>
      </c>
      <c r="C202">
        <v>16</v>
      </c>
      <c r="D202" t="s">
        <v>35</v>
      </c>
      <c r="E202" t="s">
        <v>36</v>
      </c>
      <c r="F202" t="s">
        <v>44</v>
      </c>
      <c r="G202">
        <v>4</v>
      </c>
      <c r="H202">
        <v>3</v>
      </c>
      <c r="I202" t="s">
        <v>28</v>
      </c>
      <c r="J202" t="s">
        <v>45</v>
      </c>
      <c r="K202" t="s">
        <v>49</v>
      </c>
      <c r="L202" t="s">
        <v>41</v>
      </c>
      <c r="M202">
        <v>1</v>
      </c>
      <c r="N202">
        <v>2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43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 x14ac:dyDescent="0.35">
      <c r="A203" t="s">
        <v>33</v>
      </c>
      <c r="B203" t="s">
        <v>34</v>
      </c>
      <c r="C203">
        <v>16</v>
      </c>
      <c r="D203" t="s">
        <v>35</v>
      </c>
      <c r="E203" t="s">
        <v>36</v>
      </c>
      <c r="F203" t="s">
        <v>44</v>
      </c>
      <c r="G203">
        <v>2</v>
      </c>
      <c r="H203">
        <v>3</v>
      </c>
      <c r="I203" t="s">
        <v>45</v>
      </c>
      <c r="J203" t="s">
        <v>45</v>
      </c>
      <c r="K203" t="s">
        <v>51</v>
      </c>
      <c r="L203" t="s">
        <v>41</v>
      </c>
      <c r="M203">
        <v>1</v>
      </c>
      <c r="N203">
        <v>2</v>
      </c>
      <c r="O203">
        <v>0</v>
      </c>
      <c r="P203" t="s">
        <v>42</v>
      </c>
      <c r="Q203" t="s">
        <v>42</v>
      </c>
      <c r="R203" t="s">
        <v>42</v>
      </c>
      <c r="S203" t="s">
        <v>42</v>
      </c>
      <c r="T203" t="s">
        <v>42</v>
      </c>
      <c r="U203" t="s">
        <v>42</v>
      </c>
      <c r="V203" t="s">
        <v>43</v>
      </c>
      <c r="W203" t="s">
        <v>43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 x14ac:dyDescent="0.35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44</v>
      </c>
      <c r="G204">
        <v>1</v>
      </c>
      <c r="H204">
        <v>1</v>
      </c>
      <c r="I204" t="s">
        <v>45</v>
      </c>
      <c r="J204" t="s">
        <v>45</v>
      </c>
      <c r="K204" t="s">
        <v>40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42</v>
      </c>
      <c r="S204" t="s">
        <v>43</v>
      </c>
      <c r="T204" t="s">
        <v>43</v>
      </c>
      <c r="U204" t="s">
        <v>42</v>
      </c>
      <c r="V204" t="s">
        <v>43</v>
      </c>
      <c r="W204" t="s">
        <v>43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 x14ac:dyDescent="0.35">
      <c r="A205" t="s">
        <v>33</v>
      </c>
      <c r="B205" t="s">
        <v>34</v>
      </c>
      <c r="C205">
        <v>17</v>
      </c>
      <c r="D205" t="s">
        <v>52</v>
      </c>
      <c r="E205" t="s">
        <v>36</v>
      </c>
      <c r="F205" t="s">
        <v>44</v>
      </c>
      <c r="G205">
        <v>2</v>
      </c>
      <c r="H205">
        <v>2</v>
      </c>
      <c r="I205" t="s">
        <v>45</v>
      </c>
      <c r="J205" t="s">
        <v>45</v>
      </c>
      <c r="K205" t="s">
        <v>51</v>
      </c>
      <c r="L205" t="s">
        <v>41</v>
      </c>
      <c r="M205">
        <v>1</v>
      </c>
      <c r="N205">
        <v>1</v>
      </c>
      <c r="O205">
        <v>0</v>
      </c>
      <c r="P205" t="s">
        <v>43</v>
      </c>
      <c r="Q205" t="s">
        <v>42</v>
      </c>
      <c r="R205" t="s">
        <v>43</v>
      </c>
      <c r="S205" t="s">
        <v>43</v>
      </c>
      <c r="T205" t="s">
        <v>42</v>
      </c>
      <c r="U205" t="s">
        <v>42</v>
      </c>
      <c r="V205" t="s">
        <v>42</v>
      </c>
      <c r="W205" t="s">
        <v>43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 x14ac:dyDescent="0.35">
      <c r="A206" t="s">
        <v>33</v>
      </c>
      <c r="B206" t="s">
        <v>34</v>
      </c>
      <c r="C206">
        <v>16</v>
      </c>
      <c r="D206" t="s">
        <v>52</v>
      </c>
      <c r="E206" t="s">
        <v>36</v>
      </c>
      <c r="F206" t="s">
        <v>44</v>
      </c>
      <c r="G206">
        <v>2</v>
      </c>
      <c r="H206">
        <v>2</v>
      </c>
      <c r="I206" t="s">
        <v>48</v>
      </c>
      <c r="J206" t="s">
        <v>48</v>
      </c>
      <c r="K206" t="s">
        <v>51</v>
      </c>
      <c r="L206" t="s">
        <v>41</v>
      </c>
      <c r="M206">
        <v>2</v>
      </c>
      <c r="N206">
        <v>4</v>
      </c>
      <c r="O206">
        <v>0</v>
      </c>
      <c r="P206" t="s">
        <v>43</v>
      </c>
      <c r="Q206" t="s">
        <v>42</v>
      </c>
      <c r="R206" t="s">
        <v>42</v>
      </c>
      <c r="S206" t="s">
        <v>42</v>
      </c>
      <c r="T206" t="s">
        <v>43</v>
      </c>
      <c r="U206" t="s">
        <v>42</v>
      </c>
      <c r="V206" t="s">
        <v>42</v>
      </c>
      <c r="W206" t="s">
        <v>43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 x14ac:dyDescent="0.35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3</v>
      </c>
      <c r="H207">
        <v>4</v>
      </c>
      <c r="I207" t="s">
        <v>38</v>
      </c>
      <c r="J207" t="s">
        <v>48</v>
      </c>
      <c r="K207" t="s">
        <v>49</v>
      </c>
      <c r="L207" t="s">
        <v>41</v>
      </c>
      <c r="M207">
        <v>1</v>
      </c>
      <c r="N207">
        <v>3</v>
      </c>
      <c r="O207">
        <v>1</v>
      </c>
      <c r="P207" t="s">
        <v>43</v>
      </c>
      <c r="Q207" t="s">
        <v>42</v>
      </c>
      <c r="R207" t="s">
        <v>42</v>
      </c>
      <c r="S207" t="s">
        <v>43</v>
      </c>
      <c r="T207" t="s">
        <v>42</v>
      </c>
      <c r="U207" t="s">
        <v>42</v>
      </c>
      <c r="V207" t="s">
        <v>42</v>
      </c>
      <c r="W207" t="s">
        <v>42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 x14ac:dyDescent="0.35">
      <c r="A208" t="s">
        <v>33</v>
      </c>
      <c r="B208" t="s">
        <v>34</v>
      </c>
      <c r="C208">
        <v>16</v>
      </c>
      <c r="D208" t="s">
        <v>35</v>
      </c>
      <c r="E208" t="s">
        <v>36</v>
      </c>
      <c r="F208" t="s">
        <v>37</v>
      </c>
      <c r="G208">
        <v>3</v>
      </c>
      <c r="H208">
        <v>1</v>
      </c>
      <c r="I208" t="s">
        <v>48</v>
      </c>
      <c r="J208" t="s">
        <v>45</v>
      </c>
      <c r="K208" t="s">
        <v>40</v>
      </c>
      <c r="L208" t="s">
        <v>41</v>
      </c>
      <c r="M208">
        <v>1</v>
      </c>
      <c r="N208">
        <v>2</v>
      </c>
      <c r="O208">
        <v>3</v>
      </c>
      <c r="P208" t="s">
        <v>43</v>
      </c>
      <c r="Q208" t="s">
        <v>42</v>
      </c>
      <c r="R208" t="s">
        <v>42</v>
      </c>
      <c r="S208" t="s">
        <v>43</v>
      </c>
      <c r="T208" t="s">
        <v>42</v>
      </c>
      <c r="U208" t="s">
        <v>42</v>
      </c>
      <c r="V208" t="s">
        <v>42</v>
      </c>
      <c r="W208" t="s">
        <v>43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 x14ac:dyDescent="0.35">
      <c r="A209" t="s">
        <v>33</v>
      </c>
      <c r="B209" t="s">
        <v>34</v>
      </c>
      <c r="C209">
        <v>16</v>
      </c>
      <c r="D209" t="s">
        <v>35</v>
      </c>
      <c r="E209" t="s">
        <v>36</v>
      </c>
      <c r="F209" t="s">
        <v>44</v>
      </c>
      <c r="G209">
        <v>4</v>
      </c>
      <c r="H209">
        <v>3</v>
      </c>
      <c r="I209" t="s">
        <v>39</v>
      </c>
      <c r="J209" t="s">
        <v>45</v>
      </c>
      <c r="K209" t="s">
        <v>45</v>
      </c>
      <c r="L209" t="s">
        <v>41</v>
      </c>
      <c r="M209">
        <v>1</v>
      </c>
      <c r="N209">
        <v>2</v>
      </c>
      <c r="O209">
        <v>0</v>
      </c>
      <c r="P209" t="s">
        <v>43</v>
      </c>
      <c r="Q209" t="s">
        <v>43</v>
      </c>
      <c r="R209" t="s">
        <v>42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 x14ac:dyDescent="0.35">
      <c r="A210" t="s">
        <v>33</v>
      </c>
      <c r="B210" t="s">
        <v>34</v>
      </c>
      <c r="C210">
        <v>16</v>
      </c>
      <c r="D210" t="s">
        <v>35</v>
      </c>
      <c r="E210" t="s">
        <v>36</v>
      </c>
      <c r="F210" t="s">
        <v>44</v>
      </c>
      <c r="G210">
        <v>1</v>
      </c>
      <c r="H210">
        <v>1</v>
      </c>
      <c r="I210" t="s">
        <v>38</v>
      </c>
      <c r="J210" t="s">
        <v>45</v>
      </c>
      <c r="K210" t="s">
        <v>49</v>
      </c>
      <c r="L210" t="s">
        <v>41</v>
      </c>
      <c r="M210">
        <v>2</v>
      </c>
      <c r="N210">
        <v>1</v>
      </c>
      <c r="O210">
        <v>0</v>
      </c>
      <c r="P210" t="s">
        <v>43</v>
      </c>
      <c r="Q210" t="s">
        <v>42</v>
      </c>
      <c r="R210" t="s">
        <v>42</v>
      </c>
      <c r="S210" t="s">
        <v>43</v>
      </c>
      <c r="T210" t="s">
        <v>42</v>
      </c>
      <c r="U210" t="s">
        <v>42</v>
      </c>
      <c r="V210" t="s">
        <v>43</v>
      </c>
      <c r="W210" t="s">
        <v>43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 x14ac:dyDescent="0.35">
      <c r="A211" t="s">
        <v>33</v>
      </c>
      <c r="B211" t="s">
        <v>34</v>
      </c>
      <c r="C211">
        <v>17</v>
      </c>
      <c r="D211" t="s">
        <v>52</v>
      </c>
      <c r="E211" t="s">
        <v>36</v>
      </c>
      <c r="F211" t="s">
        <v>44</v>
      </c>
      <c r="G211">
        <v>4</v>
      </c>
      <c r="H211">
        <v>3</v>
      </c>
      <c r="I211" t="s">
        <v>39</v>
      </c>
      <c r="J211" t="s">
        <v>45</v>
      </c>
      <c r="K211" t="s">
        <v>51</v>
      </c>
      <c r="L211" t="s">
        <v>41</v>
      </c>
      <c r="M211">
        <v>2</v>
      </c>
      <c r="N211">
        <v>3</v>
      </c>
      <c r="O211">
        <v>0</v>
      </c>
      <c r="P211" t="s">
        <v>43</v>
      </c>
      <c r="Q211" t="s">
        <v>42</v>
      </c>
      <c r="R211" t="s">
        <v>42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 x14ac:dyDescent="0.35">
      <c r="A212" t="s">
        <v>33</v>
      </c>
      <c r="B212" t="s">
        <v>34</v>
      </c>
      <c r="C212">
        <v>19</v>
      </c>
      <c r="D212" t="s">
        <v>35</v>
      </c>
      <c r="E212" t="s">
        <v>36</v>
      </c>
      <c r="F212" t="s">
        <v>44</v>
      </c>
      <c r="G212">
        <v>3</v>
      </c>
      <c r="H212">
        <v>3</v>
      </c>
      <c r="I212" t="s">
        <v>45</v>
      </c>
      <c r="J212" t="s">
        <v>45</v>
      </c>
      <c r="K212" t="s">
        <v>51</v>
      </c>
      <c r="L212" t="s">
        <v>45</v>
      </c>
      <c r="M212">
        <v>1</v>
      </c>
      <c r="N212">
        <v>4</v>
      </c>
      <c r="O212">
        <v>0</v>
      </c>
      <c r="P212" t="s">
        <v>43</v>
      </c>
      <c r="Q212" t="s">
        <v>42</v>
      </c>
      <c r="R212" t="s">
        <v>42</v>
      </c>
      <c r="S212" t="s">
        <v>42</v>
      </c>
      <c r="T212" t="s">
        <v>42</v>
      </c>
      <c r="U212" t="s">
        <v>42</v>
      </c>
      <c r="V212" t="s">
        <v>42</v>
      </c>
      <c r="W212" t="s">
        <v>43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 x14ac:dyDescent="0.35">
      <c r="A213" t="s">
        <v>33</v>
      </c>
      <c r="B213" t="s">
        <v>50</v>
      </c>
      <c r="C213">
        <v>17</v>
      </c>
      <c r="D213" t="s">
        <v>35</v>
      </c>
      <c r="E213" t="s">
        <v>47</v>
      </c>
      <c r="F213" t="s">
        <v>44</v>
      </c>
      <c r="G213">
        <v>4</v>
      </c>
      <c r="H213">
        <v>4</v>
      </c>
      <c r="I213" t="s">
        <v>48</v>
      </c>
      <c r="J213" t="s">
        <v>45</v>
      </c>
      <c r="K213" t="s">
        <v>49</v>
      </c>
      <c r="L213" t="s">
        <v>41</v>
      </c>
      <c r="M213">
        <v>1</v>
      </c>
      <c r="N213">
        <v>2</v>
      </c>
      <c r="O213">
        <v>0</v>
      </c>
      <c r="P213" t="s">
        <v>43</v>
      </c>
      <c r="Q213" t="s">
        <v>42</v>
      </c>
      <c r="R213" t="s">
        <v>42</v>
      </c>
      <c r="S213" t="s">
        <v>43</v>
      </c>
      <c r="T213" t="s">
        <v>42</v>
      </c>
      <c r="U213" t="s">
        <v>42</v>
      </c>
      <c r="V213" t="s">
        <v>42</v>
      </c>
      <c r="W213" t="s">
        <v>42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 x14ac:dyDescent="0.35">
      <c r="A214" t="s">
        <v>33</v>
      </c>
      <c r="B214" t="s">
        <v>34</v>
      </c>
      <c r="C214">
        <v>16</v>
      </c>
      <c r="D214" t="s">
        <v>35</v>
      </c>
      <c r="E214" t="s">
        <v>36</v>
      </c>
      <c r="F214" t="s">
        <v>37</v>
      </c>
      <c r="G214">
        <v>2</v>
      </c>
      <c r="H214">
        <v>2</v>
      </c>
      <c r="I214" t="s">
        <v>45</v>
      </c>
      <c r="J214" t="s">
        <v>45</v>
      </c>
      <c r="K214" t="s">
        <v>51</v>
      </c>
      <c r="L214" t="s">
        <v>41</v>
      </c>
      <c r="M214">
        <v>1</v>
      </c>
      <c r="N214">
        <v>2</v>
      </c>
      <c r="O214">
        <v>0</v>
      </c>
      <c r="P214" t="s">
        <v>42</v>
      </c>
      <c r="Q214" t="s">
        <v>42</v>
      </c>
      <c r="R214" t="s">
        <v>42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 x14ac:dyDescent="0.35">
      <c r="A215" t="s">
        <v>33</v>
      </c>
      <c r="B215" t="s">
        <v>50</v>
      </c>
      <c r="C215">
        <v>18</v>
      </c>
      <c r="D215" t="s">
        <v>35</v>
      </c>
      <c r="E215" t="s">
        <v>36</v>
      </c>
      <c r="F215" t="s">
        <v>44</v>
      </c>
      <c r="G215">
        <v>2</v>
      </c>
      <c r="H215">
        <v>2</v>
      </c>
      <c r="I215" t="s">
        <v>48</v>
      </c>
      <c r="J215" t="s">
        <v>45</v>
      </c>
      <c r="K215" t="s">
        <v>49</v>
      </c>
      <c r="L215" t="s">
        <v>41</v>
      </c>
      <c r="M215">
        <v>1</v>
      </c>
      <c r="N215">
        <v>2</v>
      </c>
      <c r="O215">
        <v>1</v>
      </c>
      <c r="P215" t="s">
        <v>43</v>
      </c>
      <c r="Q215" t="s">
        <v>42</v>
      </c>
      <c r="R215" t="s">
        <v>42</v>
      </c>
      <c r="S215" t="s">
        <v>42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 x14ac:dyDescent="0.35">
      <c r="A216" t="s">
        <v>33</v>
      </c>
      <c r="B216" t="s">
        <v>34</v>
      </c>
      <c r="C216">
        <v>17</v>
      </c>
      <c r="D216" t="s">
        <v>52</v>
      </c>
      <c r="E216" t="s">
        <v>47</v>
      </c>
      <c r="F216" t="s">
        <v>44</v>
      </c>
      <c r="G216">
        <v>4</v>
      </c>
      <c r="H216">
        <v>4</v>
      </c>
      <c r="I216" t="s">
        <v>48</v>
      </c>
      <c r="J216" t="s">
        <v>45</v>
      </c>
      <c r="K216" t="s">
        <v>45</v>
      </c>
      <c r="L216" t="s">
        <v>41</v>
      </c>
      <c r="M216">
        <v>1</v>
      </c>
      <c r="N216">
        <v>1</v>
      </c>
      <c r="O216">
        <v>0</v>
      </c>
      <c r="P216" t="s">
        <v>43</v>
      </c>
      <c r="Q216" t="s">
        <v>42</v>
      </c>
      <c r="R216" t="s">
        <v>42</v>
      </c>
      <c r="S216" t="s">
        <v>43</v>
      </c>
      <c r="T216" t="s">
        <v>42</v>
      </c>
      <c r="U216" t="s">
        <v>42</v>
      </c>
      <c r="V216" t="s">
        <v>43</v>
      </c>
      <c r="W216" t="s">
        <v>43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 x14ac:dyDescent="0.35">
      <c r="A217" t="s">
        <v>33</v>
      </c>
      <c r="B217" t="s">
        <v>34</v>
      </c>
      <c r="C217">
        <v>17</v>
      </c>
      <c r="D217" t="s">
        <v>35</v>
      </c>
      <c r="E217" t="s">
        <v>47</v>
      </c>
      <c r="F217" t="s">
        <v>44</v>
      </c>
      <c r="G217">
        <v>3</v>
      </c>
      <c r="H217">
        <v>2</v>
      </c>
      <c r="I217" t="s">
        <v>45</v>
      </c>
      <c r="J217" t="s">
        <v>45</v>
      </c>
      <c r="K217" t="s">
        <v>51</v>
      </c>
      <c r="L217" t="s">
        <v>41</v>
      </c>
      <c r="M217">
        <v>2</v>
      </c>
      <c r="N217">
        <v>2</v>
      </c>
      <c r="O217">
        <v>0</v>
      </c>
      <c r="P217" t="s">
        <v>43</v>
      </c>
      <c r="Q217" t="s">
        <v>43</v>
      </c>
      <c r="R217" t="s">
        <v>42</v>
      </c>
      <c r="S217" t="s">
        <v>43</v>
      </c>
      <c r="T217" t="s">
        <v>42</v>
      </c>
      <c r="U217" t="s">
        <v>42</v>
      </c>
      <c r="V217" t="s">
        <v>42</v>
      </c>
      <c r="W217" t="s">
        <v>43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 x14ac:dyDescent="0.35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4</v>
      </c>
      <c r="H218">
        <v>3</v>
      </c>
      <c r="I218" t="s">
        <v>45</v>
      </c>
      <c r="J218" t="s">
        <v>45</v>
      </c>
      <c r="K218" t="s">
        <v>51</v>
      </c>
      <c r="L218" t="s">
        <v>41</v>
      </c>
      <c r="M218">
        <v>1</v>
      </c>
      <c r="N218">
        <v>2</v>
      </c>
      <c r="O218">
        <v>2</v>
      </c>
      <c r="P218" t="s">
        <v>43</v>
      </c>
      <c r="Q218" t="s">
        <v>43</v>
      </c>
      <c r="R218" t="s">
        <v>42</v>
      </c>
      <c r="S218" t="s">
        <v>43</v>
      </c>
      <c r="T218" t="s">
        <v>42</v>
      </c>
      <c r="U218" t="s">
        <v>42</v>
      </c>
      <c r="V218" t="s">
        <v>42</v>
      </c>
      <c r="W218" t="s">
        <v>42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 x14ac:dyDescent="0.35">
      <c r="A219" t="s">
        <v>33</v>
      </c>
      <c r="B219" t="s">
        <v>50</v>
      </c>
      <c r="C219">
        <v>18</v>
      </c>
      <c r="D219" t="s">
        <v>35</v>
      </c>
      <c r="E219" t="s">
        <v>47</v>
      </c>
      <c r="F219" t="s">
        <v>44</v>
      </c>
      <c r="G219">
        <v>3</v>
      </c>
      <c r="H219">
        <v>3</v>
      </c>
      <c r="I219" t="s">
        <v>48</v>
      </c>
      <c r="J219" t="s">
        <v>28</v>
      </c>
      <c r="K219" t="s">
        <v>49</v>
      </c>
      <c r="L219" t="s">
        <v>46</v>
      </c>
      <c r="M219">
        <v>1</v>
      </c>
      <c r="N219">
        <v>2</v>
      </c>
      <c r="O219">
        <v>1</v>
      </c>
      <c r="P219" t="s">
        <v>43</v>
      </c>
      <c r="Q219" t="s">
        <v>42</v>
      </c>
      <c r="R219" t="s">
        <v>42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 x14ac:dyDescent="0.35">
      <c r="A220" t="s">
        <v>33</v>
      </c>
      <c r="B220" t="s">
        <v>34</v>
      </c>
      <c r="C220">
        <v>17</v>
      </c>
      <c r="D220" t="s">
        <v>35</v>
      </c>
      <c r="E220" t="s">
        <v>36</v>
      </c>
      <c r="F220" t="s">
        <v>44</v>
      </c>
      <c r="G220">
        <v>2</v>
      </c>
      <c r="H220">
        <v>3</v>
      </c>
      <c r="I220" t="s">
        <v>38</v>
      </c>
      <c r="J220" t="s">
        <v>45</v>
      </c>
      <c r="K220" t="s">
        <v>49</v>
      </c>
      <c r="L220" t="s">
        <v>46</v>
      </c>
      <c r="M220">
        <v>2</v>
      </c>
      <c r="N220">
        <v>1</v>
      </c>
      <c r="O220">
        <v>0</v>
      </c>
      <c r="P220" t="s">
        <v>43</v>
      </c>
      <c r="Q220" t="s">
        <v>42</v>
      </c>
      <c r="R220" t="s">
        <v>42</v>
      </c>
      <c r="S220" t="s">
        <v>43</v>
      </c>
      <c r="T220" t="s">
        <v>42</v>
      </c>
      <c r="U220" t="s">
        <v>42</v>
      </c>
      <c r="V220" t="s">
        <v>43</v>
      </c>
      <c r="W220" t="s">
        <v>43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 x14ac:dyDescent="0.35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2</v>
      </c>
      <c r="H221">
        <v>2</v>
      </c>
      <c r="I221" t="s">
        <v>38</v>
      </c>
      <c r="J221" t="s">
        <v>38</v>
      </c>
      <c r="K221" t="s">
        <v>40</v>
      </c>
      <c r="L221" t="s">
        <v>41</v>
      </c>
      <c r="M221">
        <v>1</v>
      </c>
      <c r="N221">
        <v>3</v>
      </c>
      <c r="O221">
        <v>0</v>
      </c>
      <c r="P221" t="s">
        <v>43</v>
      </c>
      <c r="Q221" t="s">
        <v>42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s">
        <v>43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 x14ac:dyDescent="0.35">
      <c r="A222" t="s">
        <v>33</v>
      </c>
      <c r="B222" t="s">
        <v>34</v>
      </c>
      <c r="C222">
        <v>17</v>
      </c>
      <c r="D222" t="s">
        <v>52</v>
      </c>
      <c r="E222" t="s">
        <v>36</v>
      </c>
      <c r="F222" t="s">
        <v>44</v>
      </c>
      <c r="G222">
        <v>2</v>
      </c>
      <c r="H222">
        <v>1</v>
      </c>
      <c r="I222" t="s">
        <v>38</v>
      </c>
      <c r="J222" t="s">
        <v>48</v>
      </c>
      <c r="K222" t="s">
        <v>51</v>
      </c>
      <c r="L222" t="s">
        <v>41</v>
      </c>
      <c r="M222">
        <v>2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42</v>
      </c>
      <c r="T222" t="s">
        <v>42</v>
      </c>
      <c r="U222" t="s">
        <v>42</v>
      </c>
      <c r="V222" t="s">
        <v>42</v>
      </c>
      <c r="W222" t="s">
        <v>43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 x14ac:dyDescent="0.35">
      <c r="A223" t="s">
        <v>33</v>
      </c>
      <c r="B223" t="s">
        <v>34</v>
      </c>
      <c r="C223">
        <v>17</v>
      </c>
      <c r="D223" t="s">
        <v>35</v>
      </c>
      <c r="E223" t="s">
        <v>36</v>
      </c>
      <c r="F223" t="s">
        <v>44</v>
      </c>
      <c r="G223">
        <v>1</v>
      </c>
      <c r="H223">
        <v>1</v>
      </c>
      <c r="I223" t="s">
        <v>38</v>
      </c>
      <c r="J223" t="s">
        <v>45</v>
      </c>
      <c r="K223" t="s">
        <v>51</v>
      </c>
      <c r="L223" t="s">
        <v>41</v>
      </c>
      <c r="M223">
        <v>1</v>
      </c>
      <c r="N223">
        <v>3</v>
      </c>
      <c r="O223">
        <v>1</v>
      </c>
      <c r="P223" t="s">
        <v>43</v>
      </c>
      <c r="Q223" t="s">
        <v>42</v>
      </c>
      <c r="R223" t="s">
        <v>43</v>
      </c>
      <c r="S223" t="s">
        <v>42</v>
      </c>
      <c r="T223" t="s">
        <v>42</v>
      </c>
      <c r="U223" t="s">
        <v>42</v>
      </c>
      <c r="V223" t="s">
        <v>43</v>
      </c>
      <c r="W223" t="s">
        <v>42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 x14ac:dyDescent="0.35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2</v>
      </c>
      <c r="H224">
        <v>3</v>
      </c>
      <c r="I224" t="s">
        <v>48</v>
      </c>
      <c r="J224" t="s">
        <v>39</v>
      </c>
      <c r="K224" t="s">
        <v>45</v>
      </c>
      <c r="L224" t="s">
        <v>41</v>
      </c>
      <c r="M224">
        <v>1</v>
      </c>
      <c r="N224">
        <v>2</v>
      </c>
      <c r="O224">
        <v>0</v>
      </c>
      <c r="P224" t="s">
        <v>42</v>
      </c>
      <c r="Q224" t="s">
        <v>43</v>
      </c>
      <c r="R224" t="s">
        <v>43</v>
      </c>
      <c r="S224" t="s">
        <v>43</v>
      </c>
      <c r="T224" t="s">
        <v>42</v>
      </c>
      <c r="U224" t="s">
        <v>42</v>
      </c>
      <c r="V224" t="s">
        <v>42</v>
      </c>
      <c r="W224" t="s">
        <v>43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 x14ac:dyDescent="0.35">
      <c r="A225" t="s">
        <v>33</v>
      </c>
      <c r="B225" t="s">
        <v>50</v>
      </c>
      <c r="C225">
        <v>18</v>
      </c>
      <c r="D225" t="s">
        <v>35</v>
      </c>
      <c r="E225" t="s">
        <v>36</v>
      </c>
      <c r="F225" t="s">
        <v>44</v>
      </c>
      <c r="G225">
        <v>2</v>
      </c>
      <c r="H225">
        <v>2</v>
      </c>
      <c r="I225" t="s">
        <v>45</v>
      </c>
      <c r="J225" t="s">
        <v>45</v>
      </c>
      <c r="K225" t="s">
        <v>49</v>
      </c>
      <c r="L225" t="s">
        <v>41</v>
      </c>
      <c r="M225">
        <v>2</v>
      </c>
      <c r="N225">
        <v>2</v>
      </c>
      <c r="O225">
        <v>0</v>
      </c>
      <c r="P225" t="s">
        <v>43</v>
      </c>
      <c r="Q225" t="s">
        <v>42</v>
      </c>
      <c r="R225" t="s">
        <v>42</v>
      </c>
      <c r="S225" t="s">
        <v>43</v>
      </c>
      <c r="T225" t="s">
        <v>42</v>
      </c>
      <c r="U225" t="s">
        <v>42</v>
      </c>
      <c r="V225" t="s">
        <v>42</v>
      </c>
      <c r="W225" t="s">
        <v>43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 x14ac:dyDescent="0.35">
      <c r="A226" t="s">
        <v>33</v>
      </c>
      <c r="B226" t="s">
        <v>34</v>
      </c>
      <c r="C226">
        <v>16</v>
      </c>
      <c r="D226" t="s">
        <v>35</v>
      </c>
      <c r="E226" t="s">
        <v>36</v>
      </c>
      <c r="F226" t="s">
        <v>44</v>
      </c>
      <c r="G226">
        <v>4</v>
      </c>
      <c r="H226">
        <v>4</v>
      </c>
      <c r="I226" t="s">
        <v>39</v>
      </c>
      <c r="J226" t="s">
        <v>48</v>
      </c>
      <c r="K226" t="s">
        <v>49</v>
      </c>
      <c r="L226" t="s">
        <v>41</v>
      </c>
      <c r="M226">
        <v>1</v>
      </c>
      <c r="N226">
        <v>3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43</v>
      </c>
      <c r="U226" t="s">
        <v>42</v>
      </c>
      <c r="V226" t="s">
        <v>42</v>
      </c>
      <c r="W226" t="s">
        <v>43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 x14ac:dyDescent="0.35">
      <c r="A227" t="s">
        <v>33</v>
      </c>
      <c r="B227" t="s">
        <v>34</v>
      </c>
      <c r="C227">
        <v>18</v>
      </c>
      <c r="D227" t="s">
        <v>52</v>
      </c>
      <c r="E227" t="s">
        <v>36</v>
      </c>
      <c r="F227" t="s">
        <v>44</v>
      </c>
      <c r="G227">
        <v>3</v>
      </c>
      <c r="H227">
        <v>1</v>
      </c>
      <c r="I227" t="s">
        <v>45</v>
      </c>
      <c r="J227" t="s">
        <v>45</v>
      </c>
      <c r="K227" t="s">
        <v>51</v>
      </c>
      <c r="L227" t="s">
        <v>41</v>
      </c>
      <c r="M227">
        <v>1</v>
      </c>
      <c r="N227">
        <v>2</v>
      </c>
      <c r="O227">
        <v>1</v>
      </c>
      <c r="P227" t="s">
        <v>43</v>
      </c>
      <c r="Q227" t="s">
        <v>43</v>
      </c>
      <c r="R227" t="s">
        <v>43</v>
      </c>
      <c r="S227" t="s">
        <v>42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 x14ac:dyDescent="0.35">
      <c r="A228" t="s">
        <v>33</v>
      </c>
      <c r="B228" t="s">
        <v>34</v>
      </c>
      <c r="C228">
        <v>17</v>
      </c>
      <c r="D228" t="s">
        <v>35</v>
      </c>
      <c r="E228" t="s">
        <v>36</v>
      </c>
      <c r="F228" t="s">
        <v>44</v>
      </c>
      <c r="G228">
        <v>3</v>
      </c>
      <c r="H228">
        <v>2</v>
      </c>
      <c r="I228" t="s">
        <v>45</v>
      </c>
      <c r="J228" t="s">
        <v>45</v>
      </c>
      <c r="K228" t="s">
        <v>40</v>
      </c>
      <c r="L228" t="s">
        <v>41</v>
      </c>
      <c r="M228">
        <v>1</v>
      </c>
      <c r="N228">
        <v>2</v>
      </c>
      <c r="O228">
        <v>0</v>
      </c>
      <c r="P228" t="s">
        <v>43</v>
      </c>
      <c r="Q228" t="s">
        <v>43</v>
      </c>
      <c r="R228" t="s">
        <v>43</v>
      </c>
      <c r="S228" t="s">
        <v>42</v>
      </c>
      <c r="T228" t="s">
        <v>43</v>
      </c>
      <c r="U228" t="s">
        <v>42</v>
      </c>
      <c r="V228" t="s">
        <v>42</v>
      </c>
      <c r="W228" t="s">
        <v>43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 x14ac:dyDescent="0.35">
      <c r="A229" t="s">
        <v>33</v>
      </c>
      <c r="B229" t="s">
        <v>50</v>
      </c>
      <c r="C229">
        <v>17</v>
      </c>
      <c r="D229" t="s">
        <v>35</v>
      </c>
      <c r="E229" t="s">
        <v>47</v>
      </c>
      <c r="F229" t="s">
        <v>44</v>
      </c>
      <c r="G229">
        <v>2</v>
      </c>
      <c r="H229">
        <v>3</v>
      </c>
      <c r="I229" t="s">
        <v>48</v>
      </c>
      <c r="J229" t="s">
        <v>48</v>
      </c>
      <c r="K229" t="s">
        <v>51</v>
      </c>
      <c r="L229" t="s">
        <v>46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42</v>
      </c>
      <c r="S229" t="s">
        <v>43</v>
      </c>
      <c r="T229" t="s">
        <v>43</v>
      </c>
      <c r="U229" t="s">
        <v>42</v>
      </c>
      <c r="V229" t="s">
        <v>42</v>
      </c>
      <c r="W229" t="s">
        <v>43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 x14ac:dyDescent="0.35">
      <c r="A230" t="s">
        <v>33</v>
      </c>
      <c r="B230" t="s">
        <v>50</v>
      </c>
      <c r="C230">
        <v>18</v>
      </c>
      <c r="D230" t="s">
        <v>35</v>
      </c>
      <c r="E230" t="s">
        <v>47</v>
      </c>
      <c r="F230" t="s">
        <v>44</v>
      </c>
      <c r="G230">
        <v>2</v>
      </c>
      <c r="H230">
        <v>1</v>
      </c>
      <c r="I230" t="s">
        <v>38</v>
      </c>
      <c r="J230" t="s">
        <v>45</v>
      </c>
      <c r="K230" t="s">
        <v>40</v>
      </c>
      <c r="L230" t="s">
        <v>41</v>
      </c>
      <c r="M230">
        <v>4</v>
      </c>
      <c r="N230">
        <v>2</v>
      </c>
      <c r="O230">
        <v>0</v>
      </c>
      <c r="P230" t="s">
        <v>42</v>
      </c>
      <c r="Q230" t="s">
        <v>42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 x14ac:dyDescent="0.35">
      <c r="A231" t="s">
        <v>33</v>
      </c>
      <c r="B231" t="s">
        <v>34</v>
      </c>
      <c r="C231">
        <v>17</v>
      </c>
      <c r="D231" t="s">
        <v>35</v>
      </c>
      <c r="E231" t="s">
        <v>36</v>
      </c>
      <c r="F231" t="s">
        <v>37</v>
      </c>
      <c r="G231">
        <v>2</v>
      </c>
      <c r="H231">
        <v>1</v>
      </c>
      <c r="I231" t="s">
        <v>45</v>
      </c>
      <c r="J231" t="s">
        <v>45</v>
      </c>
      <c r="K231" t="s">
        <v>40</v>
      </c>
      <c r="L231" t="s">
        <v>41</v>
      </c>
      <c r="M231">
        <v>2</v>
      </c>
      <c r="N231">
        <v>3</v>
      </c>
      <c r="O231">
        <v>0</v>
      </c>
      <c r="P231" t="s">
        <v>43</v>
      </c>
      <c r="Q231" t="s">
        <v>43</v>
      </c>
      <c r="R231" t="s">
        <v>43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 x14ac:dyDescent="0.35">
      <c r="A232" t="s">
        <v>33</v>
      </c>
      <c r="B232" t="s">
        <v>34</v>
      </c>
      <c r="C232">
        <v>17</v>
      </c>
      <c r="D232" t="s">
        <v>35</v>
      </c>
      <c r="E232" t="s">
        <v>47</v>
      </c>
      <c r="F232" t="s">
        <v>44</v>
      </c>
      <c r="G232">
        <v>4</v>
      </c>
      <c r="H232">
        <v>3</v>
      </c>
      <c r="I232" t="s">
        <v>28</v>
      </c>
      <c r="J232" t="s">
        <v>45</v>
      </c>
      <c r="K232" t="s">
        <v>51</v>
      </c>
      <c r="L232" t="s">
        <v>46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 x14ac:dyDescent="0.35">
      <c r="A233" t="s">
        <v>33</v>
      </c>
      <c r="B233" t="s">
        <v>50</v>
      </c>
      <c r="C233">
        <v>17</v>
      </c>
      <c r="D233" t="s">
        <v>52</v>
      </c>
      <c r="E233" t="s">
        <v>36</v>
      </c>
      <c r="F233" t="s">
        <v>44</v>
      </c>
      <c r="G233">
        <v>2</v>
      </c>
      <c r="H233">
        <v>2</v>
      </c>
      <c r="I233" t="s">
        <v>45</v>
      </c>
      <c r="J233" t="s">
        <v>45</v>
      </c>
      <c r="K233" t="s">
        <v>40</v>
      </c>
      <c r="L233" t="s">
        <v>46</v>
      </c>
      <c r="M233">
        <v>2</v>
      </c>
      <c r="N233">
        <v>2</v>
      </c>
      <c r="O233">
        <v>0</v>
      </c>
      <c r="P233" t="s">
        <v>43</v>
      </c>
      <c r="Q233" t="s">
        <v>42</v>
      </c>
      <c r="R233" t="s">
        <v>42</v>
      </c>
      <c r="S233" t="s">
        <v>42</v>
      </c>
      <c r="T233" t="s">
        <v>42</v>
      </c>
      <c r="U233" t="s">
        <v>42</v>
      </c>
      <c r="V233" t="s">
        <v>42</v>
      </c>
      <c r="W233" t="s">
        <v>43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 x14ac:dyDescent="0.35">
      <c r="A234" t="s">
        <v>33</v>
      </c>
      <c r="B234" t="s">
        <v>50</v>
      </c>
      <c r="C234">
        <v>17</v>
      </c>
      <c r="D234" t="s">
        <v>35</v>
      </c>
      <c r="E234" t="s">
        <v>36</v>
      </c>
      <c r="F234" t="s">
        <v>44</v>
      </c>
      <c r="G234">
        <v>4</v>
      </c>
      <c r="H234">
        <v>4</v>
      </c>
      <c r="I234" t="s">
        <v>39</v>
      </c>
      <c r="J234" t="s">
        <v>39</v>
      </c>
      <c r="K234" t="s">
        <v>51</v>
      </c>
      <c r="L234" t="s">
        <v>41</v>
      </c>
      <c r="M234">
        <v>1</v>
      </c>
      <c r="N234">
        <v>2</v>
      </c>
      <c r="O234">
        <v>0</v>
      </c>
      <c r="P234" t="s">
        <v>42</v>
      </c>
      <c r="Q234" t="s">
        <v>42</v>
      </c>
      <c r="R234" t="s">
        <v>43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 x14ac:dyDescent="0.35">
      <c r="A235" t="s">
        <v>33</v>
      </c>
      <c r="B235" t="s">
        <v>50</v>
      </c>
      <c r="C235">
        <v>16</v>
      </c>
      <c r="D235" t="s">
        <v>35</v>
      </c>
      <c r="E235" t="s">
        <v>36</v>
      </c>
      <c r="F235" t="s">
        <v>44</v>
      </c>
      <c r="G235">
        <v>4</v>
      </c>
      <c r="H235">
        <v>4</v>
      </c>
      <c r="I235" t="s">
        <v>28</v>
      </c>
      <c r="J235" t="s">
        <v>45</v>
      </c>
      <c r="K235" t="s">
        <v>51</v>
      </c>
      <c r="L235" t="s">
        <v>46</v>
      </c>
      <c r="M235">
        <v>1</v>
      </c>
      <c r="N235">
        <v>2</v>
      </c>
      <c r="O235">
        <v>0</v>
      </c>
      <c r="P235" t="s">
        <v>43</v>
      </c>
      <c r="Q235" t="s">
        <v>42</v>
      </c>
      <c r="R235" t="s">
        <v>42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 x14ac:dyDescent="0.35">
      <c r="A236" t="s">
        <v>33</v>
      </c>
      <c r="B236" t="s">
        <v>50</v>
      </c>
      <c r="C236">
        <v>16</v>
      </c>
      <c r="D236" t="s">
        <v>35</v>
      </c>
      <c r="E236" t="s">
        <v>47</v>
      </c>
      <c r="F236" t="s">
        <v>44</v>
      </c>
      <c r="G236">
        <v>1</v>
      </c>
      <c r="H236">
        <v>1</v>
      </c>
      <c r="I236" t="s">
        <v>45</v>
      </c>
      <c r="J236" t="s">
        <v>45</v>
      </c>
      <c r="K236" t="s">
        <v>49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42</v>
      </c>
      <c r="S236" t="s">
        <v>43</v>
      </c>
      <c r="T236" t="s">
        <v>42</v>
      </c>
      <c r="U236" t="s">
        <v>42</v>
      </c>
      <c r="V236" t="s">
        <v>42</v>
      </c>
      <c r="W236" t="s">
        <v>43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 x14ac:dyDescent="0.35">
      <c r="A237" t="s">
        <v>33</v>
      </c>
      <c r="B237" t="s">
        <v>50</v>
      </c>
      <c r="C237">
        <v>16</v>
      </c>
      <c r="D237" t="s">
        <v>35</v>
      </c>
      <c r="E237" t="s">
        <v>36</v>
      </c>
      <c r="F237" t="s">
        <v>44</v>
      </c>
      <c r="G237">
        <v>3</v>
      </c>
      <c r="H237">
        <v>2</v>
      </c>
      <c r="I237" t="s">
        <v>38</v>
      </c>
      <c r="J237" t="s">
        <v>45</v>
      </c>
      <c r="K237" t="s">
        <v>51</v>
      </c>
      <c r="L237" t="s">
        <v>41</v>
      </c>
      <c r="M237">
        <v>2</v>
      </c>
      <c r="N237">
        <v>3</v>
      </c>
      <c r="O237">
        <v>0</v>
      </c>
      <c r="P237" t="s">
        <v>43</v>
      </c>
      <c r="Q237" t="s">
        <v>43</v>
      </c>
      <c r="R237" t="s">
        <v>43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 x14ac:dyDescent="0.35">
      <c r="A238" t="s">
        <v>33</v>
      </c>
      <c r="B238" t="s">
        <v>50</v>
      </c>
      <c r="C238">
        <v>17</v>
      </c>
      <c r="D238" t="s">
        <v>35</v>
      </c>
      <c r="E238" t="s">
        <v>47</v>
      </c>
      <c r="F238" t="s">
        <v>44</v>
      </c>
      <c r="G238">
        <v>2</v>
      </c>
      <c r="H238">
        <v>2</v>
      </c>
      <c r="I238" t="s">
        <v>45</v>
      </c>
      <c r="J238" t="s">
        <v>45</v>
      </c>
      <c r="K238" t="s">
        <v>49</v>
      </c>
      <c r="L238" t="s">
        <v>46</v>
      </c>
      <c r="M238">
        <v>1</v>
      </c>
      <c r="N238">
        <v>2</v>
      </c>
      <c r="O238">
        <v>0</v>
      </c>
      <c r="P238" t="s">
        <v>43</v>
      </c>
      <c r="Q238" t="s">
        <v>43</v>
      </c>
      <c r="R238" t="s">
        <v>42</v>
      </c>
      <c r="S238" t="s">
        <v>42</v>
      </c>
      <c r="T238" t="s">
        <v>43</v>
      </c>
      <c r="U238" t="s">
        <v>42</v>
      </c>
      <c r="V238" t="s">
        <v>42</v>
      </c>
      <c r="W238" t="s">
        <v>42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 x14ac:dyDescent="0.35">
      <c r="A239" t="s">
        <v>33</v>
      </c>
      <c r="B239" t="s">
        <v>34</v>
      </c>
      <c r="C239">
        <v>16</v>
      </c>
      <c r="D239" t="s">
        <v>35</v>
      </c>
      <c r="E239" t="s">
        <v>36</v>
      </c>
      <c r="F239" t="s">
        <v>44</v>
      </c>
      <c r="G239">
        <v>2</v>
      </c>
      <c r="H239">
        <v>1</v>
      </c>
      <c r="I239" t="s">
        <v>45</v>
      </c>
      <c r="J239" t="s">
        <v>45</v>
      </c>
      <c r="K239" t="s">
        <v>49</v>
      </c>
      <c r="L239" t="s">
        <v>41</v>
      </c>
      <c r="M239">
        <v>1</v>
      </c>
      <c r="N239">
        <v>1</v>
      </c>
      <c r="O239">
        <v>0</v>
      </c>
      <c r="P239" t="s">
        <v>43</v>
      </c>
      <c r="Q239" t="s">
        <v>43</v>
      </c>
      <c r="R239" t="s">
        <v>43</v>
      </c>
      <c r="S239" t="s">
        <v>43</v>
      </c>
      <c r="T239" t="s">
        <v>42</v>
      </c>
      <c r="U239" t="s">
        <v>42</v>
      </c>
      <c r="V239" t="s">
        <v>42</v>
      </c>
      <c r="W239" t="s">
        <v>42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 x14ac:dyDescent="0.35">
      <c r="A240" t="s">
        <v>33</v>
      </c>
      <c r="B240" t="s">
        <v>34</v>
      </c>
      <c r="C240">
        <v>17</v>
      </c>
      <c r="D240" t="s">
        <v>52</v>
      </c>
      <c r="E240" t="s">
        <v>36</v>
      </c>
      <c r="F240" t="s">
        <v>44</v>
      </c>
      <c r="G240">
        <v>2</v>
      </c>
      <c r="H240">
        <v>1</v>
      </c>
      <c r="I240" t="s">
        <v>38</v>
      </c>
      <c r="J240" t="s">
        <v>48</v>
      </c>
      <c r="K240" t="s">
        <v>40</v>
      </c>
      <c r="L240" t="s">
        <v>41</v>
      </c>
      <c r="M240">
        <v>3</v>
      </c>
      <c r="N240">
        <v>2</v>
      </c>
      <c r="O240">
        <v>0</v>
      </c>
      <c r="P240" t="s">
        <v>43</v>
      </c>
      <c r="Q240" t="s">
        <v>43</v>
      </c>
      <c r="R240" t="s">
        <v>43</v>
      </c>
      <c r="S240" t="s">
        <v>42</v>
      </c>
      <c r="T240" t="s">
        <v>42</v>
      </c>
      <c r="U240" t="s">
        <v>42</v>
      </c>
      <c r="V240" t="s">
        <v>43</v>
      </c>
      <c r="W240" t="s">
        <v>43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 x14ac:dyDescent="0.35">
      <c r="A241" t="s">
        <v>33</v>
      </c>
      <c r="B241" t="s">
        <v>50</v>
      </c>
      <c r="C241">
        <v>18</v>
      </c>
      <c r="D241" t="s">
        <v>35</v>
      </c>
      <c r="E241" t="s">
        <v>36</v>
      </c>
      <c r="F241" t="s">
        <v>44</v>
      </c>
      <c r="G241">
        <v>2</v>
      </c>
      <c r="H241">
        <v>2</v>
      </c>
      <c r="I241" t="s">
        <v>45</v>
      </c>
      <c r="J241" t="s">
        <v>48</v>
      </c>
      <c r="K241" t="s">
        <v>51</v>
      </c>
      <c r="L241" t="s">
        <v>46</v>
      </c>
      <c r="M241">
        <v>1</v>
      </c>
      <c r="N241">
        <v>2</v>
      </c>
      <c r="O241">
        <v>1</v>
      </c>
      <c r="P241" t="s">
        <v>43</v>
      </c>
      <c r="Q241" t="s">
        <v>43</v>
      </c>
      <c r="R241" t="s">
        <v>43</v>
      </c>
      <c r="S241" t="s">
        <v>43</v>
      </c>
      <c r="T241" t="s">
        <v>42</v>
      </c>
      <c r="U241" t="s">
        <v>43</v>
      </c>
      <c r="V241" t="s">
        <v>42</v>
      </c>
      <c r="W241" t="s">
        <v>43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 x14ac:dyDescent="0.35">
      <c r="A242" t="s">
        <v>33</v>
      </c>
      <c r="B242" t="s">
        <v>50</v>
      </c>
      <c r="C242">
        <v>17</v>
      </c>
      <c r="D242" t="s">
        <v>35</v>
      </c>
      <c r="E242" t="s">
        <v>47</v>
      </c>
      <c r="F242" t="s">
        <v>44</v>
      </c>
      <c r="G242">
        <v>4</v>
      </c>
      <c r="H242">
        <v>3</v>
      </c>
      <c r="I242" t="s">
        <v>28</v>
      </c>
      <c r="J242" t="s">
        <v>45</v>
      </c>
      <c r="K242" t="s">
        <v>40</v>
      </c>
      <c r="L242" t="s">
        <v>41</v>
      </c>
      <c r="M242">
        <v>2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 x14ac:dyDescent="0.35">
      <c r="A243" t="s">
        <v>33</v>
      </c>
      <c r="B243" t="s">
        <v>50</v>
      </c>
      <c r="C243">
        <v>17</v>
      </c>
      <c r="D243" t="s">
        <v>52</v>
      </c>
      <c r="E243" t="s">
        <v>47</v>
      </c>
      <c r="F243" t="s">
        <v>37</v>
      </c>
      <c r="G243">
        <v>4</v>
      </c>
      <c r="H243">
        <v>4</v>
      </c>
      <c r="I243" t="s">
        <v>39</v>
      </c>
      <c r="J243" t="s">
        <v>45</v>
      </c>
      <c r="K243" t="s">
        <v>40</v>
      </c>
      <c r="L243" t="s">
        <v>41</v>
      </c>
      <c r="M243">
        <v>2</v>
      </c>
      <c r="N243">
        <v>2</v>
      </c>
      <c r="O243">
        <v>0</v>
      </c>
      <c r="P243" t="s">
        <v>43</v>
      </c>
      <c r="Q243" t="s">
        <v>42</v>
      </c>
      <c r="R243" t="s">
        <v>42</v>
      </c>
      <c r="S243" t="s">
        <v>43</v>
      </c>
      <c r="T243" t="s">
        <v>42</v>
      </c>
      <c r="U243" t="s">
        <v>42</v>
      </c>
      <c r="V243" t="s">
        <v>42</v>
      </c>
      <c r="W243" t="s">
        <v>43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 x14ac:dyDescent="0.35">
      <c r="A244" t="s">
        <v>33</v>
      </c>
      <c r="B244" t="s">
        <v>50</v>
      </c>
      <c r="C244">
        <v>16</v>
      </c>
      <c r="D244" t="s">
        <v>35</v>
      </c>
      <c r="E244" t="s">
        <v>47</v>
      </c>
      <c r="F244" t="s">
        <v>44</v>
      </c>
      <c r="G244">
        <v>4</v>
      </c>
      <c r="H244">
        <v>3</v>
      </c>
      <c r="I244" t="s">
        <v>39</v>
      </c>
      <c r="J244" t="s">
        <v>45</v>
      </c>
      <c r="K244" t="s">
        <v>40</v>
      </c>
      <c r="L244" t="s">
        <v>41</v>
      </c>
      <c r="M244">
        <v>1</v>
      </c>
      <c r="N244">
        <v>1</v>
      </c>
      <c r="O244">
        <v>0</v>
      </c>
      <c r="P244" t="s">
        <v>43</v>
      </c>
      <c r="Q244" t="s">
        <v>43</v>
      </c>
      <c r="R244" t="s">
        <v>43</v>
      </c>
      <c r="S244" t="s">
        <v>42</v>
      </c>
      <c r="T244" t="s">
        <v>43</v>
      </c>
      <c r="U244" t="s">
        <v>42</v>
      </c>
      <c r="V244" t="s">
        <v>42</v>
      </c>
      <c r="W244" t="s">
        <v>43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 x14ac:dyDescent="0.35">
      <c r="A245" t="s">
        <v>33</v>
      </c>
      <c r="B245" t="s">
        <v>50</v>
      </c>
      <c r="C245">
        <v>16</v>
      </c>
      <c r="D245" t="s">
        <v>35</v>
      </c>
      <c r="E245" t="s">
        <v>36</v>
      </c>
      <c r="F245" t="s">
        <v>44</v>
      </c>
      <c r="G245">
        <v>4</v>
      </c>
      <c r="H245">
        <v>4</v>
      </c>
      <c r="I245" t="s">
        <v>48</v>
      </c>
      <c r="J245" t="s">
        <v>48</v>
      </c>
      <c r="K245" t="s">
        <v>40</v>
      </c>
      <c r="L245" t="s">
        <v>41</v>
      </c>
      <c r="M245">
        <v>1</v>
      </c>
      <c r="N245">
        <v>1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43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 x14ac:dyDescent="0.35">
      <c r="A246" t="s">
        <v>33</v>
      </c>
      <c r="B246" t="s">
        <v>34</v>
      </c>
      <c r="C246">
        <v>18</v>
      </c>
      <c r="D246" t="s">
        <v>35</v>
      </c>
      <c r="E246" t="s">
        <v>36</v>
      </c>
      <c r="F246" t="s">
        <v>44</v>
      </c>
      <c r="G246">
        <v>2</v>
      </c>
      <c r="H246">
        <v>1</v>
      </c>
      <c r="I246" t="s">
        <v>45</v>
      </c>
      <c r="J246" t="s">
        <v>45</v>
      </c>
      <c r="K246" t="s">
        <v>40</v>
      </c>
      <c r="L246" t="s">
        <v>45</v>
      </c>
      <c r="M246">
        <v>2</v>
      </c>
      <c r="N246">
        <v>3</v>
      </c>
      <c r="O246">
        <v>0</v>
      </c>
      <c r="P246" t="s">
        <v>43</v>
      </c>
      <c r="Q246" t="s">
        <v>42</v>
      </c>
      <c r="R246" t="s">
        <v>42</v>
      </c>
      <c r="S246" t="s">
        <v>43</v>
      </c>
      <c r="T246" t="s">
        <v>43</v>
      </c>
      <c r="U246" t="s">
        <v>42</v>
      </c>
      <c r="V246" t="s">
        <v>42</v>
      </c>
      <c r="W246" t="s">
        <v>42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 x14ac:dyDescent="0.35">
      <c r="A247" t="s">
        <v>33</v>
      </c>
      <c r="B247" t="s">
        <v>50</v>
      </c>
      <c r="C247">
        <v>16</v>
      </c>
      <c r="D247" t="s">
        <v>35</v>
      </c>
      <c r="E247" t="s">
        <v>36</v>
      </c>
      <c r="F247" t="s">
        <v>44</v>
      </c>
      <c r="G247">
        <v>2</v>
      </c>
      <c r="H247">
        <v>1</v>
      </c>
      <c r="I247" t="s">
        <v>45</v>
      </c>
      <c r="J247" t="s">
        <v>45</v>
      </c>
      <c r="K247" t="s">
        <v>40</v>
      </c>
      <c r="L247" t="s">
        <v>41</v>
      </c>
      <c r="M247">
        <v>3</v>
      </c>
      <c r="N247">
        <v>1</v>
      </c>
      <c r="O247">
        <v>0</v>
      </c>
      <c r="P247" t="s">
        <v>43</v>
      </c>
      <c r="Q247" t="s">
        <v>43</v>
      </c>
      <c r="R247" t="s">
        <v>43</v>
      </c>
      <c r="S247" t="s">
        <v>43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 x14ac:dyDescent="0.35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2</v>
      </c>
      <c r="H248">
        <v>3</v>
      </c>
      <c r="I248" t="s">
        <v>45</v>
      </c>
      <c r="J248" t="s">
        <v>45</v>
      </c>
      <c r="K248" t="s">
        <v>40</v>
      </c>
      <c r="L248" t="s">
        <v>46</v>
      </c>
      <c r="M248">
        <v>2</v>
      </c>
      <c r="N248">
        <v>1</v>
      </c>
      <c r="O248">
        <v>0</v>
      </c>
      <c r="P248" t="s">
        <v>43</v>
      </c>
      <c r="Q248" t="s">
        <v>43</v>
      </c>
      <c r="R248" t="s">
        <v>43</v>
      </c>
      <c r="S248" t="s">
        <v>43</v>
      </c>
      <c r="T248" t="s">
        <v>42</v>
      </c>
      <c r="U248" t="s">
        <v>42</v>
      </c>
      <c r="V248" t="s">
        <v>42</v>
      </c>
      <c r="W248" t="s">
        <v>43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 x14ac:dyDescent="0.35">
      <c r="A249" t="s">
        <v>33</v>
      </c>
      <c r="B249" t="s">
        <v>50</v>
      </c>
      <c r="C249">
        <v>22</v>
      </c>
      <c r="D249" t="s">
        <v>35</v>
      </c>
      <c r="E249" t="s">
        <v>36</v>
      </c>
      <c r="F249" t="s">
        <v>44</v>
      </c>
      <c r="G249">
        <v>3</v>
      </c>
      <c r="H249">
        <v>1</v>
      </c>
      <c r="I249" t="s">
        <v>48</v>
      </c>
      <c r="J249" t="s">
        <v>48</v>
      </c>
      <c r="K249" t="s">
        <v>45</v>
      </c>
      <c r="L249" t="s">
        <v>41</v>
      </c>
      <c r="M249">
        <v>1</v>
      </c>
      <c r="N249">
        <v>1</v>
      </c>
      <c r="O249">
        <v>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42</v>
      </c>
      <c r="W249" t="s">
        <v>42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 x14ac:dyDescent="0.35">
      <c r="A250" t="s">
        <v>33</v>
      </c>
      <c r="B250" t="s">
        <v>50</v>
      </c>
      <c r="C250">
        <v>18</v>
      </c>
      <c r="D250" t="s">
        <v>52</v>
      </c>
      <c r="E250" t="s">
        <v>47</v>
      </c>
      <c r="F250" t="s">
        <v>44</v>
      </c>
      <c r="G250">
        <v>3</v>
      </c>
      <c r="H250">
        <v>3</v>
      </c>
      <c r="I250" t="s">
        <v>45</v>
      </c>
      <c r="J250" t="s">
        <v>48</v>
      </c>
      <c r="K250" t="s">
        <v>40</v>
      </c>
      <c r="L250" t="s">
        <v>41</v>
      </c>
      <c r="M250">
        <v>1</v>
      </c>
      <c r="N250">
        <v>2</v>
      </c>
      <c r="O250">
        <v>1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42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 x14ac:dyDescent="0.35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0</v>
      </c>
      <c r="H251">
        <v>2</v>
      </c>
      <c r="I251" t="s">
        <v>45</v>
      </c>
      <c r="J251" t="s">
        <v>45</v>
      </c>
      <c r="K251" t="s">
        <v>45</v>
      </c>
      <c r="L251" t="s">
        <v>41</v>
      </c>
      <c r="M251">
        <v>1</v>
      </c>
      <c r="N251">
        <v>1</v>
      </c>
      <c r="O251">
        <v>0</v>
      </c>
      <c r="P251" t="s">
        <v>43</v>
      </c>
      <c r="Q251" t="s">
        <v>43</v>
      </c>
      <c r="R251" t="s">
        <v>42</v>
      </c>
      <c r="S251" t="s">
        <v>43</v>
      </c>
      <c r="T251" t="s">
        <v>43</v>
      </c>
      <c r="U251" t="s">
        <v>42</v>
      </c>
      <c r="V251" t="s">
        <v>42</v>
      </c>
      <c r="W251" t="s">
        <v>43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 x14ac:dyDescent="0.35">
      <c r="A252" t="s">
        <v>33</v>
      </c>
      <c r="B252" t="s">
        <v>50</v>
      </c>
      <c r="C252">
        <v>18</v>
      </c>
      <c r="D252" t="s">
        <v>35</v>
      </c>
      <c r="E252" t="s">
        <v>36</v>
      </c>
      <c r="F252" t="s">
        <v>44</v>
      </c>
      <c r="G252">
        <v>3</v>
      </c>
      <c r="H252">
        <v>2</v>
      </c>
      <c r="I252" t="s">
        <v>48</v>
      </c>
      <c r="J252" t="s">
        <v>45</v>
      </c>
      <c r="K252" t="s">
        <v>40</v>
      </c>
      <c r="L252" t="s">
        <v>41</v>
      </c>
      <c r="M252">
        <v>2</v>
      </c>
      <c r="N252">
        <v>1</v>
      </c>
      <c r="O252">
        <v>1</v>
      </c>
      <c r="P252" t="s">
        <v>43</v>
      </c>
      <c r="Q252" t="s">
        <v>43</v>
      </c>
      <c r="R252" t="s">
        <v>43</v>
      </c>
      <c r="S252" t="s">
        <v>43</v>
      </c>
      <c r="T252" t="s">
        <v>42</v>
      </c>
      <c r="U252" t="s">
        <v>43</v>
      </c>
      <c r="V252" t="s">
        <v>42</v>
      </c>
      <c r="W252" t="s">
        <v>43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 x14ac:dyDescent="0.35">
      <c r="A253" t="s">
        <v>33</v>
      </c>
      <c r="B253" t="s">
        <v>50</v>
      </c>
      <c r="C253">
        <v>16</v>
      </c>
      <c r="D253" t="s">
        <v>35</v>
      </c>
      <c r="E253" t="s">
        <v>36</v>
      </c>
      <c r="F253" t="s">
        <v>44</v>
      </c>
      <c r="G253">
        <v>3</v>
      </c>
      <c r="H253">
        <v>3</v>
      </c>
      <c r="I253" t="s">
        <v>38</v>
      </c>
      <c r="J253" t="s">
        <v>45</v>
      </c>
      <c r="K253" t="s">
        <v>51</v>
      </c>
      <c r="L253" t="s">
        <v>45</v>
      </c>
      <c r="M253">
        <v>3</v>
      </c>
      <c r="N253">
        <v>2</v>
      </c>
      <c r="O253">
        <v>0</v>
      </c>
      <c r="P253" t="s">
        <v>42</v>
      </c>
      <c r="Q253" t="s">
        <v>42</v>
      </c>
      <c r="R253" t="s">
        <v>43</v>
      </c>
      <c r="S253" t="s">
        <v>43</v>
      </c>
      <c r="T253" t="s">
        <v>43</v>
      </c>
      <c r="U253" t="s">
        <v>42</v>
      </c>
      <c r="V253" t="s">
        <v>42</v>
      </c>
      <c r="W253" t="s">
        <v>43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 x14ac:dyDescent="0.35">
      <c r="A254" t="s">
        <v>33</v>
      </c>
      <c r="B254" t="s">
        <v>50</v>
      </c>
      <c r="C254">
        <v>18</v>
      </c>
      <c r="D254" t="s">
        <v>35</v>
      </c>
      <c r="E254" t="s">
        <v>36</v>
      </c>
      <c r="F254" t="s">
        <v>44</v>
      </c>
      <c r="G254">
        <v>2</v>
      </c>
      <c r="H254">
        <v>1</v>
      </c>
      <c r="I254" t="s">
        <v>48</v>
      </c>
      <c r="J254" t="s">
        <v>48</v>
      </c>
      <c r="K254" t="s">
        <v>45</v>
      </c>
      <c r="L254" t="s">
        <v>41</v>
      </c>
      <c r="M254">
        <v>1</v>
      </c>
      <c r="N254">
        <v>1</v>
      </c>
      <c r="O254">
        <v>1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42</v>
      </c>
      <c r="W254" t="s">
        <v>43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 x14ac:dyDescent="0.35">
      <c r="A255" t="s">
        <v>33</v>
      </c>
      <c r="B255" t="s">
        <v>50</v>
      </c>
      <c r="C255">
        <v>16</v>
      </c>
      <c r="D255" t="s">
        <v>52</v>
      </c>
      <c r="E255" t="s">
        <v>36</v>
      </c>
      <c r="F255" t="s">
        <v>44</v>
      </c>
      <c r="G255">
        <v>2</v>
      </c>
      <c r="H255">
        <v>1</v>
      </c>
      <c r="I255" t="s">
        <v>45</v>
      </c>
      <c r="J255" t="s">
        <v>45</v>
      </c>
      <c r="K255" t="s">
        <v>40</v>
      </c>
      <c r="L255" t="s">
        <v>41</v>
      </c>
      <c r="M255">
        <v>2</v>
      </c>
      <c r="N255">
        <v>1</v>
      </c>
      <c r="O255">
        <v>0</v>
      </c>
      <c r="P255" t="s">
        <v>43</v>
      </c>
      <c r="Q255" t="s">
        <v>43</v>
      </c>
      <c r="R255" t="s">
        <v>43</v>
      </c>
      <c r="S255" t="s">
        <v>42</v>
      </c>
      <c r="T255" t="s">
        <v>43</v>
      </c>
      <c r="U255" t="s">
        <v>42</v>
      </c>
      <c r="V255" t="s">
        <v>43</v>
      </c>
      <c r="W255" t="s">
        <v>43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 x14ac:dyDescent="0.35">
      <c r="A256" t="s">
        <v>33</v>
      </c>
      <c r="B256" t="s">
        <v>50</v>
      </c>
      <c r="C256">
        <v>17</v>
      </c>
      <c r="D256" t="s">
        <v>52</v>
      </c>
      <c r="E256" t="s">
        <v>36</v>
      </c>
      <c r="F256" t="s">
        <v>44</v>
      </c>
      <c r="G256">
        <v>2</v>
      </c>
      <c r="H256">
        <v>1</v>
      </c>
      <c r="I256" t="s">
        <v>45</v>
      </c>
      <c r="J256" t="s">
        <v>45</v>
      </c>
      <c r="K256" t="s">
        <v>40</v>
      </c>
      <c r="L256" t="s">
        <v>41</v>
      </c>
      <c r="M256">
        <v>1</v>
      </c>
      <c r="N256">
        <v>1</v>
      </c>
      <c r="O256">
        <v>0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43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 x14ac:dyDescent="0.35">
      <c r="A257" t="s">
        <v>33</v>
      </c>
      <c r="B257" t="s">
        <v>50</v>
      </c>
      <c r="C257">
        <v>17</v>
      </c>
      <c r="D257" t="s">
        <v>35</v>
      </c>
      <c r="E257" t="s">
        <v>47</v>
      </c>
      <c r="F257" t="s">
        <v>44</v>
      </c>
      <c r="G257">
        <v>1</v>
      </c>
      <c r="H257">
        <v>1</v>
      </c>
      <c r="I257" t="s">
        <v>28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42</v>
      </c>
      <c r="R257" t="s">
        <v>43</v>
      </c>
      <c r="S257" t="s">
        <v>42</v>
      </c>
      <c r="T257" t="s">
        <v>42</v>
      </c>
      <c r="U257" t="s">
        <v>42</v>
      </c>
      <c r="V257" t="s">
        <v>42</v>
      </c>
      <c r="W257" t="s">
        <v>43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 x14ac:dyDescent="0.35">
      <c r="A258" t="s">
        <v>33</v>
      </c>
      <c r="B258" t="s">
        <v>34</v>
      </c>
      <c r="C258">
        <v>17</v>
      </c>
      <c r="D258" t="s">
        <v>35</v>
      </c>
      <c r="E258" t="s">
        <v>47</v>
      </c>
      <c r="F258" t="s">
        <v>44</v>
      </c>
      <c r="G258">
        <v>4</v>
      </c>
      <c r="H258">
        <v>2</v>
      </c>
      <c r="I258" t="s">
        <v>39</v>
      </c>
      <c r="J258" t="s">
        <v>48</v>
      </c>
      <c r="K258" t="s">
        <v>51</v>
      </c>
      <c r="L258" t="s">
        <v>41</v>
      </c>
      <c r="M258">
        <v>1</v>
      </c>
      <c r="N258">
        <v>4</v>
      </c>
      <c r="O258">
        <v>0</v>
      </c>
      <c r="P258" t="s">
        <v>43</v>
      </c>
      <c r="Q258" t="s">
        <v>42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s">
        <v>43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 x14ac:dyDescent="0.35">
      <c r="A259" t="s">
        <v>33</v>
      </c>
      <c r="B259" t="s">
        <v>50</v>
      </c>
      <c r="C259">
        <v>19</v>
      </c>
      <c r="D259" t="s">
        <v>35</v>
      </c>
      <c r="E259" t="s">
        <v>47</v>
      </c>
      <c r="F259" t="s">
        <v>37</v>
      </c>
      <c r="G259">
        <v>4</v>
      </c>
      <c r="H259">
        <v>3</v>
      </c>
      <c r="I259" t="s">
        <v>48</v>
      </c>
      <c r="J259" t="s">
        <v>38</v>
      </c>
      <c r="K259" t="s">
        <v>51</v>
      </c>
      <c r="L259" t="s">
        <v>41</v>
      </c>
      <c r="M259">
        <v>1</v>
      </c>
      <c r="N259">
        <v>2</v>
      </c>
      <c r="O259">
        <v>0</v>
      </c>
      <c r="P259" t="s">
        <v>43</v>
      </c>
      <c r="Q259" t="s">
        <v>42</v>
      </c>
      <c r="R259" t="s">
        <v>43</v>
      </c>
      <c r="S259" t="s">
        <v>43</v>
      </c>
      <c r="T259" t="s">
        <v>42</v>
      </c>
      <c r="U259" t="s">
        <v>42</v>
      </c>
      <c r="V259" t="s">
        <v>42</v>
      </c>
      <c r="W259" t="s">
        <v>43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 x14ac:dyDescent="0.35">
      <c r="A260" t="s">
        <v>33</v>
      </c>
      <c r="B260" t="s">
        <v>50</v>
      </c>
      <c r="C260">
        <v>18</v>
      </c>
      <c r="D260" t="s">
        <v>35</v>
      </c>
      <c r="E260" t="s">
        <v>36</v>
      </c>
      <c r="F260" t="s">
        <v>44</v>
      </c>
      <c r="G260">
        <v>2</v>
      </c>
      <c r="H260">
        <v>1</v>
      </c>
      <c r="I260" t="s">
        <v>45</v>
      </c>
      <c r="J260" t="s">
        <v>45</v>
      </c>
      <c r="K260" t="s">
        <v>49</v>
      </c>
      <c r="L260" t="s">
        <v>41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42</v>
      </c>
      <c r="W260" t="s">
        <v>43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 x14ac:dyDescent="0.35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2</v>
      </c>
      <c r="H261">
        <v>2</v>
      </c>
      <c r="I261" t="s">
        <v>48</v>
      </c>
      <c r="J261" t="s">
        <v>48</v>
      </c>
      <c r="K261" t="s">
        <v>40</v>
      </c>
      <c r="L261" t="s">
        <v>46</v>
      </c>
      <c r="M261">
        <v>1</v>
      </c>
      <c r="N261">
        <v>4</v>
      </c>
      <c r="O261">
        <v>0</v>
      </c>
      <c r="P261" t="s">
        <v>43</v>
      </c>
      <c r="Q261" t="s">
        <v>43</v>
      </c>
      <c r="R261" t="s">
        <v>42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 x14ac:dyDescent="0.35">
      <c r="A262" t="s">
        <v>33</v>
      </c>
      <c r="B262" t="s">
        <v>34</v>
      </c>
      <c r="C262">
        <v>18</v>
      </c>
      <c r="D262" t="s">
        <v>35</v>
      </c>
      <c r="E262" t="s">
        <v>36</v>
      </c>
      <c r="F262" t="s">
        <v>44</v>
      </c>
      <c r="G262">
        <v>4</v>
      </c>
      <c r="H262">
        <v>3</v>
      </c>
      <c r="I262" t="s">
        <v>48</v>
      </c>
      <c r="J262" t="s">
        <v>45</v>
      </c>
      <c r="K262" t="s">
        <v>49</v>
      </c>
      <c r="L262" t="s">
        <v>46</v>
      </c>
      <c r="M262">
        <v>1</v>
      </c>
      <c r="N262">
        <v>2</v>
      </c>
      <c r="O262">
        <v>0</v>
      </c>
      <c r="P262" t="s">
        <v>43</v>
      </c>
      <c r="Q262" t="s">
        <v>42</v>
      </c>
      <c r="R262" t="s">
        <v>42</v>
      </c>
      <c r="S262" t="s">
        <v>43</v>
      </c>
      <c r="T262" t="s">
        <v>42</v>
      </c>
      <c r="U262" t="s">
        <v>42</v>
      </c>
      <c r="V262" t="s">
        <v>42</v>
      </c>
      <c r="W262" t="s">
        <v>42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 x14ac:dyDescent="0.35">
      <c r="A263" t="s">
        <v>33</v>
      </c>
      <c r="B263" t="s">
        <v>50</v>
      </c>
      <c r="C263">
        <v>18</v>
      </c>
      <c r="D263" t="s">
        <v>35</v>
      </c>
      <c r="E263" t="s">
        <v>36</v>
      </c>
      <c r="F263" t="s">
        <v>44</v>
      </c>
      <c r="G263">
        <v>4</v>
      </c>
      <c r="H263">
        <v>3</v>
      </c>
      <c r="I263" t="s">
        <v>39</v>
      </c>
      <c r="J263" t="s">
        <v>45</v>
      </c>
      <c r="K263" t="s">
        <v>40</v>
      </c>
      <c r="L263" t="s">
        <v>41</v>
      </c>
      <c r="M263">
        <v>1</v>
      </c>
      <c r="N263">
        <v>2</v>
      </c>
      <c r="O263">
        <v>0</v>
      </c>
      <c r="P263" t="s">
        <v>43</v>
      </c>
      <c r="Q263" t="s">
        <v>42</v>
      </c>
      <c r="R263" t="s">
        <v>42</v>
      </c>
      <c r="S263" t="s">
        <v>43</v>
      </c>
      <c r="T263" t="s">
        <v>43</v>
      </c>
      <c r="U263" t="s">
        <v>42</v>
      </c>
      <c r="V263" t="s">
        <v>42</v>
      </c>
      <c r="W263" t="s">
        <v>43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 x14ac:dyDescent="0.35">
      <c r="A264" t="s">
        <v>33</v>
      </c>
      <c r="B264" t="s">
        <v>50</v>
      </c>
      <c r="C264">
        <v>18</v>
      </c>
      <c r="D264" t="s">
        <v>52</v>
      </c>
      <c r="E264" t="s">
        <v>36</v>
      </c>
      <c r="F264" t="s">
        <v>44</v>
      </c>
      <c r="G264">
        <v>3</v>
      </c>
      <c r="H264">
        <v>2</v>
      </c>
      <c r="I264" t="s">
        <v>45</v>
      </c>
      <c r="J264" t="s">
        <v>45</v>
      </c>
      <c r="K264" t="s">
        <v>40</v>
      </c>
      <c r="L264" t="s">
        <v>41</v>
      </c>
      <c r="M264">
        <v>1</v>
      </c>
      <c r="N264">
        <v>3</v>
      </c>
      <c r="O264">
        <v>0</v>
      </c>
      <c r="P264" t="s">
        <v>43</v>
      </c>
      <c r="Q264" t="s">
        <v>43</v>
      </c>
      <c r="R264" t="s">
        <v>43</v>
      </c>
      <c r="S264" t="s">
        <v>42</v>
      </c>
      <c r="T264" t="s">
        <v>43</v>
      </c>
      <c r="U264" t="s">
        <v>42</v>
      </c>
      <c r="V264" t="s">
        <v>43</v>
      </c>
      <c r="W264" t="s">
        <v>43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 x14ac:dyDescent="0.35">
      <c r="A265" t="s">
        <v>33</v>
      </c>
      <c r="B265" t="s">
        <v>34</v>
      </c>
      <c r="C265">
        <v>17</v>
      </c>
      <c r="D265" t="s">
        <v>35</v>
      </c>
      <c r="E265" t="s">
        <v>36</v>
      </c>
      <c r="F265" t="s">
        <v>44</v>
      </c>
      <c r="G265">
        <v>3</v>
      </c>
      <c r="H265">
        <v>3</v>
      </c>
      <c r="I265" t="s">
        <v>45</v>
      </c>
      <c r="J265" t="s">
        <v>45</v>
      </c>
      <c r="K265" t="s">
        <v>49</v>
      </c>
      <c r="L265" t="s">
        <v>41</v>
      </c>
      <c r="M265">
        <v>1</v>
      </c>
      <c r="N265">
        <v>3</v>
      </c>
      <c r="O265">
        <v>0</v>
      </c>
      <c r="P265" t="s">
        <v>43</v>
      </c>
      <c r="Q265" t="s">
        <v>43</v>
      </c>
      <c r="R265" t="s">
        <v>43</v>
      </c>
      <c r="S265" t="s">
        <v>42</v>
      </c>
      <c r="T265" t="s">
        <v>43</v>
      </c>
      <c r="U265" t="s">
        <v>42</v>
      </c>
      <c r="V265" t="s">
        <v>43</v>
      </c>
      <c r="W265" t="s">
        <v>43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 x14ac:dyDescent="0.35">
      <c r="A266" t="s">
        <v>33</v>
      </c>
      <c r="B266" t="s">
        <v>34</v>
      </c>
      <c r="C266">
        <v>18</v>
      </c>
      <c r="D266" t="s">
        <v>35</v>
      </c>
      <c r="E266" t="s">
        <v>36</v>
      </c>
      <c r="F266" t="s">
        <v>44</v>
      </c>
      <c r="G266">
        <v>2</v>
      </c>
      <c r="H266">
        <v>2</v>
      </c>
      <c r="I266" t="s">
        <v>38</v>
      </c>
      <c r="J266" t="s">
        <v>48</v>
      </c>
      <c r="K266" t="s">
        <v>49</v>
      </c>
      <c r="L266" t="s">
        <v>41</v>
      </c>
      <c r="M266">
        <v>1</v>
      </c>
      <c r="N266">
        <v>3</v>
      </c>
      <c r="O266">
        <v>0</v>
      </c>
      <c r="P266" t="s">
        <v>43</v>
      </c>
      <c r="Q266" t="s">
        <v>42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 x14ac:dyDescent="0.35">
      <c r="A267" t="s">
        <v>33</v>
      </c>
      <c r="B267" t="s">
        <v>50</v>
      </c>
      <c r="C267">
        <v>18</v>
      </c>
      <c r="D267" t="s">
        <v>52</v>
      </c>
      <c r="E267" t="s">
        <v>47</v>
      </c>
      <c r="F267" t="s">
        <v>37</v>
      </c>
      <c r="G267">
        <v>3</v>
      </c>
      <c r="H267">
        <v>4</v>
      </c>
      <c r="I267" t="s">
        <v>45</v>
      </c>
      <c r="J267" t="s">
        <v>45</v>
      </c>
      <c r="K267" t="s">
        <v>51</v>
      </c>
      <c r="L267" t="s">
        <v>41</v>
      </c>
      <c r="M267">
        <v>2</v>
      </c>
      <c r="N267">
        <v>2</v>
      </c>
      <c r="O267">
        <v>0</v>
      </c>
      <c r="P267" t="s">
        <v>43</v>
      </c>
      <c r="Q267" t="s">
        <v>42</v>
      </c>
      <c r="R267" t="s">
        <v>42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 x14ac:dyDescent="0.35">
      <c r="A268" t="s">
        <v>33</v>
      </c>
      <c r="B268" t="s">
        <v>50</v>
      </c>
      <c r="C268">
        <v>17</v>
      </c>
      <c r="D268" t="s">
        <v>35</v>
      </c>
      <c r="E268" t="s">
        <v>36</v>
      </c>
      <c r="F268" t="s">
        <v>44</v>
      </c>
      <c r="G268">
        <v>3</v>
      </c>
      <c r="H268">
        <v>1</v>
      </c>
      <c r="I268" t="s">
        <v>48</v>
      </c>
      <c r="J268" t="s">
        <v>45</v>
      </c>
      <c r="K268" t="s">
        <v>45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43</v>
      </c>
      <c r="R268" t="s">
        <v>42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 x14ac:dyDescent="0.35">
      <c r="A269" t="s">
        <v>33</v>
      </c>
      <c r="B269" t="s">
        <v>34</v>
      </c>
      <c r="C269">
        <v>18</v>
      </c>
      <c r="D269" t="s">
        <v>52</v>
      </c>
      <c r="E269" t="s">
        <v>36</v>
      </c>
      <c r="F269" t="s">
        <v>44</v>
      </c>
      <c r="G269">
        <v>4</v>
      </c>
      <c r="H269">
        <v>4</v>
      </c>
      <c r="I269" t="s">
        <v>39</v>
      </c>
      <c r="J269" t="s">
        <v>45</v>
      </c>
      <c r="K269" t="s">
        <v>51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42</v>
      </c>
      <c r="S269" t="s">
        <v>42</v>
      </c>
      <c r="T269" t="s">
        <v>42</v>
      </c>
      <c r="U269" t="s">
        <v>42</v>
      </c>
      <c r="V269" t="s">
        <v>42</v>
      </c>
      <c r="W269" t="s">
        <v>43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 x14ac:dyDescent="0.35">
      <c r="A270" t="s">
        <v>33</v>
      </c>
      <c r="B270" t="s">
        <v>50</v>
      </c>
      <c r="C270">
        <v>18</v>
      </c>
      <c r="D270" t="s">
        <v>35</v>
      </c>
      <c r="E270" t="s">
        <v>36</v>
      </c>
      <c r="F270" t="s">
        <v>44</v>
      </c>
      <c r="G270">
        <v>4</v>
      </c>
      <c r="H270">
        <v>2</v>
      </c>
      <c r="I270" t="s">
        <v>28</v>
      </c>
      <c r="J270" t="s">
        <v>45</v>
      </c>
      <c r="K270" t="s">
        <v>51</v>
      </c>
      <c r="L270" t="s">
        <v>46</v>
      </c>
      <c r="M270">
        <v>1</v>
      </c>
      <c r="N270">
        <v>2</v>
      </c>
      <c r="O270">
        <v>0</v>
      </c>
      <c r="P270" t="s">
        <v>43</v>
      </c>
      <c r="Q270" t="s">
        <v>42</v>
      </c>
      <c r="R270" t="s">
        <v>42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 x14ac:dyDescent="0.35">
      <c r="A271" t="s">
        <v>33</v>
      </c>
      <c r="B271" t="s">
        <v>34</v>
      </c>
      <c r="C271">
        <v>18</v>
      </c>
      <c r="D271" t="s">
        <v>52</v>
      </c>
      <c r="E271" t="s">
        <v>36</v>
      </c>
      <c r="F271" t="s">
        <v>44</v>
      </c>
      <c r="G271">
        <v>2</v>
      </c>
      <c r="H271">
        <v>1</v>
      </c>
      <c r="I271" t="s">
        <v>45</v>
      </c>
      <c r="J271" t="s">
        <v>45</v>
      </c>
      <c r="K271" t="s">
        <v>51</v>
      </c>
      <c r="L271" t="s">
        <v>41</v>
      </c>
      <c r="M271">
        <v>2</v>
      </c>
      <c r="N271">
        <v>2</v>
      </c>
      <c r="O271">
        <v>0</v>
      </c>
      <c r="P271" t="s">
        <v>43</v>
      </c>
      <c r="Q271" t="s">
        <v>42</v>
      </c>
      <c r="R271" t="s">
        <v>43</v>
      </c>
      <c r="S271" t="s">
        <v>43</v>
      </c>
      <c r="T271" t="s">
        <v>42</v>
      </c>
      <c r="U271" t="s">
        <v>43</v>
      </c>
      <c r="V271" t="s">
        <v>42</v>
      </c>
      <c r="W271" t="s">
        <v>42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 x14ac:dyDescent="0.35">
      <c r="A272" t="s">
        <v>33</v>
      </c>
      <c r="B272" t="s">
        <v>34</v>
      </c>
      <c r="C272">
        <v>19</v>
      </c>
      <c r="D272" t="s">
        <v>35</v>
      </c>
      <c r="E272" t="s">
        <v>36</v>
      </c>
      <c r="F272" t="s">
        <v>44</v>
      </c>
      <c r="G272">
        <v>3</v>
      </c>
      <c r="H272">
        <v>3</v>
      </c>
      <c r="I272" t="s">
        <v>45</v>
      </c>
      <c r="J272" t="s">
        <v>48</v>
      </c>
      <c r="K272" t="s">
        <v>49</v>
      </c>
      <c r="L272" t="s">
        <v>45</v>
      </c>
      <c r="M272">
        <v>1</v>
      </c>
      <c r="N272">
        <v>2</v>
      </c>
      <c r="O272">
        <v>2</v>
      </c>
      <c r="P272" t="s">
        <v>43</v>
      </c>
      <c r="Q272" t="s">
        <v>42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 x14ac:dyDescent="0.35">
      <c r="A273" t="s">
        <v>33</v>
      </c>
      <c r="B273" t="s">
        <v>34</v>
      </c>
      <c r="C273">
        <v>18</v>
      </c>
      <c r="D273" t="s">
        <v>35</v>
      </c>
      <c r="E273" t="s">
        <v>36</v>
      </c>
      <c r="F273" t="s">
        <v>44</v>
      </c>
      <c r="G273">
        <v>2</v>
      </c>
      <c r="H273">
        <v>3</v>
      </c>
      <c r="I273" t="s">
        <v>45</v>
      </c>
      <c r="J273" t="s">
        <v>48</v>
      </c>
      <c r="K273" t="s">
        <v>51</v>
      </c>
      <c r="L273" t="s">
        <v>46</v>
      </c>
      <c r="M273">
        <v>1</v>
      </c>
      <c r="N273">
        <v>4</v>
      </c>
      <c r="O273">
        <v>0</v>
      </c>
      <c r="P273" t="s">
        <v>43</v>
      </c>
      <c r="Q273" t="s">
        <v>42</v>
      </c>
      <c r="R273" t="s">
        <v>42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 x14ac:dyDescent="0.35">
      <c r="A274" t="s">
        <v>33</v>
      </c>
      <c r="B274" t="s">
        <v>34</v>
      </c>
      <c r="C274">
        <v>18</v>
      </c>
      <c r="D274" t="s">
        <v>35</v>
      </c>
      <c r="E274" t="s">
        <v>47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41</v>
      </c>
      <c r="M274">
        <v>2</v>
      </c>
      <c r="N274">
        <v>2</v>
      </c>
      <c r="O274">
        <v>0</v>
      </c>
      <c r="P274" t="s">
        <v>43</v>
      </c>
      <c r="Q274" t="s">
        <v>42</v>
      </c>
      <c r="R274" t="s">
        <v>42</v>
      </c>
      <c r="S274" t="s">
        <v>43</v>
      </c>
      <c r="T274" t="s">
        <v>43</v>
      </c>
      <c r="U274" t="s">
        <v>42</v>
      </c>
      <c r="V274" t="s">
        <v>43</v>
      </c>
      <c r="W274" t="s">
        <v>43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 x14ac:dyDescent="0.35">
      <c r="A275" t="s">
        <v>33</v>
      </c>
      <c r="B275" t="s">
        <v>50</v>
      </c>
      <c r="C275">
        <v>17</v>
      </c>
      <c r="D275" t="s">
        <v>52</v>
      </c>
      <c r="E275" t="s">
        <v>36</v>
      </c>
      <c r="F275" t="s">
        <v>44</v>
      </c>
      <c r="G275">
        <v>1</v>
      </c>
      <c r="H275">
        <v>2</v>
      </c>
      <c r="I275" t="s">
        <v>38</v>
      </c>
      <c r="J275" t="s">
        <v>38</v>
      </c>
      <c r="K275" t="s">
        <v>49</v>
      </c>
      <c r="L275" t="s">
        <v>41</v>
      </c>
      <c r="M275">
        <v>1</v>
      </c>
      <c r="N275">
        <v>2</v>
      </c>
      <c r="O275">
        <v>0</v>
      </c>
      <c r="P275" t="s">
        <v>43</v>
      </c>
      <c r="Q275" t="s">
        <v>42</v>
      </c>
      <c r="R275" t="s">
        <v>42</v>
      </c>
      <c r="S275" t="s">
        <v>42</v>
      </c>
      <c r="T275" t="s">
        <v>43</v>
      </c>
      <c r="U275" t="s">
        <v>42</v>
      </c>
      <c r="V275" t="s">
        <v>43</v>
      </c>
      <c r="W275" t="s">
        <v>42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 x14ac:dyDescent="0.35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2</v>
      </c>
      <c r="H276">
        <v>4</v>
      </c>
      <c r="I276" t="s">
        <v>38</v>
      </c>
      <c r="J276" t="s">
        <v>28</v>
      </c>
      <c r="K276" t="s">
        <v>51</v>
      </c>
      <c r="L276" t="s">
        <v>41</v>
      </c>
      <c r="M276">
        <v>2</v>
      </c>
      <c r="N276">
        <v>2</v>
      </c>
      <c r="O276">
        <v>0</v>
      </c>
      <c r="P276" t="s">
        <v>43</v>
      </c>
      <c r="Q276" t="s">
        <v>42</v>
      </c>
      <c r="R276" t="s">
        <v>42</v>
      </c>
      <c r="S276" t="s">
        <v>43</v>
      </c>
      <c r="T276" t="s">
        <v>42</v>
      </c>
      <c r="U276" t="s">
        <v>42</v>
      </c>
      <c r="V276" t="s">
        <v>42</v>
      </c>
      <c r="W276" t="s">
        <v>42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 x14ac:dyDescent="0.35">
      <c r="A277" t="s">
        <v>33</v>
      </c>
      <c r="B277" t="s">
        <v>34</v>
      </c>
      <c r="C277">
        <v>17</v>
      </c>
      <c r="D277" t="s">
        <v>35</v>
      </c>
      <c r="E277" t="s">
        <v>47</v>
      </c>
      <c r="F277" t="s">
        <v>44</v>
      </c>
      <c r="G277">
        <v>2</v>
      </c>
      <c r="H277">
        <v>2</v>
      </c>
      <c r="I277" t="s">
        <v>48</v>
      </c>
      <c r="J277" t="s">
        <v>45</v>
      </c>
      <c r="K277" t="s">
        <v>40</v>
      </c>
      <c r="L277" t="s">
        <v>41</v>
      </c>
      <c r="M277">
        <v>2</v>
      </c>
      <c r="N277">
        <v>2</v>
      </c>
      <c r="O277">
        <v>0</v>
      </c>
      <c r="P277" t="s">
        <v>42</v>
      </c>
      <c r="Q277" t="s">
        <v>42</v>
      </c>
      <c r="R277" t="s">
        <v>42</v>
      </c>
      <c r="S277" t="s">
        <v>43</v>
      </c>
      <c r="T277" t="s">
        <v>42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 x14ac:dyDescent="0.35">
      <c r="A278" t="s">
        <v>33</v>
      </c>
      <c r="B278" t="s">
        <v>34</v>
      </c>
      <c r="C278">
        <v>18</v>
      </c>
      <c r="D278" t="s">
        <v>52</v>
      </c>
      <c r="E278" t="s">
        <v>36</v>
      </c>
      <c r="F278" t="s">
        <v>37</v>
      </c>
      <c r="G278">
        <v>3</v>
      </c>
      <c r="H278">
        <v>2</v>
      </c>
      <c r="I278" t="s">
        <v>45</v>
      </c>
      <c r="J278" t="s">
        <v>48</v>
      </c>
      <c r="K278" t="s">
        <v>49</v>
      </c>
      <c r="L278" t="s">
        <v>41</v>
      </c>
      <c r="M278">
        <v>2</v>
      </c>
      <c r="N278">
        <v>2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42</v>
      </c>
      <c r="W278" t="s">
        <v>42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 x14ac:dyDescent="0.35">
      <c r="A279" t="s">
        <v>33</v>
      </c>
      <c r="B279" t="s">
        <v>50</v>
      </c>
      <c r="C279">
        <v>18</v>
      </c>
      <c r="D279" t="s">
        <v>35</v>
      </c>
      <c r="E279" t="s">
        <v>36</v>
      </c>
      <c r="F279" t="s">
        <v>44</v>
      </c>
      <c r="G279">
        <v>4</v>
      </c>
      <c r="H279">
        <v>4</v>
      </c>
      <c r="I279" t="s">
        <v>39</v>
      </c>
      <c r="J279" t="s">
        <v>48</v>
      </c>
      <c r="K279" t="s">
        <v>49</v>
      </c>
      <c r="L279" t="s">
        <v>41</v>
      </c>
      <c r="M279">
        <v>2</v>
      </c>
      <c r="N279">
        <v>1</v>
      </c>
      <c r="O279">
        <v>0</v>
      </c>
      <c r="P279" t="s">
        <v>43</v>
      </c>
      <c r="Q279" t="s">
        <v>43</v>
      </c>
      <c r="R279" t="s">
        <v>42</v>
      </c>
      <c r="S279" t="s">
        <v>42</v>
      </c>
      <c r="T279" t="s">
        <v>42</v>
      </c>
      <c r="U279" t="s">
        <v>42</v>
      </c>
      <c r="V279" t="s">
        <v>42</v>
      </c>
      <c r="W279" t="s">
        <v>43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 x14ac:dyDescent="0.35">
      <c r="A280" t="s">
        <v>33</v>
      </c>
      <c r="B280" t="s">
        <v>34</v>
      </c>
      <c r="C280">
        <v>18</v>
      </c>
      <c r="D280" t="s">
        <v>35</v>
      </c>
      <c r="E280" t="s">
        <v>36</v>
      </c>
      <c r="F280" t="s">
        <v>44</v>
      </c>
      <c r="G280">
        <v>4</v>
      </c>
      <c r="H280">
        <v>4</v>
      </c>
      <c r="I280" t="s">
        <v>28</v>
      </c>
      <c r="J280" t="s">
        <v>28</v>
      </c>
      <c r="K280" t="s">
        <v>51</v>
      </c>
      <c r="L280" t="s">
        <v>46</v>
      </c>
      <c r="M280">
        <v>1</v>
      </c>
      <c r="N280">
        <v>2</v>
      </c>
      <c r="O280">
        <v>1</v>
      </c>
      <c r="P280" t="s">
        <v>42</v>
      </c>
      <c r="Q280" t="s">
        <v>42</v>
      </c>
      <c r="R280" t="s">
        <v>43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 x14ac:dyDescent="0.35">
      <c r="A281" t="s">
        <v>33</v>
      </c>
      <c r="B281" t="s">
        <v>50</v>
      </c>
      <c r="C281">
        <v>18</v>
      </c>
      <c r="D281" t="s">
        <v>35</v>
      </c>
      <c r="E281" t="s">
        <v>47</v>
      </c>
      <c r="F281" t="s">
        <v>44</v>
      </c>
      <c r="G281">
        <v>4</v>
      </c>
      <c r="H281">
        <v>3</v>
      </c>
      <c r="I281" t="s">
        <v>39</v>
      </c>
      <c r="J281" t="s">
        <v>48</v>
      </c>
      <c r="K281" t="s">
        <v>40</v>
      </c>
      <c r="L281" t="s">
        <v>41</v>
      </c>
      <c r="M281">
        <v>2</v>
      </c>
      <c r="N281">
        <v>1</v>
      </c>
      <c r="O281">
        <v>0</v>
      </c>
      <c r="P281" t="s">
        <v>43</v>
      </c>
      <c r="Q281" t="s">
        <v>43</v>
      </c>
      <c r="R281" t="s">
        <v>42</v>
      </c>
      <c r="S281" t="s">
        <v>42</v>
      </c>
      <c r="T281" t="s">
        <v>42</v>
      </c>
      <c r="U281" t="s">
        <v>42</v>
      </c>
      <c r="V281" t="s">
        <v>42</v>
      </c>
      <c r="W281" t="s">
        <v>43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 x14ac:dyDescent="0.35">
      <c r="A282" t="s">
        <v>33</v>
      </c>
      <c r="B282" t="s">
        <v>50</v>
      </c>
      <c r="C282">
        <v>17</v>
      </c>
      <c r="D282" t="s">
        <v>35</v>
      </c>
      <c r="E282" t="s">
        <v>47</v>
      </c>
      <c r="F282" t="s">
        <v>37</v>
      </c>
      <c r="G282">
        <v>4</v>
      </c>
      <c r="H282">
        <v>1</v>
      </c>
      <c r="I282" t="s">
        <v>48</v>
      </c>
      <c r="J282" t="s">
        <v>45</v>
      </c>
      <c r="K282" t="s">
        <v>49</v>
      </c>
      <c r="L282" t="s">
        <v>41</v>
      </c>
      <c r="M282">
        <v>2</v>
      </c>
      <c r="N282">
        <v>1</v>
      </c>
      <c r="O282">
        <v>0</v>
      </c>
      <c r="P282" t="s">
        <v>43</v>
      </c>
      <c r="Q282" t="s">
        <v>43</v>
      </c>
      <c r="R282" t="s">
        <v>42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 x14ac:dyDescent="0.35">
      <c r="A283" t="s">
        <v>33</v>
      </c>
      <c r="B283" t="s">
        <v>50</v>
      </c>
      <c r="C283">
        <v>17</v>
      </c>
      <c r="D283" t="s">
        <v>35</v>
      </c>
      <c r="E283" t="s">
        <v>47</v>
      </c>
      <c r="F283" t="s">
        <v>37</v>
      </c>
      <c r="G283">
        <v>3</v>
      </c>
      <c r="H283">
        <v>2</v>
      </c>
      <c r="I283" t="s">
        <v>39</v>
      </c>
      <c r="J283" t="s">
        <v>48</v>
      </c>
      <c r="K283" t="s">
        <v>49</v>
      </c>
      <c r="L283" t="s">
        <v>41</v>
      </c>
      <c r="M283">
        <v>1</v>
      </c>
      <c r="N283">
        <v>1</v>
      </c>
      <c r="O283">
        <v>1</v>
      </c>
      <c r="P283" t="s">
        <v>43</v>
      </c>
      <c r="Q283" t="s">
        <v>43</v>
      </c>
      <c r="R283" t="s">
        <v>43</v>
      </c>
      <c r="S283" t="s">
        <v>43</v>
      </c>
      <c r="T283" t="s">
        <v>42</v>
      </c>
      <c r="U283" t="s">
        <v>42</v>
      </c>
      <c r="V283" t="s">
        <v>42</v>
      </c>
      <c r="W283" t="s">
        <v>43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 x14ac:dyDescent="0.35">
      <c r="A284" t="s">
        <v>33</v>
      </c>
      <c r="B284" t="s">
        <v>34</v>
      </c>
      <c r="C284">
        <v>18</v>
      </c>
      <c r="D284" t="s">
        <v>52</v>
      </c>
      <c r="E284" t="s">
        <v>47</v>
      </c>
      <c r="F284" t="s">
        <v>44</v>
      </c>
      <c r="G284">
        <v>1</v>
      </c>
      <c r="H284">
        <v>1</v>
      </c>
      <c r="I284" t="s">
        <v>38</v>
      </c>
      <c r="J284" t="s">
        <v>45</v>
      </c>
      <c r="K284" t="s">
        <v>51</v>
      </c>
      <c r="L284" t="s">
        <v>41</v>
      </c>
      <c r="M284">
        <v>2</v>
      </c>
      <c r="N284">
        <v>4</v>
      </c>
      <c r="O284">
        <v>0</v>
      </c>
      <c r="P284" t="s">
        <v>43</v>
      </c>
      <c r="Q284" t="s">
        <v>42</v>
      </c>
      <c r="R284" t="s">
        <v>42</v>
      </c>
      <c r="S284" t="s">
        <v>42</v>
      </c>
      <c r="T284" t="s">
        <v>42</v>
      </c>
      <c r="U284" t="s">
        <v>42</v>
      </c>
      <c r="V284" t="s">
        <v>43</v>
      </c>
      <c r="W284" t="s">
        <v>43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 x14ac:dyDescent="0.35">
      <c r="A285" t="s">
        <v>33</v>
      </c>
      <c r="B285" t="s">
        <v>34</v>
      </c>
      <c r="C285">
        <v>18</v>
      </c>
      <c r="D285" t="s">
        <v>35</v>
      </c>
      <c r="E285" t="s">
        <v>36</v>
      </c>
      <c r="F285" t="s">
        <v>44</v>
      </c>
      <c r="G285">
        <v>1</v>
      </c>
      <c r="H285">
        <v>1</v>
      </c>
      <c r="I285" t="s">
        <v>45</v>
      </c>
      <c r="J285" t="s">
        <v>45</v>
      </c>
      <c r="K285" t="s">
        <v>49</v>
      </c>
      <c r="L285" t="s">
        <v>41</v>
      </c>
      <c r="M285">
        <v>2</v>
      </c>
      <c r="N285">
        <v>2</v>
      </c>
      <c r="O285">
        <v>0</v>
      </c>
      <c r="P285" t="s">
        <v>42</v>
      </c>
      <c r="Q285" t="s">
        <v>43</v>
      </c>
      <c r="R285" t="s">
        <v>43</v>
      </c>
      <c r="S285" t="s">
        <v>42</v>
      </c>
      <c r="T285" t="s">
        <v>42</v>
      </c>
      <c r="U285" t="s">
        <v>42</v>
      </c>
      <c r="V285" t="s">
        <v>42</v>
      </c>
      <c r="W285" t="s">
        <v>43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 x14ac:dyDescent="0.35">
      <c r="A286" t="s">
        <v>33</v>
      </c>
      <c r="B286" t="s">
        <v>34</v>
      </c>
      <c r="C286">
        <v>17</v>
      </c>
      <c r="D286" t="s">
        <v>35</v>
      </c>
      <c r="E286" t="s">
        <v>36</v>
      </c>
      <c r="F286" t="s">
        <v>44</v>
      </c>
      <c r="G286">
        <v>2</v>
      </c>
      <c r="H286">
        <v>2</v>
      </c>
      <c r="I286" t="s">
        <v>45</v>
      </c>
      <c r="J286" t="s">
        <v>45</v>
      </c>
      <c r="K286" t="s">
        <v>40</v>
      </c>
      <c r="L286" t="s">
        <v>41</v>
      </c>
      <c r="M286">
        <v>1</v>
      </c>
      <c r="N286">
        <v>2</v>
      </c>
      <c r="O286">
        <v>0</v>
      </c>
      <c r="P286" t="s">
        <v>43</v>
      </c>
      <c r="Q286" t="s">
        <v>42</v>
      </c>
      <c r="R286" t="s">
        <v>43</v>
      </c>
      <c r="S286" t="s">
        <v>43</v>
      </c>
      <c r="T286" t="s">
        <v>43</v>
      </c>
      <c r="U286" t="s">
        <v>42</v>
      </c>
      <c r="V286" t="s">
        <v>42</v>
      </c>
      <c r="W286" t="s">
        <v>43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 x14ac:dyDescent="0.35">
      <c r="A287" t="s">
        <v>33</v>
      </c>
      <c r="B287" t="s">
        <v>50</v>
      </c>
      <c r="C287">
        <v>17</v>
      </c>
      <c r="D287" t="s">
        <v>35</v>
      </c>
      <c r="E287" t="s">
        <v>36</v>
      </c>
      <c r="F287" t="s">
        <v>44</v>
      </c>
      <c r="G287">
        <v>1</v>
      </c>
      <c r="H287">
        <v>1</v>
      </c>
      <c r="I287" t="s">
        <v>45</v>
      </c>
      <c r="J287" t="s">
        <v>45</v>
      </c>
      <c r="K287" t="s">
        <v>51</v>
      </c>
      <c r="L287" t="s">
        <v>46</v>
      </c>
      <c r="M287">
        <v>1</v>
      </c>
      <c r="N287">
        <v>2</v>
      </c>
      <c r="O287">
        <v>0</v>
      </c>
      <c r="P287" t="s">
        <v>43</v>
      </c>
      <c r="Q287" t="s">
        <v>43</v>
      </c>
      <c r="R287" t="s">
        <v>42</v>
      </c>
      <c r="S287" t="s">
        <v>43</v>
      </c>
      <c r="T287" t="s">
        <v>43</v>
      </c>
      <c r="U287" t="s">
        <v>42</v>
      </c>
      <c r="V287" t="s">
        <v>42</v>
      </c>
      <c r="W287" t="s">
        <v>43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 x14ac:dyDescent="0.35">
      <c r="A288" t="s">
        <v>33</v>
      </c>
      <c r="B288" t="s">
        <v>34</v>
      </c>
      <c r="C288">
        <v>18</v>
      </c>
      <c r="D288" t="s">
        <v>35</v>
      </c>
      <c r="E288" t="s">
        <v>36</v>
      </c>
      <c r="F288" t="s">
        <v>44</v>
      </c>
      <c r="G288">
        <v>2</v>
      </c>
      <c r="H288">
        <v>2</v>
      </c>
      <c r="I288" t="s">
        <v>38</v>
      </c>
      <c r="J288" t="s">
        <v>38</v>
      </c>
      <c r="K288" t="s">
        <v>45</v>
      </c>
      <c r="L288" t="s">
        <v>41</v>
      </c>
      <c r="M288">
        <v>1</v>
      </c>
      <c r="N288">
        <v>3</v>
      </c>
      <c r="O288">
        <v>0</v>
      </c>
      <c r="P288" t="s">
        <v>43</v>
      </c>
      <c r="Q288" t="s">
        <v>42</v>
      </c>
      <c r="R288" t="s">
        <v>42</v>
      </c>
      <c r="S288" t="s">
        <v>43</v>
      </c>
      <c r="T288" t="s">
        <v>42</v>
      </c>
      <c r="U288" t="s">
        <v>42</v>
      </c>
      <c r="V288" t="s">
        <v>42</v>
      </c>
      <c r="W288" t="s">
        <v>43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 x14ac:dyDescent="0.35">
      <c r="A289" t="s">
        <v>33</v>
      </c>
      <c r="B289" t="s">
        <v>34</v>
      </c>
      <c r="C289">
        <v>17</v>
      </c>
      <c r="D289" t="s">
        <v>35</v>
      </c>
      <c r="E289" t="s">
        <v>36</v>
      </c>
      <c r="F289" t="s">
        <v>44</v>
      </c>
      <c r="G289">
        <v>1</v>
      </c>
      <c r="H289">
        <v>1</v>
      </c>
      <c r="I289" t="s">
        <v>48</v>
      </c>
      <c r="J289" t="s">
        <v>39</v>
      </c>
      <c r="K289" t="s">
        <v>51</v>
      </c>
      <c r="L289" t="s">
        <v>41</v>
      </c>
      <c r="M289">
        <v>1</v>
      </c>
      <c r="N289">
        <v>3</v>
      </c>
      <c r="O289">
        <v>0</v>
      </c>
      <c r="P289" t="s">
        <v>43</v>
      </c>
      <c r="Q289" t="s">
        <v>42</v>
      </c>
      <c r="R289" t="s">
        <v>42</v>
      </c>
      <c r="S289" t="s">
        <v>43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 x14ac:dyDescent="0.35">
      <c r="A290" t="s">
        <v>33</v>
      </c>
      <c r="B290" t="s">
        <v>50</v>
      </c>
      <c r="C290">
        <v>18</v>
      </c>
      <c r="D290" t="s">
        <v>35</v>
      </c>
      <c r="E290" t="s">
        <v>36</v>
      </c>
      <c r="F290" t="s">
        <v>44</v>
      </c>
      <c r="G290">
        <v>2</v>
      </c>
      <c r="H290">
        <v>1</v>
      </c>
      <c r="I290" t="s">
        <v>48</v>
      </c>
      <c r="J290" t="s">
        <v>48</v>
      </c>
      <c r="K290" t="s">
        <v>51</v>
      </c>
      <c r="L290" t="s">
        <v>41</v>
      </c>
      <c r="M290">
        <v>1</v>
      </c>
      <c r="N290">
        <v>3</v>
      </c>
      <c r="O290">
        <v>0</v>
      </c>
      <c r="P290" t="s">
        <v>43</v>
      </c>
      <c r="Q290" t="s">
        <v>43</v>
      </c>
      <c r="R290" t="s">
        <v>42</v>
      </c>
      <c r="S290" t="s">
        <v>42</v>
      </c>
      <c r="T290" t="s">
        <v>42</v>
      </c>
      <c r="U290" t="s">
        <v>42</v>
      </c>
      <c r="V290" t="s">
        <v>42</v>
      </c>
      <c r="W290" t="s">
        <v>43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 x14ac:dyDescent="0.35">
      <c r="A291" t="s">
        <v>33</v>
      </c>
      <c r="B291" t="s">
        <v>50</v>
      </c>
      <c r="C291">
        <v>18</v>
      </c>
      <c r="D291" t="s">
        <v>35</v>
      </c>
      <c r="E291" t="s">
        <v>47</v>
      </c>
      <c r="F291" t="s">
        <v>37</v>
      </c>
      <c r="G291">
        <v>4</v>
      </c>
      <c r="H291">
        <v>4</v>
      </c>
      <c r="I291" t="s">
        <v>39</v>
      </c>
      <c r="J291" t="s">
        <v>39</v>
      </c>
      <c r="K291" t="s">
        <v>51</v>
      </c>
      <c r="L291" t="s">
        <v>41</v>
      </c>
      <c r="M291">
        <v>1</v>
      </c>
      <c r="N291">
        <v>2</v>
      </c>
      <c r="O291">
        <v>0</v>
      </c>
      <c r="P291" t="s">
        <v>43</v>
      </c>
      <c r="Q291" t="s">
        <v>42</v>
      </c>
      <c r="R291" t="s">
        <v>42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 x14ac:dyDescent="0.35">
      <c r="A292" t="s">
        <v>33</v>
      </c>
      <c r="B292" t="s">
        <v>50</v>
      </c>
      <c r="C292">
        <v>18</v>
      </c>
      <c r="D292" t="s">
        <v>35</v>
      </c>
      <c r="E292" t="s">
        <v>36</v>
      </c>
      <c r="F292" t="s">
        <v>44</v>
      </c>
      <c r="G292">
        <v>4</v>
      </c>
      <c r="H292">
        <v>2</v>
      </c>
      <c r="I292" t="s">
        <v>39</v>
      </c>
      <c r="J292" t="s">
        <v>45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42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 x14ac:dyDescent="0.35">
      <c r="A293" t="s">
        <v>33</v>
      </c>
      <c r="B293" t="s">
        <v>34</v>
      </c>
      <c r="C293">
        <v>17</v>
      </c>
      <c r="D293" t="s">
        <v>35</v>
      </c>
      <c r="E293" t="s">
        <v>36</v>
      </c>
      <c r="F293" t="s">
        <v>44</v>
      </c>
      <c r="G293">
        <v>4</v>
      </c>
      <c r="H293">
        <v>3</v>
      </c>
      <c r="I293" t="s">
        <v>28</v>
      </c>
      <c r="J293" t="s">
        <v>48</v>
      </c>
      <c r="K293" t="s">
        <v>51</v>
      </c>
      <c r="L293" t="s">
        <v>41</v>
      </c>
      <c r="M293">
        <v>1</v>
      </c>
      <c r="N293">
        <v>3</v>
      </c>
      <c r="O293">
        <v>0</v>
      </c>
      <c r="P293" t="s">
        <v>43</v>
      </c>
      <c r="Q293" t="s">
        <v>42</v>
      </c>
      <c r="R293" t="s">
        <v>42</v>
      </c>
      <c r="S293" t="s">
        <v>43</v>
      </c>
      <c r="T293" t="s">
        <v>42</v>
      </c>
      <c r="U293" t="s">
        <v>42</v>
      </c>
      <c r="V293" t="s">
        <v>42</v>
      </c>
      <c r="W293" t="s">
        <v>43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 x14ac:dyDescent="0.35">
      <c r="A294" t="s">
        <v>33</v>
      </c>
      <c r="B294" t="s">
        <v>34</v>
      </c>
      <c r="C294">
        <v>18</v>
      </c>
      <c r="D294" t="s">
        <v>35</v>
      </c>
      <c r="E294" t="s">
        <v>47</v>
      </c>
      <c r="F294" t="s">
        <v>44</v>
      </c>
      <c r="G294">
        <v>2</v>
      </c>
      <c r="H294">
        <v>1</v>
      </c>
      <c r="I294" t="s">
        <v>48</v>
      </c>
      <c r="J294" t="s">
        <v>38</v>
      </c>
      <c r="K294" t="s">
        <v>51</v>
      </c>
      <c r="L294" t="s">
        <v>41</v>
      </c>
      <c r="M294">
        <v>1</v>
      </c>
      <c r="N294">
        <v>2</v>
      </c>
      <c r="O294">
        <v>1</v>
      </c>
      <c r="P294" t="s">
        <v>43</v>
      </c>
      <c r="Q294" t="s">
        <v>43</v>
      </c>
      <c r="R294" t="s">
        <v>43</v>
      </c>
      <c r="S294" t="s">
        <v>43</v>
      </c>
      <c r="T294" t="s">
        <v>42</v>
      </c>
      <c r="U294" t="s">
        <v>42</v>
      </c>
      <c r="V294" t="s">
        <v>42</v>
      </c>
      <c r="W294" t="s">
        <v>42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 x14ac:dyDescent="0.35">
      <c r="A295" t="s">
        <v>33</v>
      </c>
      <c r="B295" t="s">
        <v>34</v>
      </c>
      <c r="C295">
        <v>17</v>
      </c>
      <c r="D295" t="s">
        <v>52</v>
      </c>
      <c r="E295" t="s">
        <v>47</v>
      </c>
      <c r="F295" t="s">
        <v>44</v>
      </c>
      <c r="G295">
        <v>3</v>
      </c>
      <c r="H295">
        <v>1</v>
      </c>
      <c r="I295" t="s">
        <v>48</v>
      </c>
      <c r="J295" t="s">
        <v>45</v>
      </c>
      <c r="K295" t="s">
        <v>51</v>
      </c>
      <c r="L295" t="s">
        <v>41</v>
      </c>
      <c r="M295">
        <v>2</v>
      </c>
      <c r="N295">
        <v>4</v>
      </c>
      <c r="O295">
        <v>0</v>
      </c>
      <c r="P295" t="s">
        <v>43</v>
      </c>
      <c r="Q295" t="s">
        <v>42</v>
      </c>
      <c r="R295" t="s">
        <v>42</v>
      </c>
      <c r="S295" t="s">
        <v>43</v>
      </c>
      <c r="T295" t="s">
        <v>42</v>
      </c>
      <c r="U295" t="s">
        <v>42</v>
      </c>
      <c r="V295" t="s">
        <v>43</v>
      </c>
      <c r="W295" t="s">
        <v>43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 x14ac:dyDescent="0.35">
      <c r="A296" t="s">
        <v>33</v>
      </c>
      <c r="B296" t="s">
        <v>50</v>
      </c>
      <c r="C296">
        <v>18</v>
      </c>
      <c r="D296" t="s">
        <v>52</v>
      </c>
      <c r="E296" t="s">
        <v>47</v>
      </c>
      <c r="F296" t="s">
        <v>44</v>
      </c>
      <c r="G296">
        <v>3</v>
      </c>
      <c r="H296">
        <v>2</v>
      </c>
      <c r="I296" t="s">
        <v>48</v>
      </c>
      <c r="J296" t="s">
        <v>45</v>
      </c>
      <c r="K296" t="s">
        <v>51</v>
      </c>
      <c r="L296" t="s">
        <v>41</v>
      </c>
      <c r="M296">
        <v>2</v>
      </c>
      <c r="N296">
        <v>3</v>
      </c>
      <c r="O296">
        <v>0</v>
      </c>
      <c r="P296" t="s">
        <v>43</v>
      </c>
      <c r="Q296" t="s">
        <v>42</v>
      </c>
      <c r="R296" t="s">
        <v>42</v>
      </c>
      <c r="S296" t="s">
        <v>42</v>
      </c>
      <c r="T296" t="s">
        <v>42</v>
      </c>
      <c r="U296" t="s">
        <v>42</v>
      </c>
      <c r="V296" t="s">
        <v>42</v>
      </c>
      <c r="W296" t="s">
        <v>43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 x14ac:dyDescent="0.35">
      <c r="A297" t="s">
        <v>33</v>
      </c>
      <c r="B297" t="s">
        <v>50</v>
      </c>
      <c r="C297">
        <v>17</v>
      </c>
      <c r="D297" t="s">
        <v>35</v>
      </c>
      <c r="E297" t="s">
        <v>36</v>
      </c>
      <c r="F297" t="s">
        <v>44</v>
      </c>
      <c r="G297">
        <v>3</v>
      </c>
      <c r="H297">
        <v>3</v>
      </c>
      <c r="I297" t="s">
        <v>28</v>
      </c>
      <c r="J297" t="s">
        <v>45</v>
      </c>
      <c r="K297" t="s">
        <v>49</v>
      </c>
      <c r="L297" t="s">
        <v>41</v>
      </c>
      <c r="M297">
        <v>1</v>
      </c>
      <c r="N297">
        <v>1</v>
      </c>
      <c r="O297">
        <v>0</v>
      </c>
      <c r="P297" t="s">
        <v>43</v>
      </c>
      <c r="Q297" t="s">
        <v>42</v>
      </c>
      <c r="R297" t="s">
        <v>42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 x14ac:dyDescent="0.35">
      <c r="A298" t="s">
        <v>33</v>
      </c>
      <c r="B298" t="s">
        <v>34</v>
      </c>
      <c r="C298">
        <v>19</v>
      </c>
      <c r="D298" t="s">
        <v>35</v>
      </c>
      <c r="E298" t="s">
        <v>36</v>
      </c>
      <c r="F298" t="s">
        <v>44</v>
      </c>
      <c r="G298">
        <v>4</v>
      </c>
      <c r="H298">
        <v>4</v>
      </c>
      <c r="I298" t="s">
        <v>28</v>
      </c>
      <c r="J298" t="s">
        <v>45</v>
      </c>
      <c r="K298" t="s">
        <v>51</v>
      </c>
      <c r="L298" t="s">
        <v>45</v>
      </c>
      <c r="M298">
        <v>2</v>
      </c>
      <c r="N298">
        <v>2</v>
      </c>
      <c r="O298">
        <v>0</v>
      </c>
      <c r="P298" t="s">
        <v>43</v>
      </c>
      <c r="Q298" t="s">
        <v>42</v>
      </c>
      <c r="R298" t="s">
        <v>42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 x14ac:dyDescent="0.35">
      <c r="A299" t="s">
        <v>33</v>
      </c>
      <c r="B299" t="s">
        <v>34</v>
      </c>
      <c r="C299">
        <v>18</v>
      </c>
      <c r="D299" t="s">
        <v>35</v>
      </c>
      <c r="E299" t="s">
        <v>47</v>
      </c>
      <c r="F299" t="s">
        <v>44</v>
      </c>
      <c r="G299">
        <v>4</v>
      </c>
      <c r="H299">
        <v>3</v>
      </c>
      <c r="I299" t="s">
        <v>45</v>
      </c>
      <c r="J299" t="s">
        <v>45</v>
      </c>
      <c r="K299" t="s">
        <v>49</v>
      </c>
      <c r="L299" t="s">
        <v>45</v>
      </c>
      <c r="M299">
        <v>2</v>
      </c>
      <c r="N299">
        <v>2</v>
      </c>
      <c r="O299">
        <v>0</v>
      </c>
      <c r="P299" t="s">
        <v>43</v>
      </c>
      <c r="Q299" t="s">
        <v>42</v>
      </c>
      <c r="R299" t="s">
        <v>42</v>
      </c>
      <c r="S299" t="s">
        <v>43</v>
      </c>
      <c r="T299" t="s">
        <v>42</v>
      </c>
      <c r="U299" t="s">
        <v>42</v>
      </c>
      <c r="V299" t="s">
        <v>42</v>
      </c>
      <c r="W299" t="s">
        <v>42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 x14ac:dyDescent="0.35">
      <c r="A300" t="s">
        <v>33</v>
      </c>
      <c r="B300" t="s">
        <v>34</v>
      </c>
      <c r="C300">
        <v>18</v>
      </c>
      <c r="D300" t="s">
        <v>35</v>
      </c>
      <c r="E300" t="s">
        <v>36</v>
      </c>
      <c r="F300" t="s">
        <v>44</v>
      </c>
      <c r="G300">
        <v>4</v>
      </c>
      <c r="H300">
        <v>3</v>
      </c>
      <c r="I300" t="s">
        <v>45</v>
      </c>
      <c r="J300" t="s">
        <v>45</v>
      </c>
      <c r="K300" t="s">
        <v>51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42</v>
      </c>
      <c r="R300" t="s">
        <v>42</v>
      </c>
      <c r="S300" t="s">
        <v>43</v>
      </c>
      <c r="T300" t="s">
        <v>42</v>
      </c>
      <c r="U300" t="s">
        <v>42</v>
      </c>
      <c r="V300" t="s">
        <v>42</v>
      </c>
      <c r="W300" t="s">
        <v>43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 x14ac:dyDescent="0.35">
      <c r="A301" t="s">
        <v>33</v>
      </c>
      <c r="B301" t="s">
        <v>50</v>
      </c>
      <c r="C301">
        <v>18</v>
      </c>
      <c r="D301" t="s">
        <v>35</v>
      </c>
      <c r="E301" t="s">
        <v>47</v>
      </c>
      <c r="F301" t="s">
        <v>44</v>
      </c>
      <c r="G301">
        <v>4</v>
      </c>
      <c r="H301">
        <v>4</v>
      </c>
      <c r="I301" t="s">
        <v>39</v>
      </c>
      <c r="J301" t="s">
        <v>39</v>
      </c>
      <c r="K301" t="s">
        <v>49</v>
      </c>
      <c r="L301" t="s">
        <v>41</v>
      </c>
      <c r="M301">
        <v>1</v>
      </c>
      <c r="N301">
        <v>1</v>
      </c>
      <c r="O301">
        <v>0</v>
      </c>
      <c r="P301" t="s">
        <v>43</v>
      </c>
      <c r="Q301" t="s">
        <v>42</v>
      </c>
      <c r="R301" t="s">
        <v>42</v>
      </c>
      <c r="S301" t="s">
        <v>43</v>
      </c>
      <c r="T301" t="s">
        <v>42</v>
      </c>
      <c r="U301" t="s">
        <v>42</v>
      </c>
      <c r="V301" t="s">
        <v>42</v>
      </c>
      <c r="W301" t="s">
        <v>42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 x14ac:dyDescent="0.35">
      <c r="A302" t="s">
        <v>33</v>
      </c>
      <c r="B302" t="s">
        <v>34</v>
      </c>
      <c r="C302">
        <v>18</v>
      </c>
      <c r="D302" t="s">
        <v>35</v>
      </c>
      <c r="E302" t="s">
        <v>47</v>
      </c>
      <c r="F302" t="s">
        <v>37</v>
      </c>
      <c r="G302">
        <v>4</v>
      </c>
      <c r="H302">
        <v>4</v>
      </c>
      <c r="I302" t="s">
        <v>28</v>
      </c>
      <c r="J302" t="s">
        <v>45</v>
      </c>
      <c r="K302" t="s">
        <v>49</v>
      </c>
      <c r="L302" t="s">
        <v>41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 x14ac:dyDescent="0.35">
      <c r="A303" t="s">
        <v>33</v>
      </c>
      <c r="B303" t="s">
        <v>50</v>
      </c>
      <c r="C303">
        <v>17</v>
      </c>
      <c r="D303" t="s">
        <v>35</v>
      </c>
      <c r="E303" t="s">
        <v>47</v>
      </c>
      <c r="F303" t="s">
        <v>44</v>
      </c>
      <c r="G303">
        <v>4</v>
      </c>
      <c r="H303">
        <v>4</v>
      </c>
      <c r="I303" t="s">
        <v>45</v>
      </c>
      <c r="J303" t="s">
        <v>39</v>
      </c>
      <c r="K303" t="s">
        <v>49</v>
      </c>
      <c r="L303" t="s">
        <v>46</v>
      </c>
      <c r="M303">
        <v>2</v>
      </c>
      <c r="N303">
        <v>1</v>
      </c>
      <c r="O303">
        <v>0</v>
      </c>
      <c r="P303" t="s">
        <v>43</v>
      </c>
      <c r="Q303" t="s">
        <v>43</v>
      </c>
      <c r="R303" t="s">
        <v>42</v>
      </c>
      <c r="S303" t="s">
        <v>43</v>
      </c>
      <c r="T303" t="s">
        <v>42</v>
      </c>
      <c r="U303" t="s">
        <v>42</v>
      </c>
      <c r="V303" t="s">
        <v>42</v>
      </c>
      <c r="W303" t="s">
        <v>43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 x14ac:dyDescent="0.35">
      <c r="A304" t="s">
        <v>33</v>
      </c>
      <c r="B304" t="s">
        <v>34</v>
      </c>
      <c r="C304">
        <v>17</v>
      </c>
      <c r="D304" t="s">
        <v>35</v>
      </c>
      <c r="E304" t="s">
        <v>36</v>
      </c>
      <c r="F304" t="s">
        <v>44</v>
      </c>
      <c r="G304">
        <v>4</v>
      </c>
      <c r="H304">
        <v>2</v>
      </c>
      <c r="I304" t="s">
        <v>45</v>
      </c>
      <c r="J304" t="s">
        <v>45</v>
      </c>
      <c r="K304" t="s">
        <v>51</v>
      </c>
      <c r="L304" t="s">
        <v>41</v>
      </c>
      <c r="M304">
        <v>2</v>
      </c>
      <c r="N304">
        <v>3</v>
      </c>
      <c r="O304">
        <v>0</v>
      </c>
      <c r="P304" t="s">
        <v>43</v>
      </c>
      <c r="Q304" t="s">
        <v>42</v>
      </c>
      <c r="R304" t="s">
        <v>42</v>
      </c>
      <c r="S304" t="s">
        <v>43</v>
      </c>
      <c r="T304" t="s">
        <v>42</v>
      </c>
      <c r="U304" t="s">
        <v>42</v>
      </c>
      <c r="V304" t="s">
        <v>42</v>
      </c>
      <c r="W304" t="s">
        <v>43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 x14ac:dyDescent="0.35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2</v>
      </c>
      <c r="I305" t="s">
        <v>28</v>
      </c>
      <c r="J305" t="s">
        <v>28</v>
      </c>
      <c r="K305" t="s">
        <v>51</v>
      </c>
      <c r="L305" t="s">
        <v>46</v>
      </c>
      <c r="M305">
        <v>1</v>
      </c>
      <c r="N305">
        <v>4</v>
      </c>
      <c r="O305">
        <v>0</v>
      </c>
      <c r="P305" t="s">
        <v>43</v>
      </c>
      <c r="Q305" t="s">
        <v>42</v>
      </c>
      <c r="R305" t="s">
        <v>42</v>
      </c>
      <c r="S305" t="s">
        <v>42</v>
      </c>
      <c r="T305" t="s">
        <v>43</v>
      </c>
      <c r="U305" t="s">
        <v>42</v>
      </c>
      <c r="V305" t="s">
        <v>42</v>
      </c>
      <c r="W305" t="s">
        <v>43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 x14ac:dyDescent="0.35">
      <c r="A306" t="s">
        <v>33</v>
      </c>
      <c r="B306" t="s">
        <v>50</v>
      </c>
      <c r="C306">
        <v>19</v>
      </c>
      <c r="D306" t="s">
        <v>35</v>
      </c>
      <c r="E306" t="s">
        <v>36</v>
      </c>
      <c r="F306" t="s">
        <v>44</v>
      </c>
      <c r="G306">
        <v>3</v>
      </c>
      <c r="H306">
        <v>3</v>
      </c>
      <c r="I306" t="s">
        <v>45</v>
      </c>
      <c r="J306" t="s">
        <v>45</v>
      </c>
      <c r="K306" t="s">
        <v>49</v>
      </c>
      <c r="L306" t="s">
        <v>45</v>
      </c>
      <c r="M306">
        <v>1</v>
      </c>
      <c r="N306">
        <v>2</v>
      </c>
      <c r="O306">
        <v>1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 x14ac:dyDescent="0.35">
      <c r="A307" t="s">
        <v>33</v>
      </c>
      <c r="B307" t="s">
        <v>34</v>
      </c>
      <c r="C307">
        <v>18</v>
      </c>
      <c r="D307" t="s">
        <v>35</v>
      </c>
      <c r="E307" t="s">
        <v>36</v>
      </c>
      <c r="F307" t="s">
        <v>44</v>
      </c>
      <c r="G307">
        <v>2</v>
      </c>
      <c r="H307">
        <v>4</v>
      </c>
      <c r="I307" t="s">
        <v>48</v>
      </c>
      <c r="J307" t="s">
        <v>38</v>
      </c>
      <c r="K307" t="s">
        <v>51</v>
      </c>
      <c r="L307" t="s">
        <v>45</v>
      </c>
      <c r="M307">
        <v>1</v>
      </c>
      <c r="N307">
        <v>2</v>
      </c>
      <c r="O307">
        <v>1</v>
      </c>
      <c r="P307" t="s">
        <v>43</v>
      </c>
      <c r="Q307" t="s">
        <v>42</v>
      </c>
      <c r="R307" t="s">
        <v>42</v>
      </c>
      <c r="S307" t="s">
        <v>42</v>
      </c>
      <c r="T307" t="s">
        <v>42</v>
      </c>
      <c r="U307" t="s">
        <v>42</v>
      </c>
      <c r="V307" t="s">
        <v>42</v>
      </c>
      <c r="W307" t="s">
        <v>43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 x14ac:dyDescent="0.35">
      <c r="A308" t="s">
        <v>33</v>
      </c>
      <c r="B308" t="s">
        <v>50</v>
      </c>
      <c r="C308">
        <v>20</v>
      </c>
      <c r="D308" t="s">
        <v>35</v>
      </c>
      <c r="E308" t="s">
        <v>36</v>
      </c>
      <c r="F308" t="s">
        <v>37</v>
      </c>
      <c r="G308">
        <v>3</v>
      </c>
      <c r="H308">
        <v>2</v>
      </c>
      <c r="I308" t="s">
        <v>48</v>
      </c>
      <c r="J308" t="s">
        <v>45</v>
      </c>
      <c r="K308" t="s">
        <v>40</v>
      </c>
      <c r="L308" t="s">
        <v>45</v>
      </c>
      <c r="M308">
        <v>1</v>
      </c>
      <c r="N308">
        <v>1</v>
      </c>
      <c r="O308">
        <v>0</v>
      </c>
      <c r="P308" t="s">
        <v>43</v>
      </c>
      <c r="Q308" t="s">
        <v>43</v>
      </c>
      <c r="R308" t="s">
        <v>43</v>
      </c>
      <c r="S308" t="s">
        <v>42</v>
      </c>
      <c r="T308" t="s">
        <v>42</v>
      </c>
      <c r="U308" t="s">
        <v>42</v>
      </c>
      <c r="V308" t="s">
        <v>43</v>
      </c>
      <c r="W308" t="s">
        <v>43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 x14ac:dyDescent="0.35">
      <c r="A309" t="s">
        <v>33</v>
      </c>
      <c r="B309" t="s">
        <v>50</v>
      </c>
      <c r="C309">
        <v>19</v>
      </c>
      <c r="D309" t="s">
        <v>35</v>
      </c>
      <c r="E309" t="s">
        <v>36</v>
      </c>
      <c r="F309" t="s">
        <v>44</v>
      </c>
      <c r="G309">
        <v>4</v>
      </c>
      <c r="H309">
        <v>4</v>
      </c>
      <c r="I309" t="s">
        <v>39</v>
      </c>
      <c r="J309" t="s">
        <v>48</v>
      </c>
      <c r="K309" t="s">
        <v>51</v>
      </c>
      <c r="L309" t="s">
        <v>45</v>
      </c>
      <c r="M309">
        <v>2</v>
      </c>
      <c r="N309">
        <v>1</v>
      </c>
      <c r="O309">
        <v>1</v>
      </c>
      <c r="P309" t="s">
        <v>43</v>
      </c>
      <c r="Q309" t="s">
        <v>42</v>
      </c>
      <c r="R309" t="s">
        <v>42</v>
      </c>
      <c r="S309" t="s">
        <v>43</v>
      </c>
      <c r="T309" t="s">
        <v>42</v>
      </c>
      <c r="U309" t="s">
        <v>42</v>
      </c>
      <c r="V309" t="s">
        <v>42</v>
      </c>
      <c r="W309" t="s">
        <v>42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 x14ac:dyDescent="0.35">
      <c r="A310" t="s">
        <v>33</v>
      </c>
      <c r="B310" t="s">
        <v>50</v>
      </c>
      <c r="C310">
        <v>19</v>
      </c>
      <c r="D310" t="s">
        <v>52</v>
      </c>
      <c r="E310" t="s">
        <v>36</v>
      </c>
      <c r="F310" t="s">
        <v>44</v>
      </c>
      <c r="G310">
        <v>3</v>
      </c>
      <c r="H310">
        <v>3</v>
      </c>
      <c r="I310" t="s">
        <v>45</v>
      </c>
      <c r="J310" t="s">
        <v>48</v>
      </c>
      <c r="K310" t="s">
        <v>51</v>
      </c>
      <c r="L310" t="s">
        <v>46</v>
      </c>
      <c r="M310">
        <v>1</v>
      </c>
      <c r="N310">
        <v>2</v>
      </c>
      <c r="O310">
        <v>1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43</v>
      </c>
      <c r="W310" t="s">
        <v>42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 x14ac:dyDescent="0.35">
      <c r="A311" t="s">
        <v>33</v>
      </c>
      <c r="B311" t="s">
        <v>34</v>
      </c>
      <c r="C311">
        <v>19</v>
      </c>
      <c r="D311" t="s">
        <v>35</v>
      </c>
      <c r="E311" t="s">
        <v>47</v>
      </c>
      <c r="F311" t="s">
        <v>44</v>
      </c>
      <c r="G311">
        <v>1</v>
      </c>
      <c r="H311">
        <v>1</v>
      </c>
      <c r="I311" t="s">
        <v>38</v>
      </c>
      <c r="J311" t="s">
        <v>45</v>
      </c>
      <c r="K311" t="s">
        <v>51</v>
      </c>
      <c r="L311" t="s">
        <v>45</v>
      </c>
      <c r="M311">
        <v>1</v>
      </c>
      <c r="N311">
        <v>2</v>
      </c>
      <c r="O311">
        <v>1</v>
      </c>
      <c r="P311" t="s">
        <v>42</v>
      </c>
      <c r="Q311" t="s">
        <v>42</v>
      </c>
      <c r="R311" t="s">
        <v>43</v>
      </c>
      <c r="S311" t="s">
        <v>42</v>
      </c>
      <c r="T311" t="s">
        <v>43</v>
      </c>
      <c r="U311" t="s">
        <v>42</v>
      </c>
      <c r="V311" t="s">
        <v>42</v>
      </c>
      <c r="W311" t="s">
        <v>43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 x14ac:dyDescent="0.35">
      <c r="A312" t="s">
        <v>33</v>
      </c>
      <c r="B312" t="s">
        <v>34</v>
      </c>
      <c r="C312">
        <v>19</v>
      </c>
      <c r="D312" t="s">
        <v>35</v>
      </c>
      <c r="E312" t="s">
        <v>47</v>
      </c>
      <c r="F312" t="s">
        <v>44</v>
      </c>
      <c r="G312">
        <v>1</v>
      </c>
      <c r="H312">
        <v>2</v>
      </c>
      <c r="I312" t="s">
        <v>48</v>
      </c>
      <c r="J312" t="s">
        <v>48</v>
      </c>
      <c r="K312" t="s">
        <v>49</v>
      </c>
      <c r="L312" t="s">
        <v>45</v>
      </c>
      <c r="M312">
        <v>1</v>
      </c>
      <c r="N312">
        <v>2</v>
      </c>
      <c r="O312">
        <v>1</v>
      </c>
      <c r="P312" t="s">
        <v>43</v>
      </c>
      <c r="Q312" t="s">
        <v>43</v>
      </c>
      <c r="R312" t="s">
        <v>43</v>
      </c>
      <c r="S312" t="s">
        <v>42</v>
      </c>
      <c r="T312" t="s">
        <v>43</v>
      </c>
      <c r="U312" t="s">
        <v>42</v>
      </c>
      <c r="V312" t="s">
        <v>43</v>
      </c>
      <c r="W312" t="s">
        <v>42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 x14ac:dyDescent="0.35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2</v>
      </c>
      <c r="H313">
        <v>1</v>
      </c>
      <c r="I313" t="s">
        <v>38</v>
      </c>
      <c r="J313" t="s">
        <v>45</v>
      </c>
      <c r="K313" t="s">
        <v>45</v>
      </c>
      <c r="L313" t="s">
        <v>45</v>
      </c>
      <c r="M313">
        <v>3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43</v>
      </c>
      <c r="T313" t="s">
        <v>42</v>
      </c>
      <c r="U313" t="s">
        <v>43</v>
      </c>
      <c r="V313" t="s">
        <v>42</v>
      </c>
      <c r="W313" t="s">
        <v>42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 x14ac:dyDescent="0.35">
      <c r="A314" t="s">
        <v>33</v>
      </c>
      <c r="B314" t="s">
        <v>50</v>
      </c>
      <c r="C314">
        <v>19</v>
      </c>
      <c r="D314" t="s">
        <v>35</v>
      </c>
      <c r="E314" t="s">
        <v>36</v>
      </c>
      <c r="F314" t="s">
        <v>44</v>
      </c>
      <c r="G314">
        <v>1</v>
      </c>
      <c r="H314">
        <v>2</v>
      </c>
      <c r="I314" t="s">
        <v>45</v>
      </c>
      <c r="J314" t="s">
        <v>48</v>
      </c>
      <c r="K314" t="s">
        <v>40</v>
      </c>
      <c r="L314" t="s">
        <v>45</v>
      </c>
      <c r="M314">
        <v>1</v>
      </c>
      <c r="N314">
        <v>2</v>
      </c>
      <c r="O314">
        <v>1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42</v>
      </c>
      <c r="V314" t="s">
        <v>42</v>
      </c>
      <c r="W314" t="s">
        <v>43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 x14ac:dyDescent="0.35">
      <c r="A315" t="s">
        <v>33</v>
      </c>
      <c r="B315" t="s">
        <v>34</v>
      </c>
      <c r="C315">
        <v>19</v>
      </c>
      <c r="D315" t="s">
        <v>35</v>
      </c>
      <c r="E315" t="s">
        <v>47</v>
      </c>
      <c r="F315" t="s">
        <v>44</v>
      </c>
      <c r="G315">
        <v>3</v>
      </c>
      <c r="H315">
        <v>2</v>
      </c>
      <c r="I315" t="s">
        <v>48</v>
      </c>
      <c r="J315" t="s">
        <v>45</v>
      </c>
      <c r="K315" t="s">
        <v>51</v>
      </c>
      <c r="L315" t="s">
        <v>45</v>
      </c>
      <c r="M315">
        <v>2</v>
      </c>
      <c r="N315">
        <v>2</v>
      </c>
      <c r="O315">
        <v>1</v>
      </c>
      <c r="P315" t="s">
        <v>43</v>
      </c>
      <c r="Q315" t="s">
        <v>42</v>
      </c>
      <c r="R315" t="s">
        <v>42</v>
      </c>
      <c r="S315" t="s">
        <v>43</v>
      </c>
      <c r="T315" t="s">
        <v>43</v>
      </c>
      <c r="U315" t="s">
        <v>42</v>
      </c>
      <c r="V315" t="s">
        <v>42</v>
      </c>
      <c r="W315" t="s">
        <v>42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 x14ac:dyDescent="0.35">
      <c r="A316" t="s">
        <v>33</v>
      </c>
      <c r="B316" t="s">
        <v>34</v>
      </c>
      <c r="C316">
        <v>19</v>
      </c>
      <c r="D316" t="s">
        <v>35</v>
      </c>
      <c r="E316" t="s">
        <v>36</v>
      </c>
      <c r="F316" t="s">
        <v>44</v>
      </c>
      <c r="G316">
        <v>1</v>
      </c>
      <c r="H316">
        <v>1</v>
      </c>
      <c r="I316" t="s">
        <v>38</v>
      </c>
      <c r="J316" t="s">
        <v>28</v>
      </c>
      <c r="K316" t="s">
        <v>49</v>
      </c>
      <c r="L316" t="s">
        <v>45</v>
      </c>
      <c r="M316">
        <v>1</v>
      </c>
      <c r="N316">
        <v>3</v>
      </c>
      <c r="O316">
        <v>2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42</v>
      </c>
      <c r="V316" t="s">
        <v>42</v>
      </c>
      <c r="W316" t="s">
        <v>42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 x14ac:dyDescent="0.35">
      <c r="A317" t="s">
        <v>33</v>
      </c>
      <c r="B317" t="s">
        <v>34</v>
      </c>
      <c r="C317">
        <v>19</v>
      </c>
      <c r="D317" t="s">
        <v>52</v>
      </c>
      <c r="E317" t="s">
        <v>36</v>
      </c>
      <c r="F317" t="s">
        <v>44</v>
      </c>
      <c r="G317">
        <v>2</v>
      </c>
      <c r="H317">
        <v>3</v>
      </c>
      <c r="I317" t="s">
        <v>45</v>
      </c>
      <c r="J317" t="s">
        <v>45</v>
      </c>
      <c r="K317" t="s">
        <v>51</v>
      </c>
      <c r="L317" t="s">
        <v>45</v>
      </c>
      <c r="M317">
        <v>1</v>
      </c>
      <c r="N317">
        <v>3</v>
      </c>
      <c r="O317">
        <v>1</v>
      </c>
      <c r="P317" t="s">
        <v>43</v>
      </c>
      <c r="Q317" t="s">
        <v>43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 x14ac:dyDescent="0.35">
      <c r="A318" t="s">
        <v>33</v>
      </c>
      <c r="B318" t="s">
        <v>34</v>
      </c>
      <c r="C318">
        <v>18</v>
      </c>
      <c r="D318" t="s">
        <v>35</v>
      </c>
      <c r="E318" t="s">
        <v>36</v>
      </c>
      <c r="F318" t="s">
        <v>44</v>
      </c>
      <c r="G318">
        <v>2</v>
      </c>
      <c r="H318">
        <v>1</v>
      </c>
      <c r="I318" t="s">
        <v>48</v>
      </c>
      <c r="J318" t="s">
        <v>45</v>
      </c>
      <c r="K318" t="s">
        <v>40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42</v>
      </c>
      <c r="S318" t="s">
        <v>42</v>
      </c>
      <c r="T318" t="s">
        <v>42</v>
      </c>
      <c r="U318" t="s">
        <v>42</v>
      </c>
      <c r="V318" t="s">
        <v>42</v>
      </c>
      <c r="W318" t="s">
        <v>43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 x14ac:dyDescent="0.35">
      <c r="A319" t="s">
        <v>33</v>
      </c>
      <c r="B319" t="s">
        <v>34</v>
      </c>
      <c r="C319">
        <v>18</v>
      </c>
      <c r="D319" t="s">
        <v>35</v>
      </c>
      <c r="E319" t="s">
        <v>36</v>
      </c>
      <c r="F319" t="s">
        <v>44</v>
      </c>
      <c r="G319">
        <v>4</v>
      </c>
      <c r="H319">
        <v>3</v>
      </c>
      <c r="I319" t="s">
        <v>45</v>
      </c>
      <c r="J319" t="s">
        <v>45</v>
      </c>
      <c r="K319" t="s">
        <v>40</v>
      </c>
      <c r="L319" t="s">
        <v>41</v>
      </c>
      <c r="M319">
        <v>1</v>
      </c>
      <c r="N319">
        <v>3</v>
      </c>
      <c r="O319">
        <v>0</v>
      </c>
      <c r="P319" t="s">
        <v>43</v>
      </c>
      <c r="Q319" t="s">
        <v>42</v>
      </c>
      <c r="R319" t="s">
        <v>42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 x14ac:dyDescent="0.35">
      <c r="A320" t="s">
        <v>33</v>
      </c>
      <c r="B320" t="s">
        <v>34</v>
      </c>
      <c r="C320">
        <v>17</v>
      </c>
      <c r="D320" t="s">
        <v>52</v>
      </c>
      <c r="E320" t="s">
        <v>36</v>
      </c>
      <c r="F320" t="s">
        <v>44</v>
      </c>
      <c r="G320">
        <v>3</v>
      </c>
      <c r="H320">
        <v>4</v>
      </c>
      <c r="I320" t="s">
        <v>38</v>
      </c>
      <c r="J320" t="s">
        <v>48</v>
      </c>
      <c r="K320" t="s">
        <v>40</v>
      </c>
      <c r="L320" t="s">
        <v>46</v>
      </c>
      <c r="M320">
        <v>1</v>
      </c>
      <c r="N320">
        <v>3</v>
      </c>
      <c r="O320">
        <v>0</v>
      </c>
      <c r="P320" t="s">
        <v>43</v>
      </c>
      <c r="Q320" t="s">
        <v>42</v>
      </c>
      <c r="R320" t="s">
        <v>42</v>
      </c>
      <c r="S320" t="s">
        <v>42</v>
      </c>
      <c r="T320" t="s">
        <v>43</v>
      </c>
      <c r="U320" t="s">
        <v>42</v>
      </c>
      <c r="V320" t="s">
        <v>42</v>
      </c>
      <c r="W320" t="s">
        <v>43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 x14ac:dyDescent="0.35">
      <c r="A321" t="s">
        <v>33</v>
      </c>
      <c r="B321" t="s">
        <v>34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45</v>
      </c>
      <c r="K321" t="s">
        <v>40</v>
      </c>
      <c r="L321" t="s">
        <v>41</v>
      </c>
      <c r="M321">
        <v>1</v>
      </c>
      <c r="N321">
        <v>2</v>
      </c>
      <c r="O321">
        <v>0</v>
      </c>
      <c r="P321" t="s">
        <v>43</v>
      </c>
      <c r="Q321" t="s">
        <v>42</v>
      </c>
      <c r="R321" t="s">
        <v>42</v>
      </c>
      <c r="S321" t="s">
        <v>43</v>
      </c>
      <c r="T321" t="s">
        <v>42</v>
      </c>
      <c r="U321" t="s">
        <v>42</v>
      </c>
      <c r="V321" t="s">
        <v>42</v>
      </c>
      <c r="W321" t="s">
        <v>43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 x14ac:dyDescent="0.35">
      <c r="A322" t="s">
        <v>33</v>
      </c>
      <c r="B322" t="s">
        <v>34</v>
      </c>
      <c r="C322">
        <v>17</v>
      </c>
      <c r="D322" t="s">
        <v>35</v>
      </c>
      <c r="E322" t="s">
        <v>36</v>
      </c>
      <c r="F322" t="s">
        <v>37</v>
      </c>
      <c r="G322">
        <v>4</v>
      </c>
      <c r="H322">
        <v>3</v>
      </c>
      <c r="I322" t="s">
        <v>48</v>
      </c>
      <c r="J322" t="s">
        <v>48</v>
      </c>
      <c r="K322" t="s">
        <v>40</v>
      </c>
      <c r="L322" t="s">
        <v>41</v>
      </c>
      <c r="M322">
        <v>1</v>
      </c>
      <c r="N322">
        <v>2</v>
      </c>
      <c r="O322">
        <v>0</v>
      </c>
      <c r="P322" t="s">
        <v>43</v>
      </c>
      <c r="Q322" t="s">
        <v>42</v>
      </c>
      <c r="R322" t="s">
        <v>42</v>
      </c>
      <c r="S322" t="s">
        <v>43</v>
      </c>
      <c r="T322" t="s">
        <v>42</v>
      </c>
      <c r="U322" t="s">
        <v>42</v>
      </c>
      <c r="V322" t="s">
        <v>42</v>
      </c>
      <c r="W322" t="s">
        <v>42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 x14ac:dyDescent="0.35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45</v>
      </c>
      <c r="K323" t="s">
        <v>40</v>
      </c>
      <c r="L323" t="s">
        <v>41</v>
      </c>
      <c r="M323">
        <v>1</v>
      </c>
      <c r="N323">
        <v>2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43</v>
      </c>
      <c r="W323" t="s">
        <v>42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 x14ac:dyDescent="0.35">
      <c r="A324" t="s">
        <v>33</v>
      </c>
      <c r="B324" t="s">
        <v>34</v>
      </c>
      <c r="C324">
        <v>17</v>
      </c>
      <c r="D324" t="s">
        <v>52</v>
      </c>
      <c r="E324" t="s">
        <v>47</v>
      </c>
      <c r="F324" t="s">
        <v>44</v>
      </c>
      <c r="G324">
        <v>2</v>
      </c>
      <c r="H324">
        <v>2</v>
      </c>
      <c r="I324" t="s">
        <v>48</v>
      </c>
      <c r="J324" t="s">
        <v>48</v>
      </c>
      <c r="K324" t="s">
        <v>40</v>
      </c>
      <c r="L324" t="s">
        <v>41</v>
      </c>
      <c r="M324">
        <v>1</v>
      </c>
      <c r="N324">
        <v>3</v>
      </c>
      <c r="O324">
        <v>0</v>
      </c>
      <c r="P324" t="s">
        <v>43</v>
      </c>
      <c r="Q324" t="s">
        <v>42</v>
      </c>
      <c r="R324" t="s">
        <v>42</v>
      </c>
      <c r="S324" t="s">
        <v>42</v>
      </c>
      <c r="T324" t="s">
        <v>42</v>
      </c>
      <c r="U324" t="s">
        <v>42</v>
      </c>
      <c r="V324" t="s">
        <v>42</v>
      </c>
      <c r="W324" t="s">
        <v>43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 x14ac:dyDescent="0.35">
      <c r="A325" t="s">
        <v>33</v>
      </c>
      <c r="B325" t="s">
        <v>34</v>
      </c>
      <c r="C325">
        <v>17</v>
      </c>
      <c r="D325" t="s">
        <v>35</v>
      </c>
      <c r="E325" t="s">
        <v>36</v>
      </c>
      <c r="F325" t="s">
        <v>44</v>
      </c>
      <c r="G325">
        <v>3</v>
      </c>
      <c r="H325">
        <v>1</v>
      </c>
      <c r="I325" t="s">
        <v>48</v>
      </c>
      <c r="J325" t="s">
        <v>48</v>
      </c>
      <c r="K325" t="s">
        <v>40</v>
      </c>
      <c r="L325" t="s">
        <v>46</v>
      </c>
      <c r="M325">
        <v>1</v>
      </c>
      <c r="N325">
        <v>3</v>
      </c>
      <c r="O325">
        <v>0</v>
      </c>
      <c r="P325" t="s">
        <v>43</v>
      </c>
      <c r="Q325" t="s">
        <v>42</v>
      </c>
      <c r="R325" t="s">
        <v>43</v>
      </c>
      <c r="S325" t="s">
        <v>43</v>
      </c>
      <c r="T325" t="s">
        <v>43</v>
      </c>
      <c r="U325" t="s">
        <v>42</v>
      </c>
      <c r="V325" t="s">
        <v>42</v>
      </c>
      <c r="W325" t="s">
        <v>43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 x14ac:dyDescent="0.35">
      <c r="A326" t="s">
        <v>33</v>
      </c>
      <c r="B326" t="s">
        <v>34</v>
      </c>
      <c r="C326">
        <v>17</v>
      </c>
      <c r="D326" t="s">
        <v>35</v>
      </c>
      <c r="E326" t="s">
        <v>47</v>
      </c>
      <c r="F326" t="s">
        <v>44</v>
      </c>
      <c r="G326">
        <v>0</v>
      </c>
      <c r="H326">
        <v>2</v>
      </c>
      <c r="I326" t="s">
        <v>38</v>
      </c>
      <c r="J326" t="s">
        <v>38</v>
      </c>
      <c r="K326" t="s">
        <v>49</v>
      </c>
      <c r="L326" t="s">
        <v>46</v>
      </c>
      <c r="M326">
        <v>2</v>
      </c>
      <c r="N326">
        <v>3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42</v>
      </c>
      <c r="U326" t="s">
        <v>42</v>
      </c>
      <c r="V326" t="s">
        <v>42</v>
      </c>
      <c r="W326" t="s">
        <v>43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 x14ac:dyDescent="0.35">
      <c r="A327" t="s">
        <v>33</v>
      </c>
      <c r="B327" t="s">
        <v>50</v>
      </c>
      <c r="C327">
        <v>18</v>
      </c>
      <c r="D327" t="s">
        <v>35</v>
      </c>
      <c r="E327" t="s">
        <v>36</v>
      </c>
      <c r="F327" t="s">
        <v>44</v>
      </c>
      <c r="G327">
        <v>4</v>
      </c>
      <c r="H327">
        <v>4</v>
      </c>
      <c r="I327" t="s">
        <v>45</v>
      </c>
      <c r="J327" t="s">
        <v>45</v>
      </c>
      <c r="K327" t="s">
        <v>40</v>
      </c>
      <c r="L327" t="s">
        <v>41</v>
      </c>
      <c r="M327">
        <v>1</v>
      </c>
      <c r="N327">
        <v>3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43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 x14ac:dyDescent="0.35">
      <c r="A328" t="s">
        <v>33</v>
      </c>
      <c r="B328" t="s">
        <v>50</v>
      </c>
      <c r="C328">
        <v>17</v>
      </c>
      <c r="D328" t="s">
        <v>35</v>
      </c>
      <c r="E328" t="s">
        <v>36</v>
      </c>
      <c r="F328" t="s">
        <v>44</v>
      </c>
      <c r="G328">
        <v>3</v>
      </c>
      <c r="H328">
        <v>3</v>
      </c>
      <c r="I328" t="s">
        <v>45</v>
      </c>
      <c r="J328" t="s">
        <v>48</v>
      </c>
      <c r="K328" t="s">
        <v>51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42</v>
      </c>
      <c r="T328" t="s">
        <v>43</v>
      </c>
      <c r="U328" t="s">
        <v>42</v>
      </c>
      <c r="V328" t="s">
        <v>42</v>
      </c>
      <c r="W328" t="s">
        <v>43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 x14ac:dyDescent="0.35">
      <c r="A329" t="s">
        <v>33</v>
      </c>
      <c r="B329" t="s">
        <v>50</v>
      </c>
      <c r="C329">
        <v>17</v>
      </c>
      <c r="D329" t="s">
        <v>52</v>
      </c>
      <c r="E329" t="s">
        <v>36</v>
      </c>
      <c r="F329" t="s">
        <v>44</v>
      </c>
      <c r="G329">
        <v>2</v>
      </c>
      <c r="H329">
        <v>2</v>
      </c>
      <c r="I329" t="s">
        <v>48</v>
      </c>
      <c r="J329" t="s">
        <v>45</v>
      </c>
      <c r="K329" t="s">
        <v>40</v>
      </c>
      <c r="L329" t="s">
        <v>41</v>
      </c>
      <c r="M329">
        <v>4</v>
      </c>
      <c r="N329">
        <v>1</v>
      </c>
      <c r="O329">
        <v>0</v>
      </c>
      <c r="P329" t="s">
        <v>43</v>
      </c>
      <c r="Q329" t="s">
        <v>42</v>
      </c>
      <c r="R329" t="s">
        <v>43</v>
      </c>
      <c r="S329" t="s">
        <v>43</v>
      </c>
      <c r="T329" t="s">
        <v>42</v>
      </c>
      <c r="U329" t="s">
        <v>42</v>
      </c>
      <c r="V329" t="s">
        <v>42</v>
      </c>
      <c r="W329" t="s">
        <v>43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 x14ac:dyDescent="0.35">
      <c r="A330" t="s">
        <v>33</v>
      </c>
      <c r="B330" t="s">
        <v>34</v>
      </c>
      <c r="C330">
        <v>17</v>
      </c>
      <c r="D330" t="s">
        <v>35</v>
      </c>
      <c r="E330" t="s">
        <v>36</v>
      </c>
      <c r="F330" t="s">
        <v>44</v>
      </c>
      <c r="G330">
        <v>4</v>
      </c>
      <c r="H330">
        <v>4</v>
      </c>
      <c r="I330" t="s">
        <v>39</v>
      </c>
      <c r="J330" t="s">
        <v>48</v>
      </c>
      <c r="K330" t="s">
        <v>40</v>
      </c>
      <c r="L330" t="s">
        <v>41</v>
      </c>
      <c r="M330">
        <v>1</v>
      </c>
      <c r="N330">
        <v>3</v>
      </c>
      <c r="O330">
        <v>0</v>
      </c>
      <c r="P330" t="s">
        <v>43</v>
      </c>
      <c r="Q330" t="s">
        <v>42</v>
      </c>
      <c r="R330" t="s">
        <v>42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 x14ac:dyDescent="0.35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4</v>
      </c>
      <c r="H331">
        <v>4</v>
      </c>
      <c r="I331" t="s">
        <v>39</v>
      </c>
      <c r="J331" t="s">
        <v>39</v>
      </c>
      <c r="K331" t="s">
        <v>40</v>
      </c>
      <c r="L331" t="s">
        <v>41</v>
      </c>
      <c r="M331">
        <v>2</v>
      </c>
      <c r="N331">
        <v>3</v>
      </c>
      <c r="O331">
        <v>0</v>
      </c>
      <c r="P331" t="s">
        <v>43</v>
      </c>
      <c r="Q331" t="s">
        <v>42</v>
      </c>
      <c r="R331" t="s">
        <v>42</v>
      </c>
      <c r="S331" t="s">
        <v>43</v>
      </c>
      <c r="T331" t="s">
        <v>43</v>
      </c>
      <c r="U331" t="s">
        <v>42</v>
      </c>
      <c r="V331" t="s">
        <v>42</v>
      </c>
      <c r="W331" t="s">
        <v>42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 x14ac:dyDescent="0.35">
      <c r="A332" t="s">
        <v>33</v>
      </c>
      <c r="B332" t="s">
        <v>50</v>
      </c>
      <c r="C332">
        <v>18</v>
      </c>
      <c r="D332" t="s">
        <v>35</v>
      </c>
      <c r="E332" t="s">
        <v>47</v>
      </c>
      <c r="F332" t="s">
        <v>44</v>
      </c>
      <c r="G332">
        <v>2</v>
      </c>
      <c r="H332">
        <v>2</v>
      </c>
      <c r="I332" t="s">
        <v>45</v>
      </c>
      <c r="J332" t="s">
        <v>45</v>
      </c>
      <c r="K332" t="s">
        <v>40</v>
      </c>
      <c r="L332" t="s">
        <v>41</v>
      </c>
      <c r="M332">
        <v>1</v>
      </c>
      <c r="N332">
        <v>4</v>
      </c>
      <c r="O332">
        <v>0</v>
      </c>
      <c r="P332" t="s">
        <v>43</v>
      </c>
      <c r="Q332" t="s">
        <v>42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43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 x14ac:dyDescent="0.35">
      <c r="A333" t="s">
        <v>33</v>
      </c>
      <c r="B333" t="s">
        <v>34</v>
      </c>
      <c r="C333">
        <v>17</v>
      </c>
      <c r="D333" t="s">
        <v>52</v>
      </c>
      <c r="E333" t="s">
        <v>36</v>
      </c>
      <c r="F333" t="s">
        <v>44</v>
      </c>
      <c r="G333">
        <v>2</v>
      </c>
      <c r="H333">
        <v>4</v>
      </c>
      <c r="I333" t="s">
        <v>38</v>
      </c>
      <c r="J333" t="s">
        <v>45</v>
      </c>
      <c r="K333" t="s">
        <v>40</v>
      </c>
      <c r="L333" t="s">
        <v>46</v>
      </c>
      <c r="M333">
        <v>1</v>
      </c>
      <c r="N333">
        <v>3</v>
      </c>
      <c r="O333">
        <v>0</v>
      </c>
      <c r="P333" t="s">
        <v>43</v>
      </c>
      <c r="Q333" t="s">
        <v>42</v>
      </c>
      <c r="R333" t="s">
        <v>43</v>
      </c>
      <c r="S333" t="s">
        <v>43</v>
      </c>
      <c r="T333" t="s">
        <v>42</v>
      </c>
      <c r="U333" t="s">
        <v>42</v>
      </c>
      <c r="V333" t="s">
        <v>42</v>
      </c>
      <c r="W333" t="s">
        <v>42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 x14ac:dyDescent="0.35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3</v>
      </c>
      <c r="H334">
        <v>3</v>
      </c>
      <c r="I334" t="s">
        <v>48</v>
      </c>
      <c r="J334" t="s">
        <v>48</v>
      </c>
      <c r="K334" t="s">
        <v>49</v>
      </c>
      <c r="L334" t="s">
        <v>41</v>
      </c>
      <c r="M334">
        <v>1</v>
      </c>
      <c r="N334">
        <v>2</v>
      </c>
      <c r="O334">
        <v>0</v>
      </c>
      <c r="P334" t="s">
        <v>43</v>
      </c>
      <c r="Q334" t="s">
        <v>43</v>
      </c>
      <c r="R334" t="s">
        <v>43</v>
      </c>
      <c r="S334" t="s">
        <v>42</v>
      </c>
      <c r="T334" t="s">
        <v>42</v>
      </c>
      <c r="U334" t="s">
        <v>42</v>
      </c>
      <c r="V334" t="s">
        <v>42</v>
      </c>
      <c r="W334" t="s">
        <v>43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 x14ac:dyDescent="0.35">
      <c r="A335" t="s">
        <v>33</v>
      </c>
      <c r="B335" t="s">
        <v>34</v>
      </c>
      <c r="C335">
        <v>18</v>
      </c>
      <c r="D335" t="s">
        <v>35</v>
      </c>
      <c r="E335" t="s">
        <v>47</v>
      </c>
      <c r="F335" t="s">
        <v>44</v>
      </c>
      <c r="G335">
        <v>2</v>
      </c>
      <c r="H335">
        <v>2</v>
      </c>
      <c r="I335" t="s">
        <v>45</v>
      </c>
      <c r="J335" t="s">
        <v>45</v>
      </c>
      <c r="K335" t="s">
        <v>49</v>
      </c>
      <c r="L335" t="s">
        <v>45</v>
      </c>
      <c r="M335">
        <v>1</v>
      </c>
      <c r="N335">
        <v>2</v>
      </c>
      <c r="O335">
        <v>0</v>
      </c>
      <c r="P335" t="s">
        <v>43</v>
      </c>
      <c r="Q335" t="s">
        <v>43</v>
      </c>
      <c r="R335" t="s">
        <v>43</v>
      </c>
      <c r="S335" t="s">
        <v>42</v>
      </c>
      <c r="T335" t="s">
        <v>43</v>
      </c>
      <c r="U335" t="s">
        <v>42</v>
      </c>
      <c r="V335" t="s">
        <v>42</v>
      </c>
      <c r="W335" t="s">
        <v>42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 x14ac:dyDescent="0.35">
      <c r="A336" t="s">
        <v>33</v>
      </c>
      <c r="B336" t="s">
        <v>34</v>
      </c>
      <c r="C336">
        <v>18</v>
      </c>
      <c r="D336" t="s">
        <v>52</v>
      </c>
      <c r="E336" t="s">
        <v>36</v>
      </c>
      <c r="F336" t="s">
        <v>44</v>
      </c>
      <c r="G336">
        <v>2</v>
      </c>
      <c r="H336">
        <v>2</v>
      </c>
      <c r="I336" t="s">
        <v>38</v>
      </c>
      <c r="J336" t="s">
        <v>45</v>
      </c>
      <c r="K336" t="s">
        <v>40</v>
      </c>
      <c r="L336" t="s">
        <v>41</v>
      </c>
      <c r="M336">
        <v>2</v>
      </c>
      <c r="N336">
        <v>4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43</v>
      </c>
      <c r="W336" t="s">
        <v>43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 x14ac:dyDescent="0.35">
      <c r="A337" t="s">
        <v>33</v>
      </c>
      <c r="B337" t="s">
        <v>34</v>
      </c>
      <c r="C337">
        <v>17</v>
      </c>
      <c r="D337" t="s">
        <v>35</v>
      </c>
      <c r="E337" t="s">
        <v>36</v>
      </c>
      <c r="F337" t="s">
        <v>44</v>
      </c>
      <c r="G337">
        <v>3</v>
      </c>
      <c r="H337">
        <v>4</v>
      </c>
      <c r="I337" t="s">
        <v>48</v>
      </c>
      <c r="J337" t="s">
        <v>45</v>
      </c>
      <c r="K337" t="s">
        <v>40</v>
      </c>
      <c r="L337" t="s">
        <v>41</v>
      </c>
      <c r="M337">
        <v>1</v>
      </c>
      <c r="N337">
        <v>3</v>
      </c>
      <c r="O337">
        <v>0</v>
      </c>
      <c r="P337" t="s">
        <v>43</v>
      </c>
      <c r="Q337" t="s">
        <v>43</v>
      </c>
      <c r="R337" t="s">
        <v>43</v>
      </c>
      <c r="S337" t="s">
        <v>43</v>
      </c>
      <c r="T337" t="s">
        <v>42</v>
      </c>
      <c r="U337" t="s">
        <v>42</v>
      </c>
      <c r="V337" t="s">
        <v>42</v>
      </c>
      <c r="W337" t="s">
        <v>43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 x14ac:dyDescent="0.35">
      <c r="A338" t="s">
        <v>33</v>
      </c>
      <c r="B338" t="s">
        <v>34</v>
      </c>
      <c r="C338">
        <v>19</v>
      </c>
      <c r="D338" t="s">
        <v>52</v>
      </c>
      <c r="E338" t="s">
        <v>36</v>
      </c>
      <c r="F338" t="s">
        <v>37</v>
      </c>
      <c r="G338">
        <v>3</v>
      </c>
      <c r="H338">
        <v>1</v>
      </c>
      <c r="I338" t="s">
        <v>48</v>
      </c>
      <c r="J338" t="s">
        <v>38</v>
      </c>
      <c r="K338" t="s">
        <v>49</v>
      </c>
      <c r="L338" t="s">
        <v>45</v>
      </c>
      <c r="M338">
        <v>1</v>
      </c>
      <c r="N338">
        <v>3</v>
      </c>
      <c r="O338">
        <v>1</v>
      </c>
      <c r="P338" t="s">
        <v>43</v>
      </c>
      <c r="Q338" t="s">
        <v>43</v>
      </c>
      <c r="R338" t="s">
        <v>42</v>
      </c>
      <c r="S338" t="s">
        <v>43</v>
      </c>
      <c r="T338" t="s">
        <v>42</v>
      </c>
      <c r="U338" t="s">
        <v>42</v>
      </c>
      <c r="V338" t="s">
        <v>43</v>
      </c>
      <c r="W338" t="s">
        <v>43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 x14ac:dyDescent="0.35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3</v>
      </c>
      <c r="H339">
        <v>2</v>
      </c>
      <c r="I339" t="s">
        <v>45</v>
      </c>
      <c r="J339" t="s">
        <v>45</v>
      </c>
      <c r="K339" t="s">
        <v>49</v>
      </c>
      <c r="L339" t="s">
        <v>41</v>
      </c>
      <c r="M339">
        <v>1</v>
      </c>
      <c r="N339">
        <v>2</v>
      </c>
      <c r="O339">
        <v>0</v>
      </c>
      <c r="P339" t="s">
        <v>43</v>
      </c>
      <c r="Q339" t="s">
        <v>42</v>
      </c>
      <c r="R339" t="s">
        <v>42</v>
      </c>
      <c r="S339" t="s">
        <v>43</v>
      </c>
      <c r="T339" t="s">
        <v>42</v>
      </c>
      <c r="U339" t="s">
        <v>42</v>
      </c>
      <c r="V339" t="s">
        <v>42</v>
      </c>
      <c r="W339" t="s">
        <v>42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 x14ac:dyDescent="0.35">
      <c r="A340" t="s">
        <v>33</v>
      </c>
      <c r="B340" t="s">
        <v>34</v>
      </c>
      <c r="C340">
        <v>18</v>
      </c>
      <c r="D340" t="s">
        <v>35</v>
      </c>
      <c r="E340" t="s">
        <v>47</v>
      </c>
      <c r="F340" t="s">
        <v>44</v>
      </c>
      <c r="G340">
        <v>3</v>
      </c>
      <c r="H340">
        <v>3</v>
      </c>
      <c r="I340" t="s">
        <v>48</v>
      </c>
      <c r="J340" t="s">
        <v>48</v>
      </c>
      <c r="K340" t="s">
        <v>49</v>
      </c>
      <c r="L340" t="s">
        <v>41</v>
      </c>
      <c r="M340">
        <v>1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42</v>
      </c>
      <c r="W340" t="s">
        <v>43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 x14ac:dyDescent="0.35">
      <c r="A341" t="s">
        <v>33</v>
      </c>
      <c r="B341" t="s">
        <v>34</v>
      </c>
      <c r="C341">
        <v>17</v>
      </c>
      <c r="D341" t="s">
        <v>52</v>
      </c>
      <c r="E341" t="s">
        <v>36</v>
      </c>
      <c r="F341" t="s">
        <v>37</v>
      </c>
      <c r="G341">
        <v>3</v>
      </c>
      <c r="H341">
        <v>2</v>
      </c>
      <c r="I341" t="s">
        <v>45</v>
      </c>
      <c r="J341" t="s">
        <v>45</v>
      </c>
      <c r="K341" t="s">
        <v>49</v>
      </c>
      <c r="L341" t="s">
        <v>41</v>
      </c>
      <c r="M341">
        <v>1</v>
      </c>
      <c r="N341">
        <v>2</v>
      </c>
      <c r="O341">
        <v>0</v>
      </c>
      <c r="P341" t="s">
        <v>43</v>
      </c>
      <c r="Q341" t="s">
        <v>42</v>
      </c>
      <c r="R341" t="s">
        <v>42</v>
      </c>
      <c r="S341" t="s">
        <v>43</v>
      </c>
      <c r="T341" t="s">
        <v>42</v>
      </c>
      <c r="U341" t="s">
        <v>42</v>
      </c>
      <c r="V341" t="s">
        <v>42</v>
      </c>
      <c r="W341" t="s">
        <v>43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 x14ac:dyDescent="0.35">
      <c r="A342" t="s">
        <v>33</v>
      </c>
      <c r="B342" t="s">
        <v>34</v>
      </c>
      <c r="C342">
        <v>19</v>
      </c>
      <c r="D342" t="s">
        <v>35</v>
      </c>
      <c r="E342" t="s">
        <v>36</v>
      </c>
      <c r="F342" t="s">
        <v>44</v>
      </c>
      <c r="G342">
        <v>2</v>
      </c>
      <c r="H342">
        <v>1</v>
      </c>
      <c r="I342" t="s">
        <v>48</v>
      </c>
      <c r="J342" t="s">
        <v>48</v>
      </c>
      <c r="K342" t="s">
        <v>49</v>
      </c>
      <c r="L342" t="s">
        <v>45</v>
      </c>
      <c r="M342">
        <v>1</v>
      </c>
      <c r="N342">
        <v>3</v>
      </c>
      <c r="O342">
        <v>1</v>
      </c>
      <c r="P342" t="s">
        <v>43</v>
      </c>
      <c r="Q342" t="s">
        <v>43</v>
      </c>
      <c r="R342" t="s">
        <v>42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 x14ac:dyDescent="0.35">
      <c r="A343" t="s">
        <v>33</v>
      </c>
      <c r="B343" t="s">
        <v>50</v>
      </c>
      <c r="C343">
        <v>18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39</v>
      </c>
      <c r="J343" t="s">
        <v>48</v>
      </c>
      <c r="K343" t="s">
        <v>49</v>
      </c>
      <c r="L343" t="s">
        <v>46</v>
      </c>
      <c r="M343">
        <v>1</v>
      </c>
      <c r="N343">
        <v>2</v>
      </c>
      <c r="O343">
        <v>1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 x14ac:dyDescent="0.35">
      <c r="A344" t="s">
        <v>33</v>
      </c>
      <c r="B344" t="s">
        <v>50</v>
      </c>
      <c r="C344">
        <v>18</v>
      </c>
      <c r="D344" t="s">
        <v>35</v>
      </c>
      <c r="E344" t="s">
        <v>47</v>
      </c>
      <c r="F344" t="s">
        <v>44</v>
      </c>
      <c r="G344">
        <v>3</v>
      </c>
      <c r="H344">
        <v>4</v>
      </c>
      <c r="I344" t="s">
        <v>48</v>
      </c>
      <c r="J344" t="s">
        <v>45</v>
      </c>
      <c r="K344" t="s">
        <v>49</v>
      </c>
      <c r="L344" t="s">
        <v>41</v>
      </c>
      <c r="M344">
        <v>1</v>
      </c>
      <c r="N344">
        <v>2</v>
      </c>
      <c r="O344">
        <v>0</v>
      </c>
      <c r="P344" t="s">
        <v>43</v>
      </c>
      <c r="Q344" t="s">
        <v>43</v>
      </c>
      <c r="R344" t="s">
        <v>43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 x14ac:dyDescent="0.35">
      <c r="A345" t="s">
        <v>33</v>
      </c>
      <c r="B345" t="s">
        <v>34</v>
      </c>
      <c r="C345">
        <v>17</v>
      </c>
      <c r="D345" t="s">
        <v>35</v>
      </c>
      <c r="E345" t="s">
        <v>36</v>
      </c>
      <c r="F345" t="s">
        <v>37</v>
      </c>
      <c r="G345">
        <v>2</v>
      </c>
      <c r="H345">
        <v>2</v>
      </c>
      <c r="I345" t="s">
        <v>38</v>
      </c>
      <c r="J345" t="s">
        <v>38</v>
      </c>
      <c r="K345" t="s">
        <v>49</v>
      </c>
      <c r="L345" t="s">
        <v>46</v>
      </c>
      <c r="M345">
        <v>1</v>
      </c>
      <c r="N345">
        <v>2</v>
      </c>
      <c r="O345">
        <v>1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42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 x14ac:dyDescent="0.35">
      <c r="A346" t="s">
        <v>33</v>
      </c>
      <c r="B346" t="s">
        <v>34</v>
      </c>
      <c r="C346">
        <v>18</v>
      </c>
      <c r="D346" t="s">
        <v>35</v>
      </c>
      <c r="E346" t="s">
        <v>36</v>
      </c>
      <c r="F346" t="s">
        <v>44</v>
      </c>
      <c r="G346">
        <v>2</v>
      </c>
      <c r="H346">
        <v>3</v>
      </c>
      <c r="I346" t="s">
        <v>38</v>
      </c>
      <c r="J346" t="s">
        <v>45</v>
      </c>
      <c r="K346" t="s">
        <v>40</v>
      </c>
      <c r="L346" t="s">
        <v>41</v>
      </c>
      <c r="M346">
        <v>1</v>
      </c>
      <c r="N346">
        <v>3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43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 x14ac:dyDescent="0.35">
      <c r="A347" t="s">
        <v>33</v>
      </c>
      <c r="B347" t="s">
        <v>34</v>
      </c>
      <c r="C347">
        <v>18</v>
      </c>
      <c r="D347" t="s">
        <v>35</v>
      </c>
      <c r="E347" t="s">
        <v>36</v>
      </c>
      <c r="F347" t="s">
        <v>44</v>
      </c>
      <c r="G347">
        <v>3</v>
      </c>
      <c r="H347">
        <v>2</v>
      </c>
      <c r="I347" t="s">
        <v>45</v>
      </c>
      <c r="J347" t="s">
        <v>48</v>
      </c>
      <c r="K347" t="s">
        <v>45</v>
      </c>
      <c r="L347" t="s">
        <v>41</v>
      </c>
      <c r="M347">
        <v>1</v>
      </c>
      <c r="N347">
        <v>3</v>
      </c>
      <c r="O347">
        <v>0</v>
      </c>
      <c r="P347" t="s">
        <v>43</v>
      </c>
      <c r="Q347" t="s">
        <v>43</v>
      </c>
      <c r="R347" t="s">
        <v>43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 x14ac:dyDescent="0.35">
      <c r="A348" t="s">
        <v>33</v>
      </c>
      <c r="B348" t="s">
        <v>50</v>
      </c>
      <c r="C348">
        <v>18</v>
      </c>
      <c r="D348" t="s">
        <v>52</v>
      </c>
      <c r="E348" t="s">
        <v>36</v>
      </c>
      <c r="F348" t="s">
        <v>44</v>
      </c>
      <c r="G348">
        <v>4</v>
      </c>
      <c r="H348">
        <v>3</v>
      </c>
      <c r="I348" t="s">
        <v>39</v>
      </c>
      <c r="J348" t="s">
        <v>48</v>
      </c>
      <c r="K348" t="s">
        <v>40</v>
      </c>
      <c r="L348" t="s">
        <v>41</v>
      </c>
      <c r="M348">
        <v>1</v>
      </c>
      <c r="N348">
        <v>3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42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 x14ac:dyDescent="0.35">
      <c r="A349" t="s">
        <v>33</v>
      </c>
      <c r="B349" t="s">
        <v>50</v>
      </c>
      <c r="C349">
        <v>18</v>
      </c>
      <c r="D349" t="s">
        <v>35</v>
      </c>
      <c r="E349" t="s">
        <v>36</v>
      </c>
      <c r="F349" t="s">
        <v>44</v>
      </c>
      <c r="G349">
        <v>4</v>
      </c>
      <c r="H349">
        <v>3</v>
      </c>
      <c r="I349" t="s">
        <v>39</v>
      </c>
      <c r="J349" t="s">
        <v>45</v>
      </c>
      <c r="K349" t="s">
        <v>40</v>
      </c>
      <c r="L349" t="s">
        <v>41</v>
      </c>
      <c r="M349">
        <v>1</v>
      </c>
      <c r="N349">
        <v>3</v>
      </c>
      <c r="O349">
        <v>0</v>
      </c>
      <c r="P349" t="s">
        <v>43</v>
      </c>
      <c r="Q349" t="s">
        <v>42</v>
      </c>
      <c r="R349" t="s">
        <v>42</v>
      </c>
      <c r="S349" t="s">
        <v>43</v>
      </c>
      <c r="T349" t="s">
        <v>42</v>
      </c>
      <c r="U349" t="s">
        <v>42</v>
      </c>
      <c r="V349" t="s">
        <v>42</v>
      </c>
      <c r="W349" t="s">
        <v>42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 x14ac:dyDescent="0.35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3</v>
      </c>
      <c r="I350" t="s">
        <v>28</v>
      </c>
      <c r="J350" t="s">
        <v>45</v>
      </c>
      <c r="K350" t="s">
        <v>51</v>
      </c>
      <c r="L350" t="s">
        <v>41</v>
      </c>
      <c r="M350">
        <v>1</v>
      </c>
      <c r="N350">
        <v>3</v>
      </c>
      <c r="O350">
        <v>0</v>
      </c>
      <c r="P350" t="s">
        <v>43</v>
      </c>
      <c r="Q350" t="s">
        <v>42</v>
      </c>
      <c r="R350" t="s">
        <v>42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 x14ac:dyDescent="0.35">
      <c r="A351" t="s">
        <v>53</v>
      </c>
      <c r="B351" t="s">
        <v>50</v>
      </c>
      <c r="C351">
        <v>18</v>
      </c>
      <c r="D351" t="s">
        <v>52</v>
      </c>
      <c r="E351" t="s">
        <v>36</v>
      </c>
      <c r="F351" t="s">
        <v>44</v>
      </c>
      <c r="G351">
        <v>3</v>
      </c>
      <c r="H351">
        <v>2</v>
      </c>
      <c r="I351" t="s">
        <v>45</v>
      </c>
      <c r="J351" t="s">
        <v>45</v>
      </c>
      <c r="K351" t="s">
        <v>40</v>
      </c>
      <c r="L351" t="s">
        <v>41</v>
      </c>
      <c r="M351">
        <v>2</v>
      </c>
      <c r="N351">
        <v>1</v>
      </c>
      <c r="O351">
        <v>1</v>
      </c>
      <c r="P351" t="s">
        <v>43</v>
      </c>
      <c r="Q351" t="s">
        <v>42</v>
      </c>
      <c r="R351" t="s">
        <v>43</v>
      </c>
      <c r="S351" t="s">
        <v>43</v>
      </c>
      <c r="T351" t="s">
        <v>43</v>
      </c>
      <c r="U351" t="s">
        <v>42</v>
      </c>
      <c r="V351" t="s">
        <v>42</v>
      </c>
      <c r="W351" t="s">
        <v>43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 x14ac:dyDescent="0.35">
      <c r="A352" t="s">
        <v>53</v>
      </c>
      <c r="B352" t="s">
        <v>50</v>
      </c>
      <c r="C352">
        <v>19</v>
      </c>
      <c r="D352" t="s">
        <v>52</v>
      </c>
      <c r="E352" t="s">
        <v>36</v>
      </c>
      <c r="F352" t="s">
        <v>44</v>
      </c>
      <c r="G352">
        <v>1</v>
      </c>
      <c r="H352">
        <v>1</v>
      </c>
      <c r="I352" t="s">
        <v>45</v>
      </c>
      <c r="J352" t="s">
        <v>48</v>
      </c>
      <c r="K352" t="s">
        <v>49</v>
      </c>
      <c r="L352" t="s">
        <v>45</v>
      </c>
      <c r="M352">
        <v>3</v>
      </c>
      <c r="N352">
        <v>2</v>
      </c>
      <c r="O352">
        <v>3</v>
      </c>
      <c r="P352" t="s">
        <v>43</v>
      </c>
      <c r="Q352" t="s">
        <v>43</v>
      </c>
      <c r="R352" t="s">
        <v>43</v>
      </c>
      <c r="S352" t="s">
        <v>43</v>
      </c>
      <c r="T352" t="s">
        <v>42</v>
      </c>
      <c r="U352" t="s">
        <v>42</v>
      </c>
      <c r="V352" t="s">
        <v>42</v>
      </c>
      <c r="W352" t="s">
        <v>43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 x14ac:dyDescent="0.35">
      <c r="A353" t="s">
        <v>53</v>
      </c>
      <c r="B353" t="s">
        <v>50</v>
      </c>
      <c r="C353">
        <v>17</v>
      </c>
      <c r="D353" t="s">
        <v>35</v>
      </c>
      <c r="E353" t="s">
        <v>36</v>
      </c>
      <c r="F353" t="s">
        <v>44</v>
      </c>
      <c r="G353">
        <v>3</v>
      </c>
      <c r="H353">
        <v>3</v>
      </c>
      <c r="I353" t="s">
        <v>28</v>
      </c>
      <c r="J353" t="s">
        <v>45</v>
      </c>
      <c r="K353" t="s">
        <v>40</v>
      </c>
      <c r="L353" t="s">
        <v>41</v>
      </c>
      <c r="M353">
        <v>2</v>
      </c>
      <c r="N353">
        <v>2</v>
      </c>
      <c r="O353">
        <v>0</v>
      </c>
      <c r="P353" t="s">
        <v>43</v>
      </c>
      <c r="Q353" t="s">
        <v>42</v>
      </c>
      <c r="R353" t="s">
        <v>42</v>
      </c>
      <c r="S353" t="s">
        <v>43</v>
      </c>
      <c r="T353" t="s">
        <v>42</v>
      </c>
      <c r="U353" t="s">
        <v>42</v>
      </c>
      <c r="V353" t="s">
        <v>42</v>
      </c>
      <c r="W353" t="s">
        <v>43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 x14ac:dyDescent="0.35">
      <c r="A354" t="s">
        <v>53</v>
      </c>
      <c r="B354" t="s">
        <v>50</v>
      </c>
      <c r="C354">
        <v>18</v>
      </c>
      <c r="D354" t="s">
        <v>35</v>
      </c>
      <c r="E354" t="s">
        <v>47</v>
      </c>
      <c r="F354" t="s">
        <v>44</v>
      </c>
      <c r="G354">
        <v>1</v>
      </c>
      <c r="H354">
        <v>3</v>
      </c>
      <c r="I354" t="s">
        <v>38</v>
      </c>
      <c r="J354" t="s">
        <v>48</v>
      </c>
      <c r="K354" t="s">
        <v>40</v>
      </c>
      <c r="L354" t="s">
        <v>41</v>
      </c>
      <c r="M354">
        <v>1</v>
      </c>
      <c r="N354">
        <v>1</v>
      </c>
      <c r="O354">
        <v>1</v>
      </c>
      <c r="P354" t="s">
        <v>43</v>
      </c>
      <c r="Q354" t="s">
        <v>43</v>
      </c>
      <c r="R354" t="s">
        <v>43</v>
      </c>
      <c r="S354" t="s">
        <v>43</v>
      </c>
      <c r="T354" t="s">
        <v>42</v>
      </c>
      <c r="U354" t="s">
        <v>43</v>
      </c>
      <c r="V354" t="s">
        <v>42</v>
      </c>
      <c r="W354" t="s">
        <v>42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 x14ac:dyDescent="0.35">
      <c r="A355" t="s">
        <v>53</v>
      </c>
      <c r="B355" t="s">
        <v>50</v>
      </c>
      <c r="C355">
        <v>19</v>
      </c>
      <c r="D355" t="s">
        <v>52</v>
      </c>
      <c r="E355" t="s">
        <v>36</v>
      </c>
      <c r="F355" t="s">
        <v>44</v>
      </c>
      <c r="G355">
        <v>1</v>
      </c>
      <c r="H355">
        <v>1</v>
      </c>
      <c r="I355" t="s">
        <v>45</v>
      </c>
      <c r="J355" t="s">
        <v>45</v>
      </c>
      <c r="K355" t="s">
        <v>49</v>
      </c>
      <c r="L355" t="s">
        <v>45</v>
      </c>
      <c r="M355">
        <v>3</v>
      </c>
      <c r="N355">
        <v>1</v>
      </c>
      <c r="O355">
        <v>1</v>
      </c>
      <c r="P355" t="s">
        <v>43</v>
      </c>
      <c r="Q355" t="s">
        <v>42</v>
      </c>
      <c r="R355" t="s">
        <v>43</v>
      </c>
      <c r="S355" t="s">
        <v>43</v>
      </c>
      <c r="T355" t="s">
        <v>42</v>
      </c>
      <c r="U355" t="s">
        <v>42</v>
      </c>
      <c r="V355" t="s">
        <v>42</v>
      </c>
      <c r="W355" t="s">
        <v>43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 x14ac:dyDescent="0.35">
      <c r="A356" t="s">
        <v>53</v>
      </c>
      <c r="B356" t="s">
        <v>50</v>
      </c>
      <c r="C356">
        <v>17</v>
      </c>
      <c r="D356" t="s">
        <v>52</v>
      </c>
      <c r="E356" t="s">
        <v>36</v>
      </c>
      <c r="F356" t="s">
        <v>44</v>
      </c>
      <c r="G356">
        <v>4</v>
      </c>
      <c r="H356">
        <v>3</v>
      </c>
      <c r="I356" t="s">
        <v>48</v>
      </c>
      <c r="J356" t="s">
        <v>45</v>
      </c>
      <c r="K356" t="s">
        <v>49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42</v>
      </c>
      <c r="S356" t="s">
        <v>42</v>
      </c>
      <c r="T356" t="s">
        <v>43</v>
      </c>
      <c r="U356" t="s">
        <v>42</v>
      </c>
      <c r="V356" t="s">
        <v>42</v>
      </c>
      <c r="W356" t="s">
        <v>42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 x14ac:dyDescent="0.35">
      <c r="A357" t="s">
        <v>53</v>
      </c>
      <c r="B357" t="s">
        <v>34</v>
      </c>
      <c r="C357">
        <v>18</v>
      </c>
      <c r="D357" t="s">
        <v>35</v>
      </c>
      <c r="E357" t="s">
        <v>36</v>
      </c>
      <c r="F357" t="s">
        <v>44</v>
      </c>
      <c r="G357">
        <v>3</v>
      </c>
      <c r="H357">
        <v>3</v>
      </c>
      <c r="I357" t="s">
        <v>48</v>
      </c>
      <c r="J357" t="s">
        <v>48</v>
      </c>
      <c r="K357" t="s">
        <v>40</v>
      </c>
      <c r="L357" t="s">
        <v>46</v>
      </c>
      <c r="M357">
        <v>1</v>
      </c>
      <c r="N357">
        <v>2</v>
      </c>
      <c r="O357">
        <v>0</v>
      </c>
      <c r="P357" t="s">
        <v>43</v>
      </c>
      <c r="Q357" t="s">
        <v>42</v>
      </c>
      <c r="R357" t="s">
        <v>43</v>
      </c>
      <c r="S357" t="s">
        <v>43</v>
      </c>
      <c r="T357" t="s">
        <v>42</v>
      </c>
      <c r="U357" t="s">
        <v>42</v>
      </c>
      <c r="V357" t="s">
        <v>43</v>
      </c>
      <c r="W357" t="s">
        <v>42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 x14ac:dyDescent="0.35">
      <c r="A358" t="s">
        <v>53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48</v>
      </c>
      <c r="K358" t="s">
        <v>45</v>
      </c>
      <c r="L358" t="s">
        <v>46</v>
      </c>
      <c r="M358">
        <v>2</v>
      </c>
      <c r="N358">
        <v>2</v>
      </c>
      <c r="O358">
        <v>0</v>
      </c>
      <c r="P358" t="s">
        <v>43</v>
      </c>
      <c r="Q358" t="s">
        <v>42</v>
      </c>
      <c r="R358" t="s">
        <v>42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 x14ac:dyDescent="0.35">
      <c r="A359" t="s">
        <v>53</v>
      </c>
      <c r="B359" t="s">
        <v>34</v>
      </c>
      <c r="C359">
        <v>17</v>
      </c>
      <c r="D359" t="s">
        <v>35</v>
      </c>
      <c r="E359" t="s">
        <v>47</v>
      </c>
      <c r="F359" t="s">
        <v>37</v>
      </c>
      <c r="G359">
        <v>3</v>
      </c>
      <c r="H359">
        <v>2</v>
      </c>
      <c r="I359" t="s">
        <v>48</v>
      </c>
      <c r="J359" t="s">
        <v>45</v>
      </c>
      <c r="K359" t="s">
        <v>51</v>
      </c>
      <c r="L359" t="s">
        <v>41</v>
      </c>
      <c r="M359">
        <v>2</v>
      </c>
      <c r="N359">
        <v>2</v>
      </c>
      <c r="O359">
        <v>0</v>
      </c>
      <c r="P359" t="s">
        <v>43</v>
      </c>
      <c r="Q359" t="s">
        <v>43</v>
      </c>
      <c r="R359" t="s">
        <v>43</v>
      </c>
      <c r="S359" t="s">
        <v>43</v>
      </c>
      <c r="T359" t="s">
        <v>42</v>
      </c>
      <c r="U359" t="s">
        <v>42</v>
      </c>
      <c r="V359" t="s">
        <v>43</v>
      </c>
      <c r="W359" t="s">
        <v>42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 x14ac:dyDescent="0.35">
      <c r="A360" t="s">
        <v>53</v>
      </c>
      <c r="B360" t="s">
        <v>50</v>
      </c>
      <c r="C360">
        <v>18</v>
      </c>
      <c r="D360" t="s">
        <v>35</v>
      </c>
      <c r="E360" t="s">
        <v>47</v>
      </c>
      <c r="F360" t="s">
        <v>44</v>
      </c>
      <c r="G360">
        <v>1</v>
      </c>
      <c r="H360">
        <v>1</v>
      </c>
      <c r="I360" t="s">
        <v>45</v>
      </c>
      <c r="J360" t="s">
        <v>48</v>
      </c>
      <c r="K360" t="s">
        <v>49</v>
      </c>
      <c r="L360" t="s">
        <v>46</v>
      </c>
      <c r="M360">
        <v>2</v>
      </c>
      <c r="N360">
        <v>1</v>
      </c>
      <c r="O360">
        <v>0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42</v>
      </c>
      <c r="V360" t="s">
        <v>42</v>
      </c>
      <c r="W360" t="s">
        <v>42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 x14ac:dyDescent="0.35">
      <c r="A361" t="s">
        <v>53</v>
      </c>
      <c r="B361" t="s">
        <v>34</v>
      </c>
      <c r="C361">
        <v>18</v>
      </c>
      <c r="D361" t="s">
        <v>35</v>
      </c>
      <c r="E361" t="s">
        <v>47</v>
      </c>
      <c r="F361" t="s">
        <v>44</v>
      </c>
      <c r="G361">
        <v>1</v>
      </c>
      <c r="H361">
        <v>1</v>
      </c>
      <c r="I361" t="s">
        <v>38</v>
      </c>
      <c r="J361" t="s">
        <v>48</v>
      </c>
      <c r="K361" t="s">
        <v>40</v>
      </c>
      <c r="L361" t="s">
        <v>46</v>
      </c>
      <c r="M361">
        <v>2</v>
      </c>
      <c r="N361">
        <v>3</v>
      </c>
      <c r="O361">
        <v>0</v>
      </c>
      <c r="P361" t="s">
        <v>43</v>
      </c>
      <c r="Q361" t="s">
        <v>43</v>
      </c>
      <c r="R361" t="s">
        <v>43</v>
      </c>
      <c r="S361" t="s">
        <v>43</v>
      </c>
      <c r="T361" t="s">
        <v>42</v>
      </c>
      <c r="U361" t="s">
        <v>42</v>
      </c>
      <c r="V361" t="s">
        <v>42</v>
      </c>
      <c r="W361" t="s">
        <v>43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 x14ac:dyDescent="0.35">
      <c r="A362" t="s">
        <v>53</v>
      </c>
      <c r="B362" t="s">
        <v>34</v>
      </c>
      <c r="C362">
        <v>18</v>
      </c>
      <c r="D362" t="s">
        <v>52</v>
      </c>
      <c r="E362" t="s">
        <v>47</v>
      </c>
      <c r="F362" t="s">
        <v>37</v>
      </c>
      <c r="G362">
        <v>1</v>
      </c>
      <c r="H362">
        <v>4</v>
      </c>
      <c r="I362" t="s">
        <v>38</v>
      </c>
      <c r="J362" t="s">
        <v>45</v>
      </c>
      <c r="K362" t="s">
        <v>40</v>
      </c>
      <c r="L362" t="s">
        <v>41</v>
      </c>
      <c r="M362">
        <v>3</v>
      </c>
      <c r="N362">
        <v>2</v>
      </c>
      <c r="O362">
        <v>0</v>
      </c>
      <c r="P362" t="s">
        <v>43</v>
      </c>
      <c r="Q362" t="s">
        <v>43</v>
      </c>
      <c r="R362" t="s">
        <v>43</v>
      </c>
      <c r="S362" t="s">
        <v>43</v>
      </c>
      <c r="T362" t="s">
        <v>42</v>
      </c>
      <c r="U362" t="s">
        <v>42</v>
      </c>
      <c r="V362" t="s">
        <v>43</v>
      </c>
      <c r="W362" t="s">
        <v>42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 x14ac:dyDescent="0.35">
      <c r="A363" t="s">
        <v>53</v>
      </c>
      <c r="B363" t="s">
        <v>50</v>
      </c>
      <c r="C363">
        <v>18</v>
      </c>
      <c r="D363" t="s">
        <v>52</v>
      </c>
      <c r="E363" t="s">
        <v>47</v>
      </c>
      <c r="F363" t="s">
        <v>44</v>
      </c>
      <c r="G363">
        <v>1</v>
      </c>
      <c r="H363">
        <v>1</v>
      </c>
      <c r="I363" t="s">
        <v>38</v>
      </c>
      <c r="J363" t="s">
        <v>45</v>
      </c>
      <c r="K363" t="s">
        <v>45</v>
      </c>
      <c r="L363" t="s">
        <v>41</v>
      </c>
      <c r="M363">
        <v>2</v>
      </c>
      <c r="N363">
        <v>2</v>
      </c>
      <c r="O363">
        <v>1</v>
      </c>
      <c r="P363" t="s">
        <v>43</v>
      </c>
      <c r="Q363" t="s">
        <v>43</v>
      </c>
      <c r="R363" t="s">
        <v>43</v>
      </c>
      <c r="S363" t="s">
        <v>42</v>
      </c>
      <c r="T363" t="s">
        <v>43</v>
      </c>
      <c r="U363" t="s">
        <v>43</v>
      </c>
      <c r="V363" t="s">
        <v>43</v>
      </c>
      <c r="W363" t="s">
        <v>43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 x14ac:dyDescent="0.35">
      <c r="A364" t="s">
        <v>53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3</v>
      </c>
      <c r="H364">
        <v>3</v>
      </c>
      <c r="I364" t="s">
        <v>48</v>
      </c>
      <c r="J364" t="s">
        <v>48</v>
      </c>
      <c r="K364" t="s">
        <v>45</v>
      </c>
      <c r="L364" t="s">
        <v>41</v>
      </c>
      <c r="M364">
        <v>2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42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 x14ac:dyDescent="0.35">
      <c r="A365" t="s">
        <v>53</v>
      </c>
      <c r="B365" t="s">
        <v>34</v>
      </c>
      <c r="C365">
        <v>17</v>
      </c>
      <c r="D365" t="s">
        <v>35</v>
      </c>
      <c r="E365" t="s">
        <v>47</v>
      </c>
      <c r="F365" t="s">
        <v>44</v>
      </c>
      <c r="G365">
        <v>4</v>
      </c>
      <c r="H365">
        <v>4</v>
      </c>
      <c r="I365" t="s">
        <v>38</v>
      </c>
      <c r="J365" t="s">
        <v>38</v>
      </c>
      <c r="K365" t="s">
        <v>40</v>
      </c>
      <c r="L365" t="s">
        <v>41</v>
      </c>
      <c r="M365">
        <v>1</v>
      </c>
      <c r="N365">
        <v>2</v>
      </c>
      <c r="O365">
        <v>0</v>
      </c>
      <c r="P365" t="s">
        <v>43</v>
      </c>
      <c r="Q365" t="s">
        <v>42</v>
      </c>
      <c r="R365" t="s">
        <v>42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 x14ac:dyDescent="0.35">
      <c r="A366" t="s">
        <v>53</v>
      </c>
      <c r="B366" t="s">
        <v>34</v>
      </c>
      <c r="C366">
        <v>17</v>
      </c>
      <c r="D366" t="s">
        <v>52</v>
      </c>
      <c r="E366" t="s">
        <v>36</v>
      </c>
      <c r="F366" t="s">
        <v>44</v>
      </c>
      <c r="G366">
        <v>1</v>
      </c>
      <c r="H366">
        <v>2</v>
      </c>
      <c r="I366" t="s">
        <v>45</v>
      </c>
      <c r="J366" t="s">
        <v>48</v>
      </c>
      <c r="K366" t="s">
        <v>40</v>
      </c>
      <c r="L366" t="s">
        <v>46</v>
      </c>
      <c r="M366">
        <v>2</v>
      </c>
      <c r="N366">
        <v>2</v>
      </c>
      <c r="O366">
        <v>0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42</v>
      </c>
      <c r="V366" t="s">
        <v>43</v>
      </c>
      <c r="W366" t="s">
        <v>43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 x14ac:dyDescent="0.35">
      <c r="A367" t="s">
        <v>53</v>
      </c>
      <c r="B367" t="s">
        <v>50</v>
      </c>
      <c r="C367">
        <v>18</v>
      </c>
      <c r="D367" t="s">
        <v>52</v>
      </c>
      <c r="E367" t="s">
        <v>36</v>
      </c>
      <c r="F367" t="s">
        <v>44</v>
      </c>
      <c r="G367">
        <v>1</v>
      </c>
      <c r="H367">
        <v>3</v>
      </c>
      <c r="I367" t="s">
        <v>38</v>
      </c>
      <c r="J367" t="s">
        <v>45</v>
      </c>
      <c r="K367" t="s">
        <v>40</v>
      </c>
      <c r="L367" t="s">
        <v>41</v>
      </c>
      <c r="M367">
        <v>2</v>
      </c>
      <c r="N367">
        <v>2</v>
      </c>
      <c r="O367">
        <v>0</v>
      </c>
      <c r="P367" t="s">
        <v>43</v>
      </c>
      <c r="Q367" t="s">
        <v>42</v>
      </c>
      <c r="R367" t="s">
        <v>42</v>
      </c>
      <c r="S367" t="s">
        <v>43</v>
      </c>
      <c r="T367" t="s">
        <v>42</v>
      </c>
      <c r="U367" t="s">
        <v>42</v>
      </c>
      <c r="V367" t="s">
        <v>43</v>
      </c>
      <c r="W367" t="s">
        <v>43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 x14ac:dyDescent="0.35">
      <c r="A368" t="s">
        <v>53</v>
      </c>
      <c r="B368" t="s">
        <v>50</v>
      </c>
      <c r="C368">
        <v>18</v>
      </c>
      <c r="D368" t="s">
        <v>35</v>
      </c>
      <c r="E368" t="s">
        <v>47</v>
      </c>
      <c r="F368" t="s">
        <v>44</v>
      </c>
      <c r="G368">
        <v>4</v>
      </c>
      <c r="H368">
        <v>4</v>
      </c>
      <c r="I368" t="s">
        <v>39</v>
      </c>
      <c r="J368" t="s">
        <v>48</v>
      </c>
      <c r="K368" t="s">
        <v>45</v>
      </c>
      <c r="L368" t="s">
        <v>41</v>
      </c>
      <c r="M368">
        <v>2</v>
      </c>
      <c r="N368">
        <v>3</v>
      </c>
      <c r="O368">
        <v>0</v>
      </c>
      <c r="P368" t="s">
        <v>43</v>
      </c>
      <c r="Q368" t="s">
        <v>43</v>
      </c>
      <c r="R368" t="s">
        <v>42</v>
      </c>
      <c r="S368" t="s">
        <v>43</v>
      </c>
      <c r="T368" t="s">
        <v>42</v>
      </c>
      <c r="U368" t="s">
        <v>42</v>
      </c>
      <c r="V368" t="s">
        <v>42</v>
      </c>
      <c r="W368" t="s">
        <v>42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 x14ac:dyDescent="0.35">
      <c r="A369" t="s">
        <v>53</v>
      </c>
      <c r="B369" t="s">
        <v>34</v>
      </c>
      <c r="C369">
        <v>17</v>
      </c>
      <c r="D369" t="s">
        <v>52</v>
      </c>
      <c r="E369" t="s">
        <v>36</v>
      </c>
      <c r="F369" t="s">
        <v>44</v>
      </c>
      <c r="G369">
        <v>1</v>
      </c>
      <c r="H369">
        <v>1</v>
      </c>
      <c r="I369" t="s">
        <v>45</v>
      </c>
      <c r="J369" t="s">
        <v>48</v>
      </c>
      <c r="K369" t="s">
        <v>51</v>
      </c>
      <c r="L369" t="s">
        <v>41</v>
      </c>
      <c r="M369">
        <v>3</v>
      </c>
      <c r="N369">
        <v>1</v>
      </c>
      <c r="O369">
        <v>1</v>
      </c>
      <c r="P369" t="s">
        <v>43</v>
      </c>
      <c r="Q369" t="s">
        <v>42</v>
      </c>
      <c r="R369" t="s">
        <v>42</v>
      </c>
      <c r="S369" t="s">
        <v>43</v>
      </c>
      <c r="T369" t="s">
        <v>42</v>
      </c>
      <c r="U369" t="s">
        <v>42</v>
      </c>
      <c r="V369" t="s">
        <v>42</v>
      </c>
      <c r="W369" t="s">
        <v>42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 x14ac:dyDescent="0.35">
      <c r="A370" t="s">
        <v>53</v>
      </c>
      <c r="B370" t="s">
        <v>34</v>
      </c>
      <c r="C370">
        <v>18</v>
      </c>
      <c r="D370" t="s">
        <v>35</v>
      </c>
      <c r="E370" t="s">
        <v>36</v>
      </c>
      <c r="F370" t="s">
        <v>44</v>
      </c>
      <c r="G370">
        <v>2</v>
      </c>
      <c r="H370">
        <v>3</v>
      </c>
      <c r="I370" t="s">
        <v>38</v>
      </c>
      <c r="J370" t="s">
        <v>48</v>
      </c>
      <c r="K370" t="s">
        <v>40</v>
      </c>
      <c r="L370" t="s">
        <v>46</v>
      </c>
      <c r="M370">
        <v>2</v>
      </c>
      <c r="N370">
        <v>1</v>
      </c>
      <c r="O370">
        <v>0</v>
      </c>
      <c r="P370" t="s">
        <v>43</v>
      </c>
      <c r="Q370" t="s">
        <v>42</v>
      </c>
      <c r="R370" t="s">
        <v>42</v>
      </c>
      <c r="S370" t="s">
        <v>43</v>
      </c>
      <c r="T370" t="s">
        <v>42</v>
      </c>
      <c r="U370" t="s">
        <v>42</v>
      </c>
      <c r="V370" t="s">
        <v>42</v>
      </c>
      <c r="W370" t="s">
        <v>42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 x14ac:dyDescent="0.35">
      <c r="A371" t="s">
        <v>53</v>
      </c>
      <c r="B371" t="s">
        <v>34</v>
      </c>
      <c r="C371">
        <v>18</v>
      </c>
      <c r="D371" t="s">
        <v>52</v>
      </c>
      <c r="E371" t="s">
        <v>36</v>
      </c>
      <c r="F371" t="s">
        <v>44</v>
      </c>
      <c r="G371">
        <v>4</v>
      </c>
      <c r="H371">
        <v>4</v>
      </c>
      <c r="I371" t="s">
        <v>45</v>
      </c>
      <c r="J371" t="s">
        <v>39</v>
      </c>
      <c r="K371" t="s">
        <v>45</v>
      </c>
      <c r="L371" t="s">
        <v>46</v>
      </c>
      <c r="M371">
        <v>3</v>
      </c>
      <c r="N371">
        <v>2</v>
      </c>
      <c r="O371">
        <v>0</v>
      </c>
      <c r="P371" t="s">
        <v>43</v>
      </c>
      <c r="Q371" t="s">
        <v>42</v>
      </c>
      <c r="R371" t="s">
        <v>42</v>
      </c>
      <c r="S371" t="s">
        <v>43</v>
      </c>
      <c r="T371" t="s">
        <v>43</v>
      </c>
      <c r="U371" t="s">
        <v>42</v>
      </c>
      <c r="V371" t="s">
        <v>42</v>
      </c>
      <c r="W371" t="s">
        <v>42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 x14ac:dyDescent="0.35">
      <c r="A372" t="s">
        <v>53</v>
      </c>
      <c r="B372" t="s">
        <v>34</v>
      </c>
      <c r="C372">
        <v>19</v>
      </c>
      <c r="D372" t="s">
        <v>35</v>
      </c>
      <c r="E372" t="s">
        <v>47</v>
      </c>
      <c r="F372" t="s">
        <v>44</v>
      </c>
      <c r="G372">
        <v>3</v>
      </c>
      <c r="H372">
        <v>2</v>
      </c>
      <c r="I372" t="s">
        <v>48</v>
      </c>
      <c r="J372" t="s">
        <v>48</v>
      </c>
      <c r="K372" t="s">
        <v>49</v>
      </c>
      <c r="L372" t="s">
        <v>45</v>
      </c>
      <c r="M372">
        <v>2</v>
      </c>
      <c r="N372">
        <v>2</v>
      </c>
      <c r="O372">
        <v>2</v>
      </c>
      <c r="P372" t="s">
        <v>43</v>
      </c>
      <c r="Q372" t="s">
        <v>43</v>
      </c>
      <c r="R372" t="s">
        <v>43</v>
      </c>
      <c r="S372" t="s">
        <v>42</v>
      </c>
      <c r="T372" t="s">
        <v>42</v>
      </c>
      <c r="U372" t="s">
        <v>42</v>
      </c>
      <c r="V372" t="s">
        <v>43</v>
      </c>
      <c r="W372" t="s">
        <v>42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 x14ac:dyDescent="0.35">
      <c r="A373" t="s">
        <v>53</v>
      </c>
      <c r="B373" t="s">
        <v>50</v>
      </c>
      <c r="C373">
        <v>18</v>
      </c>
      <c r="D373" t="s">
        <v>52</v>
      </c>
      <c r="E373" t="s">
        <v>47</v>
      </c>
      <c r="F373" t="s">
        <v>44</v>
      </c>
      <c r="G373">
        <v>1</v>
      </c>
      <c r="H373">
        <v>2</v>
      </c>
      <c r="I373" t="s">
        <v>38</v>
      </c>
      <c r="J373" t="s">
        <v>48</v>
      </c>
      <c r="K373" t="s">
        <v>45</v>
      </c>
      <c r="L373" t="s">
        <v>46</v>
      </c>
      <c r="M373">
        <v>3</v>
      </c>
      <c r="N373">
        <v>1</v>
      </c>
      <c r="O373">
        <v>0</v>
      </c>
      <c r="P373" t="s">
        <v>43</v>
      </c>
      <c r="Q373" t="s">
        <v>42</v>
      </c>
      <c r="R373" t="s">
        <v>42</v>
      </c>
      <c r="S373" t="s">
        <v>42</v>
      </c>
      <c r="T373" t="s">
        <v>42</v>
      </c>
      <c r="U373" t="s">
        <v>43</v>
      </c>
      <c r="V373" t="s">
        <v>42</v>
      </c>
      <c r="W373" t="s">
        <v>42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 x14ac:dyDescent="0.35">
      <c r="A374" t="s">
        <v>53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38</v>
      </c>
      <c r="K374" t="s">
        <v>49</v>
      </c>
      <c r="L374" t="s">
        <v>41</v>
      </c>
      <c r="M374">
        <v>1</v>
      </c>
      <c r="N374">
        <v>3</v>
      </c>
      <c r="O374">
        <v>0</v>
      </c>
      <c r="P374" t="s">
        <v>43</v>
      </c>
      <c r="Q374" t="s">
        <v>43</v>
      </c>
      <c r="R374" t="s">
        <v>43</v>
      </c>
      <c r="S374" t="s">
        <v>42</v>
      </c>
      <c r="T374" t="s">
        <v>42</v>
      </c>
      <c r="U374" t="s">
        <v>42</v>
      </c>
      <c r="V374" t="s">
        <v>43</v>
      </c>
      <c r="W374" t="s">
        <v>42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 x14ac:dyDescent="0.35">
      <c r="A375" t="s">
        <v>53</v>
      </c>
      <c r="B375" t="s">
        <v>34</v>
      </c>
      <c r="C375">
        <v>17</v>
      </c>
      <c r="D375" t="s">
        <v>52</v>
      </c>
      <c r="E375" t="s">
        <v>36</v>
      </c>
      <c r="F375" t="s">
        <v>44</v>
      </c>
      <c r="G375">
        <v>1</v>
      </c>
      <c r="H375">
        <v>2</v>
      </c>
      <c r="I375" t="s">
        <v>45</v>
      </c>
      <c r="J375" t="s">
        <v>45</v>
      </c>
      <c r="K375" t="s">
        <v>40</v>
      </c>
      <c r="L375" t="s">
        <v>41</v>
      </c>
      <c r="M375">
        <v>1</v>
      </c>
      <c r="N375">
        <v>1</v>
      </c>
      <c r="O375">
        <v>0</v>
      </c>
      <c r="P375" t="s">
        <v>43</v>
      </c>
      <c r="Q375" t="s">
        <v>43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 x14ac:dyDescent="0.35">
      <c r="A376" t="s">
        <v>53</v>
      </c>
      <c r="B376" t="s">
        <v>34</v>
      </c>
      <c r="C376">
        <v>18</v>
      </c>
      <c r="D376" t="s">
        <v>52</v>
      </c>
      <c r="E376" t="s">
        <v>47</v>
      </c>
      <c r="F376" t="s">
        <v>44</v>
      </c>
      <c r="G376">
        <v>4</v>
      </c>
      <c r="H376">
        <v>4</v>
      </c>
      <c r="I376" t="s">
        <v>45</v>
      </c>
      <c r="J376" t="s">
        <v>45</v>
      </c>
      <c r="K376" t="s">
        <v>51</v>
      </c>
      <c r="L376" t="s">
        <v>41</v>
      </c>
      <c r="M376">
        <v>2</v>
      </c>
      <c r="N376">
        <v>3</v>
      </c>
      <c r="O376">
        <v>0</v>
      </c>
      <c r="P376" t="s">
        <v>43</v>
      </c>
      <c r="Q376" t="s">
        <v>43</v>
      </c>
      <c r="R376" t="s">
        <v>43</v>
      </c>
      <c r="S376" t="s">
        <v>43</v>
      </c>
      <c r="T376" t="s">
        <v>42</v>
      </c>
      <c r="U376" t="s">
        <v>42</v>
      </c>
      <c r="V376" t="s">
        <v>42</v>
      </c>
      <c r="W376" t="s">
        <v>43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 x14ac:dyDescent="0.35">
      <c r="A377" t="s">
        <v>53</v>
      </c>
      <c r="B377" t="s">
        <v>34</v>
      </c>
      <c r="C377">
        <v>18</v>
      </c>
      <c r="D377" t="s">
        <v>52</v>
      </c>
      <c r="E377" t="s">
        <v>36</v>
      </c>
      <c r="F377" t="s">
        <v>44</v>
      </c>
      <c r="G377">
        <v>1</v>
      </c>
      <c r="H377">
        <v>1</v>
      </c>
      <c r="I377" t="s">
        <v>45</v>
      </c>
      <c r="J377" t="s">
        <v>45</v>
      </c>
      <c r="K377" t="s">
        <v>49</v>
      </c>
      <c r="L377" t="s">
        <v>41</v>
      </c>
      <c r="M377">
        <v>4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 x14ac:dyDescent="0.35">
      <c r="A378" t="s">
        <v>53</v>
      </c>
      <c r="B378" t="s">
        <v>34</v>
      </c>
      <c r="C378">
        <v>20</v>
      </c>
      <c r="D378" t="s">
        <v>35</v>
      </c>
      <c r="E378" t="s">
        <v>36</v>
      </c>
      <c r="F378" t="s">
        <v>44</v>
      </c>
      <c r="G378">
        <v>4</v>
      </c>
      <c r="H378">
        <v>2</v>
      </c>
      <c r="I378" t="s">
        <v>28</v>
      </c>
      <c r="J378" t="s">
        <v>45</v>
      </c>
      <c r="K378" t="s">
        <v>40</v>
      </c>
      <c r="L378" t="s">
        <v>45</v>
      </c>
      <c r="M378">
        <v>2</v>
      </c>
      <c r="N378">
        <v>3</v>
      </c>
      <c r="O378">
        <v>2</v>
      </c>
      <c r="P378" t="s">
        <v>43</v>
      </c>
      <c r="Q378" t="s">
        <v>42</v>
      </c>
      <c r="R378" t="s">
        <v>42</v>
      </c>
      <c r="S378" t="s">
        <v>43</v>
      </c>
      <c r="T378" t="s">
        <v>43</v>
      </c>
      <c r="U378" t="s">
        <v>42</v>
      </c>
      <c r="V378" t="s">
        <v>42</v>
      </c>
      <c r="W378" t="s">
        <v>42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 x14ac:dyDescent="0.35">
      <c r="A379" t="s">
        <v>53</v>
      </c>
      <c r="B379" t="s">
        <v>34</v>
      </c>
      <c r="C379">
        <v>18</v>
      </c>
      <c r="D379" t="s">
        <v>52</v>
      </c>
      <c r="E379" t="s">
        <v>47</v>
      </c>
      <c r="F379" t="s">
        <v>44</v>
      </c>
      <c r="G379">
        <v>4</v>
      </c>
      <c r="H379">
        <v>4</v>
      </c>
      <c r="I379" t="s">
        <v>39</v>
      </c>
      <c r="J379" t="s">
        <v>48</v>
      </c>
      <c r="K379" t="s">
        <v>40</v>
      </c>
      <c r="L379" t="s">
        <v>41</v>
      </c>
      <c r="M379">
        <v>1</v>
      </c>
      <c r="N379">
        <v>2</v>
      </c>
      <c r="O379">
        <v>0</v>
      </c>
      <c r="P379" t="s">
        <v>43</v>
      </c>
      <c r="Q379" t="s">
        <v>43</v>
      </c>
      <c r="R379" t="s">
        <v>42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 x14ac:dyDescent="0.35">
      <c r="A380" t="s">
        <v>53</v>
      </c>
      <c r="B380" t="s">
        <v>34</v>
      </c>
      <c r="C380">
        <v>18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45</v>
      </c>
      <c r="K380" t="s">
        <v>49</v>
      </c>
      <c r="L380" t="s">
        <v>41</v>
      </c>
      <c r="M380">
        <v>1</v>
      </c>
      <c r="N380">
        <v>2</v>
      </c>
      <c r="O380">
        <v>0</v>
      </c>
      <c r="P380" t="s">
        <v>43</v>
      </c>
      <c r="Q380" t="s">
        <v>43</v>
      </c>
      <c r="R380" t="s">
        <v>42</v>
      </c>
      <c r="S380" t="s">
        <v>43</v>
      </c>
      <c r="T380" t="s">
        <v>42</v>
      </c>
      <c r="U380" t="s">
        <v>42</v>
      </c>
      <c r="V380" t="s">
        <v>42</v>
      </c>
      <c r="W380" t="s">
        <v>42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 x14ac:dyDescent="0.35">
      <c r="A381" t="s">
        <v>53</v>
      </c>
      <c r="B381" t="s">
        <v>34</v>
      </c>
      <c r="C381">
        <v>17</v>
      </c>
      <c r="D381" t="s">
        <v>52</v>
      </c>
      <c r="E381" t="s">
        <v>36</v>
      </c>
      <c r="F381" t="s">
        <v>44</v>
      </c>
      <c r="G381">
        <v>3</v>
      </c>
      <c r="H381">
        <v>1</v>
      </c>
      <c r="I381" t="s">
        <v>38</v>
      </c>
      <c r="J381" t="s">
        <v>45</v>
      </c>
      <c r="K381" t="s">
        <v>51</v>
      </c>
      <c r="L381" t="s">
        <v>41</v>
      </c>
      <c r="M381">
        <v>1</v>
      </c>
      <c r="N381">
        <v>2</v>
      </c>
      <c r="O381">
        <v>0</v>
      </c>
      <c r="P381" t="s">
        <v>43</v>
      </c>
      <c r="Q381" t="s">
        <v>42</v>
      </c>
      <c r="R381" t="s">
        <v>42</v>
      </c>
      <c r="S381" t="s">
        <v>42</v>
      </c>
      <c r="T381" t="s">
        <v>43</v>
      </c>
      <c r="U381" t="s">
        <v>42</v>
      </c>
      <c r="V381" t="s">
        <v>42</v>
      </c>
      <c r="W381" t="s">
        <v>43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 x14ac:dyDescent="0.35">
      <c r="A382" t="s">
        <v>53</v>
      </c>
      <c r="B382" t="s">
        <v>50</v>
      </c>
      <c r="C382">
        <v>18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39</v>
      </c>
      <c r="K382" t="s">
        <v>49</v>
      </c>
      <c r="L382" t="s">
        <v>46</v>
      </c>
      <c r="M382">
        <v>1</v>
      </c>
      <c r="N382">
        <v>2</v>
      </c>
      <c r="O382">
        <v>0</v>
      </c>
      <c r="P382" t="s">
        <v>43</v>
      </c>
      <c r="Q382" t="s">
        <v>43</v>
      </c>
      <c r="R382" t="s">
        <v>42</v>
      </c>
      <c r="S382" t="s">
        <v>42</v>
      </c>
      <c r="T382" t="s">
        <v>43</v>
      </c>
      <c r="U382" t="s">
        <v>42</v>
      </c>
      <c r="V382" t="s">
        <v>42</v>
      </c>
      <c r="W382" t="s">
        <v>43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 x14ac:dyDescent="0.35">
      <c r="A383" t="s">
        <v>53</v>
      </c>
      <c r="B383" t="s">
        <v>50</v>
      </c>
      <c r="C383">
        <v>18</v>
      </c>
      <c r="D383" t="s">
        <v>52</v>
      </c>
      <c r="E383" t="s">
        <v>36</v>
      </c>
      <c r="F383" t="s">
        <v>44</v>
      </c>
      <c r="G383">
        <v>2</v>
      </c>
      <c r="H383">
        <v>1</v>
      </c>
      <c r="I383" t="s">
        <v>45</v>
      </c>
      <c r="J383" t="s">
        <v>45</v>
      </c>
      <c r="K383" t="s">
        <v>45</v>
      </c>
      <c r="L383" t="s">
        <v>41</v>
      </c>
      <c r="M383">
        <v>2</v>
      </c>
      <c r="N383">
        <v>1</v>
      </c>
      <c r="O383">
        <v>0</v>
      </c>
      <c r="P383" t="s">
        <v>43</v>
      </c>
      <c r="Q383" t="s">
        <v>43</v>
      </c>
      <c r="R383" t="s">
        <v>43</v>
      </c>
      <c r="S383" t="s">
        <v>42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 x14ac:dyDescent="0.35">
      <c r="A384" t="s">
        <v>53</v>
      </c>
      <c r="B384" t="s">
        <v>50</v>
      </c>
      <c r="C384">
        <v>17</v>
      </c>
      <c r="D384" t="s">
        <v>35</v>
      </c>
      <c r="E384" t="s">
        <v>36</v>
      </c>
      <c r="F384" t="s">
        <v>44</v>
      </c>
      <c r="G384">
        <v>2</v>
      </c>
      <c r="H384">
        <v>3</v>
      </c>
      <c r="I384" t="s">
        <v>45</v>
      </c>
      <c r="J384" t="s">
        <v>48</v>
      </c>
      <c r="K384" t="s">
        <v>49</v>
      </c>
      <c r="L384" t="s">
        <v>46</v>
      </c>
      <c r="M384">
        <v>2</v>
      </c>
      <c r="N384">
        <v>2</v>
      </c>
      <c r="O384">
        <v>0</v>
      </c>
      <c r="P384" t="s">
        <v>43</v>
      </c>
      <c r="Q384" t="s">
        <v>43</v>
      </c>
      <c r="R384" t="s">
        <v>43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 x14ac:dyDescent="0.35">
      <c r="A385" t="s">
        <v>53</v>
      </c>
      <c r="B385" t="s">
        <v>50</v>
      </c>
      <c r="C385">
        <v>19</v>
      </c>
      <c r="D385" t="s">
        <v>52</v>
      </c>
      <c r="E385" t="s">
        <v>36</v>
      </c>
      <c r="F385" t="s">
        <v>44</v>
      </c>
      <c r="G385">
        <v>1</v>
      </c>
      <c r="H385">
        <v>1</v>
      </c>
      <c r="I385" t="s">
        <v>45</v>
      </c>
      <c r="J385" t="s">
        <v>48</v>
      </c>
      <c r="K385" t="s">
        <v>45</v>
      </c>
      <c r="L385" t="s">
        <v>41</v>
      </c>
      <c r="M385">
        <v>2</v>
      </c>
      <c r="N385">
        <v>1</v>
      </c>
      <c r="O385">
        <v>1</v>
      </c>
      <c r="P385" t="s">
        <v>43</v>
      </c>
      <c r="Q385" t="s">
        <v>43</v>
      </c>
      <c r="R385" t="s">
        <v>43</v>
      </c>
      <c r="S385" t="s">
        <v>43</v>
      </c>
      <c r="T385" t="s">
        <v>42</v>
      </c>
      <c r="U385" t="s">
        <v>42</v>
      </c>
      <c r="V385" t="s">
        <v>43</v>
      </c>
      <c r="W385" t="s">
        <v>43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 x14ac:dyDescent="0.35">
      <c r="A386" t="s">
        <v>53</v>
      </c>
      <c r="B386" t="s">
        <v>50</v>
      </c>
      <c r="C386">
        <v>18</v>
      </c>
      <c r="D386" t="s">
        <v>52</v>
      </c>
      <c r="E386" t="s">
        <v>36</v>
      </c>
      <c r="F386" t="s">
        <v>44</v>
      </c>
      <c r="G386">
        <v>4</v>
      </c>
      <c r="H386">
        <v>2</v>
      </c>
      <c r="I386" t="s">
        <v>45</v>
      </c>
      <c r="J386" t="s">
        <v>45</v>
      </c>
      <c r="K386" t="s">
        <v>49</v>
      </c>
      <c r="L386" t="s">
        <v>46</v>
      </c>
      <c r="M386">
        <v>2</v>
      </c>
      <c r="N386">
        <v>1</v>
      </c>
      <c r="O386">
        <v>1</v>
      </c>
      <c r="P386" t="s">
        <v>43</v>
      </c>
      <c r="Q386" t="s">
        <v>43</v>
      </c>
      <c r="R386" t="s">
        <v>42</v>
      </c>
      <c r="S386" t="s">
        <v>43</v>
      </c>
      <c r="T386" t="s">
        <v>42</v>
      </c>
      <c r="U386" t="s">
        <v>42</v>
      </c>
      <c r="V386" t="s">
        <v>43</v>
      </c>
      <c r="W386" t="s">
        <v>43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 x14ac:dyDescent="0.35">
      <c r="A387" t="s">
        <v>53</v>
      </c>
      <c r="B387" t="s">
        <v>34</v>
      </c>
      <c r="C387">
        <v>18</v>
      </c>
      <c r="D387" t="s">
        <v>52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45</v>
      </c>
      <c r="L387" t="s">
        <v>41</v>
      </c>
      <c r="M387">
        <v>2</v>
      </c>
      <c r="N387">
        <v>3</v>
      </c>
      <c r="O387">
        <v>0</v>
      </c>
      <c r="P387" t="s">
        <v>43</v>
      </c>
      <c r="Q387" t="s">
        <v>43</v>
      </c>
      <c r="R387" t="s">
        <v>42</v>
      </c>
      <c r="S387" t="s">
        <v>43</v>
      </c>
      <c r="T387" t="s">
        <v>42</v>
      </c>
      <c r="U387" t="s">
        <v>42</v>
      </c>
      <c r="V387" t="s">
        <v>43</v>
      </c>
      <c r="W387" t="s">
        <v>43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 x14ac:dyDescent="0.35">
      <c r="A388" t="s">
        <v>53</v>
      </c>
      <c r="B388" t="s">
        <v>34</v>
      </c>
      <c r="C388">
        <v>18</v>
      </c>
      <c r="D388" t="s">
        <v>52</v>
      </c>
      <c r="E388" t="s">
        <v>36</v>
      </c>
      <c r="F388" t="s">
        <v>44</v>
      </c>
      <c r="G388">
        <v>4</v>
      </c>
      <c r="H388">
        <v>4</v>
      </c>
      <c r="I388" t="s">
        <v>39</v>
      </c>
      <c r="J388" t="s">
        <v>38</v>
      </c>
      <c r="K388" t="s">
        <v>51</v>
      </c>
      <c r="L388" t="s">
        <v>41</v>
      </c>
      <c r="M388">
        <v>3</v>
      </c>
      <c r="N388">
        <v>1</v>
      </c>
      <c r="O388">
        <v>0</v>
      </c>
      <c r="P388" t="s">
        <v>43</v>
      </c>
      <c r="Q388" t="s">
        <v>42</v>
      </c>
      <c r="R388" t="s">
        <v>42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 x14ac:dyDescent="0.35">
      <c r="A389" t="s">
        <v>53</v>
      </c>
      <c r="B389" t="s">
        <v>34</v>
      </c>
      <c r="C389">
        <v>19</v>
      </c>
      <c r="D389" t="s">
        <v>52</v>
      </c>
      <c r="E389" t="s">
        <v>36</v>
      </c>
      <c r="F389" t="s">
        <v>44</v>
      </c>
      <c r="G389">
        <v>2</v>
      </c>
      <c r="H389">
        <v>3</v>
      </c>
      <c r="I389" t="s">
        <v>48</v>
      </c>
      <c r="J389" t="s">
        <v>45</v>
      </c>
      <c r="K389" t="s">
        <v>40</v>
      </c>
      <c r="L389" t="s">
        <v>41</v>
      </c>
      <c r="M389">
        <v>1</v>
      </c>
      <c r="N389">
        <v>3</v>
      </c>
      <c r="O389">
        <v>1</v>
      </c>
      <c r="P389" t="s">
        <v>43</v>
      </c>
      <c r="Q389" t="s">
        <v>43</v>
      </c>
      <c r="R389" t="s">
        <v>43</v>
      </c>
      <c r="S389" t="s">
        <v>42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 x14ac:dyDescent="0.35">
      <c r="A390" t="s">
        <v>53</v>
      </c>
      <c r="B390" t="s">
        <v>34</v>
      </c>
      <c r="C390">
        <v>18</v>
      </c>
      <c r="D390" t="s">
        <v>35</v>
      </c>
      <c r="E390" t="s">
        <v>47</v>
      </c>
      <c r="F390" t="s">
        <v>44</v>
      </c>
      <c r="G390">
        <v>3</v>
      </c>
      <c r="H390">
        <v>1</v>
      </c>
      <c r="I390" t="s">
        <v>39</v>
      </c>
      <c r="J390" t="s">
        <v>48</v>
      </c>
      <c r="K390" t="s">
        <v>40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42</v>
      </c>
      <c r="R390" t="s">
        <v>42</v>
      </c>
      <c r="S390" t="s">
        <v>43</v>
      </c>
      <c r="T390" t="s">
        <v>42</v>
      </c>
      <c r="U390" t="s">
        <v>42</v>
      </c>
      <c r="V390" t="s">
        <v>42</v>
      </c>
      <c r="W390" t="s">
        <v>43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 x14ac:dyDescent="0.35">
      <c r="A391" t="s">
        <v>53</v>
      </c>
      <c r="B391" t="s">
        <v>34</v>
      </c>
      <c r="C391">
        <v>18</v>
      </c>
      <c r="D391" t="s">
        <v>35</v>
      </c>
      <c r="E391" t="s">
        <v>36</v>
      </c>
      <c r="F391" t="s">
        <v>44</v>
      </c>
      <c r="G391">
        <v>1</v>
      </c>
      <c r="H391">
        <v>1</v>
      </c>
      <c r="I391" t="s">
        <v>45</v>
      </c>
      <c r="J391" t="s">
        <v>45</v>
      </c>
      <c r="K391" t="s">
        <v>40</v>
      </c>
      <c r="L391" t="s">
        <v>41</v>
      </c>
      <c r="M391">
        <v>2</v>
      </c>
      <c r="N391">
        <v>2</v>
      </c>
      <c r="O391">
        <v>1</v>
      </c>
      <c r="P391" t="s">
        <v>43</v>
      </c>
      <c r="Q391" t="s">
        <v>43</v>
      </c>
      <c r="R391" t="s">
        <v>43</v>
      </c>
      <c r="S391" t="s">
        <v>42</v>
      </c>
      <c r="T391" t="s">
        <v>42</v>
      </c>
      <c r="U391" t="s">
        <v>42</v>
      </c>
      <c r="V391" t="s">
        <v>43</v>
      </c>
      <c r="W391" t="s">
        <v>43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 x14ac:dyDescent="0.35">
      <c r="A392" t="s">
        <v>53</v>
      </c>
      <c r="B392" t="s">
        <v>50</v>
      </c>
      <c r="C392">
        <v>20</v>
      </c>
      <c r="D392" t="s">
        <v>35</v>
      </c>
      <c r="E392" t="s">
        <v>47</v>
      </c>
      <c r="F392" t="s">
        <v>37</v>
      </c>
      <c r="G392">
        <v>2</v>
      </c>
      <c r="H392">
        <v>2</v>
      </c>
      <c r="I392" t="s">
        <v>48</v>
      </c>
      <c r="J392" t="s">
        <v>48</v>
      </c>
      <c r="K392" t="s">
        <v>40</v>
      </c>
      <c r="L392" t="s">
        <v>45</v>
      </c>
      <c r="M392">
        <v>1</v>
      </c>
      <c r="N392">
        <v>2</v>
      </c>
      <c r="O392">
        <v>2</v>
      </c>
      <c r="P392" t="s">
        <v>43</v>
      </c>
      <c r="Q392" t="s">
        <v>42</v>
      </c>
      <c r="R392" t="s">
        <v>42</v>
      </c>
      <c r="S392" t="s">
        <v>43</v>
      </c>
      <c r="T392" t="s">
        <v>42</v>
      </c>
      <c r="U392" t="s">
        <v>42</v>
      </c>
      <c r="V392" t="s">
        <v>43</v>
      </c>
      <c r="W392" t="s">
        <v>43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 x14ac:dyDescent="0.35">
      <c r="A393" t="s">
        <v>53</v>
      </c>
      <c r="B393" t="s">
        <v>50</v>
      </c>
      <c r="C393">
        <v>17</v>
      </c>
      <c r="D393" t="s">
        <v>35</v>
      </c>
      <c r="E393" t="s">
        <v>47</v>
      </c>
      <c r="F393" t="s">
        <v>44</v>
      </c>
      <c r="G393">
        <v>3</v>
      </c>
      <c r="H393">
        <v>1</v>
      </c>
      <c r="I393" t="s">
        <v>48</v>
      </c>
      <c r="J393" t="s">
        <v>48</v>
      </c>
      <c r="K393" t="s">
        <v>40</v>
      </c>
      <c r="L393" t="s">
        <v>41</v>
      </c>
      <c r="M393">
        <v>2</v>
      </c>
      <c r="N393">
        <v>1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42</v>
      </c>
      <c r="V393" t="s">
        <v>42</v>
      </c>
      <c r="W393" t="s">
        <v>43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 x14ac:dyDescent="0.35">
      <c r="A394" t="s">
        <v>53</v>
      </c>
      <c r="B394" t="s">
        <v>50</v>
      </c>
      <c r="C394">
        <v>21</v>
      </c>
      <c r="D394" t="s">
        <v>52</v>
      </c>
      <c r="E394" t="s">
        <v>36</v>
      </c>
      <c r="F394" t="s">
        <v>44</v>
      </c>
      <c r="G394">
        <v>1</v>
      </c>
      <c r="H394">
        <v>1</v>
      </c>
      <c r="I394" t="s">
        <v>45</v>
      </c>
      <c r="J394" t="s">
        <v>45</v>
      </c>
      <c r="K394" t="s">
        <v>40</v>
      </c>
      <c r="L394" t="s">
        <v>45</v>
      </c>
      <c r="M394">
        <v>1</v>
      </c>
      <c r="N394">
        <v>1</v>
      </c>
      <c r="O394">
        <v>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42</v>
      </c>
      <c r="V394" t="s">
        <v>43</v>
      </c>
      <c r="W394" t="s">
        <v>43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 x14ac:dyDescent="0.35">
      <c r="A395" t="s">
        <v>53</v>
      </c>
      <c r="B395" t="s">
        <v>50</v>
      </c>
      <c r="C395">
        <v>18</v>
      </c>
      <c r="D395" t="s">
        <v>52</v>
      </c>
      <c r="E395" t="s">
        <v>47</v>
      </c>
      <c r="F395" t="s">
        <v>44</v>
      </c>
      <c r="G395">
        <v>3</v>
      </c>
      <c r="H395">
        <v>2</v>
      </c>
      <c r="I395" t="s">
        <v>48</v>
      </c>
      <c r="J395" t="s">
        <v>45</v>
      </c>
      <c r="K395" t="s">
        <v>40</v>
      </c>
      <c r="L395" t="s">
        <v>41</v>
      </c>
      <c r="M395">
        <v>3</v>
      </c>
      <c r="N395">
        <v>1</v>
      </c>
      <c r="O395">
        <v>0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42</v>
      </c>
      <c r="V395" t="s">
        <v>42</v>
      </c>
      <c r="W395" t="s">
        <v>43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 x14ac:dyDescent="0.35">
      <c r="A396" t="s">
        <v>53</v>
      </c>
      <c r="B396" t="s">
        <v>50</v>
      </c>
      <c r="C396">
        <v>19</v>
      </c>
      <c r="D396" t="s">
        <v>35</v>
      </c>
      <c r="E396" t="s">
        <v>47</v>
      </c>
      <c r="F396" t="s">
        <v>44</v>
      </c>
      <c r="G396">
        <v>1</v>
      </c>
      <c r="H396">
        <v>1</v>
      </c>
      <c r="I396" t="s">
        <v>45</v>
      </c>
      <c r="J396" t="s">
        <v>38</v>
      </c>
      <c r="K396" t="s">
        <v>40</v>
      </c>
      <c r="L396" t="s">
        <v>46</v>
      </c>
      <c r="M396">
        <v>1</v>
      </c>
      <c r="N396">
        <v>1</v>
      </c>
      <c r="O396">
        <v>0</v>
      </c>
      <c r="P396" t="s">
        <v>43</v>
      </c>
      <c r="Q396" t="s">
        <v>43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  <row r="397" spans="1:33" x14ac:dyDescent="0.35">
      <c r="A397" t="s">
        <v>33</v>
      </c>
      <c r="B397" t="s">
        <v>34</v>
      </c>
      <c r="C397">
        <v>18</v>
      </c>
      <c r="D397" t="s">
        <v>35</v>
      </c>
      <c r="E397" t="s">
        <v>36</v>
      </c>
      <c r="F397" t="s">
        <v>37</v>
      </c>
      <c r="G397">
        <v>4</v>
      </c>
      <c r="H397">
        <v>4</v>
      </c>
      <c r="I397" t="s">
        <v>38</v>
      </c>
      <c r="J397" t="s">
        <v>39</v>
      </c>
      <c r="K397" t="s">
        <v>40</v>
      </c>
      <c r="L397" t="s">
        <v>41</v>
      </c>
      <c r="M397">
        <v>2</v>
      </c>
      <c r="N397">
        <v>2</v>
      </c>
      <c r="O397">
        <v>0</v>
      </c>
      <c r="P397" t="s">
        <v>42</v>
      </c>
      <c r="Q397" t="s">
        <v>43</v>
      </c>
      <c r="R397" t="s">
        <v>43</v>
      </c>
      <c r="S397" t="s">
        <v>43</v>
      </c>
      <c r="T397" t="s">
        <v>42</v>
      </c>
      <c r="U397" t="s">
        <v>42</v>
      </c>
      <c r="V397" t="s">
        <v>43</v>
      </c>
      <c r="W397" t="s">
        <v>43</v>
      </c>
      <c r="X397">
        <v>4</v>
      </c>
      <c r="Y397">
        <v>3</v>
      </c>
      <c r="Z397">
        <v>4</v>
      </c>
      <c r="AA397">
        <v>1</v>
      </c>
      <c r="AB397">
        <v>1</v>
      </c>
      <c r="AC397">
        <v>3</v>
      </c>
      <c r="AD397">
        <v>4</v>
      </c>
      <c r="AE397">
        <v>0</v>
      </c>
      <c r="AF397">
        <v>11</v>
      </c>
      <c r="AG397">
        <v>11</v>
      </c>
    </row>
    <row r="398" spans="1:33" x14ac:dyDescent="0.35">
      <c r="A398" t="s">
        <v>33</v>
      </c>
      <c r="B398" t="s">
        <v>34</v>
      </c>
      <c r="C398">
        <v>17</v>
      </c>
      <c r="D398" t="s">
        <v>35</v>
      </c>
      <c r="E398" t="s">
        <v>36</v>
      </c>
      <c r="F398" t="s">
        <v>44</v>
      </c>
      <c r="G398">
        <v>1</v>
      </c>
      <c r="H398">
        <v>1</v>
      </c>
      <c r="I398" t="s">
        <v>38</v>
      </c>
      <c r="J398" t="s">
        <v>45</v>
      </c>
      <c r="K398" t="s">
        <v>40</v>
      </c>
      <c r="L398" t="s">
        <v>46</v>
      </c>
      <c r="M398">
        <v>1</v>
      </c>
      <c r="N398">
        <v>2</v>
      </c>
      <c r="O398">
        <v>0</v>
      </c>
      <c r="P398" t="s">
        <v>43</v>
      </c>
      <c r="Q398" t="s">
        <v>42</v>
      </c>
      <c r="R398" t="s">
        <v>43</v>
      </c>
      <c r="S398" t="s">
        <v>43</v>
      </c>
      <c r="T398" t="s">
        <v>43</v>
      </c>
      <c r="U398" t="s">
        <v>42</v>
      </c>
      <c r="V398" t="s">
        <v>42</v>
      </c>
      <c r="W398" t="s">
        <v>43</v>
      </c>
      <c r="X398">
        <v>5</v>
      </c>
      <c r="Y398">
        <v>3</v>
      </c>
      <c r="Z398">
        <v>3</v>
      </c>
      <c r="AA398">
        <v>1</v>
      </c>
      <c r="AB398">
        <v>1</v>
      </c>
      <c r="AC398">
        <v>3</v>
      </c>
      <c r="AD398">
        <v>2</v>
      </c>
      <c r="AE398">
        <v>9</v>
      </c>
      <c r="AF398">
        <v>11</v>
      </c>
      <c r="AG398">
        <v>11</v>
      </c>
    </row>
    <row r="399" spans="1:33" x14ac:dyDescent="0.35">
      <c r="A399" t="s">
        <v>33</v>
      </c>
      <c r="B399" t="s">
        <v>34</v>
      </c>
      <c r="C399">
        <v>15</v>
      </c>
      <c r="D399" t="s">
        <v>35</v>
      </c>
      <c r="E399" t="s">
        <v>47</v>
      </c>
      <c r="F399" t="s">
        <v>44</v>
      </c>
      <c r="G399">
        <v>1</v>
      </c>
      <c r="H399">
        <v>1</v>
      </c>
      <c r="I399" t="s">
        <v>38</v>
      </c>
      <c r="J399" t="s">
        <v>45</v>
      </c>
      <c r="K399" t="s">
        <v>45</v>
      </c>
      <c r="L399" t="s">
        <v>41</v>
      </c>
      <c r="M399">
        <v>1</v>
      </c>
      <c r="N399">
        <v>2</v>
      </c>
      <c r="O399">
        <v>0</v>
      </c>
      <c r="P399" t="s">
        <v>42</v>
      </c>
      <c r="Q399" t="s">
        <v>43</v>
      </c>
      <c r="R399" t="s">
        <v>43</v>
      </c>
      <c r="S399" t="s">
        <v>43</v>
      </c>
      <c r="T399" t="s">
        <v>42</v>
      </c>
      <c r="U399" t="s">
        <v>42</v>
      </c>
      <c r="V399" t="s">
        <v>42</v>
      </c>
      <c r="W399" t="s">
        <v>43</v>
      </c>
      <c r="X399">
        <v>4</v>
      </c>
      <c r="Y399">
        <v>3</v>
      </c>
      <c r="Z399">
        <v>2</v>
      </c>
      <c r="AA399">
        <v>2</v>
      </c>
      <c r="AB399">
        <v>3</v>
      </c>
      <c r="AC399">
        <v>3</v>
      </c>
      <c r="AD399">
        <v>6</v>
      </c>
      <c r="AE399">
        <v>12</v>
      </c>
      <c r="AF399">
        <v>13</v>
      </c>
      <c r="AG399">
        <v>12</v>
      </c>
    </row>
    <row r="400" spans="1:33" x14ac:dyDescent="0.35">
      <c r="A400" t="s">
        <v>33</v>
      </c>
      <c r="B400" t="s">
        <v>34</v>
      </c>
      <c r="C400">
        <v>15</v>
      </c>
      <c r="D400" t="s">
        <v>35</v>
      </c>
      <c r="E400" t="s">
        <v>36</v>
      </c>
      <c r="F400" t="s">
        <v>44</v>
      </c>
      <c r="G400">
        <v>4</v>
      </c>
      <c r="H400">
        <v>2</v>
      </c>
      <c r="I400" t="s">
        <v>28</v>
      </c>
      <c r="J400" t="s">
        <v>48</v>
      </c>
      <c r="K400" t="s">
        <v>49</v>
      </c>
      <c r="L400" t="s">
        <v>41</v>
      </c>
      <c r="M400">
        <v>1</v>
      </c>
      <c r="N400">
        <v>3</v>
      </c>
      <c r="O400">
        <v>0</v>
      </c>
      <c r="P400" t="s">
        <v>43</v>
      </c>
      <c r="Q400" t="s">
        <v>42</v>
      </c>
      <c r="R400" t="s">
        <v>43</v>
      </c>
      <c r="S400" t="s">
        <v>42</v>
      </c>
      <c r="T400" t="s">
        <v>42</v>
      </c>
      <c r="U400" t="s">
        <v>42</v>
      </c>
      <c r="V400" t="s">
        <v>42</v>
      </c>
      <c r="W400" t="s">
        <v>42</v>
      </c>
      <c r="X400">
        <v>3</v>
      </c>
      <c r="Y400">
        <v>2</v>
      </c>
      <c r="Z400">
        <v>2</v>
      </c>
      <c r="AA400">
        <v>1</v>
      </c>
      <c r="AB400">
        <v>1</v>
      </c>
      <c r="AC400">
        <v>5</v>
      </c>
      <c r="AD400">
        <v>0</v>
      </c>
      <c r="AE400">
        <v>14</v>
      </c>
      <c r="AF400">
        <v>14</v>
      </c>
      <c r="AG400">
        <v>14</v>
      </c>
    </row>
    <row r="401" spans="1:33" x14ac:dyDescent="0.35">
      <c r="A401" t="s">
        <v>33</v>
      </c>
      <c r="B401" t="s">
        <v>34</v>
      </c>
      <c r="C401">
        <v>16</v>
      </c>
      <c r="D401" t="s">
        <v>35</v>
      </c>
      <c r="E401" t="s">
        <v>36</v>
      </c>
      <c r="F401" t="s">
        <v>44</v>
      </c>
      <c r="G401">
        <v>3</v>
      </c>
      <c r="H401">
        <v>3</v>
      </c>
      <c r="I401" t="s">
        <v>45</v>
      </c>
      <c r="J401" t="s">
        <v>45</v>
      </c>
      <c r="K401" t="s">
        <v>49</v>
      </c>
      <c r="L401" t="s">
        <v>46</v>
      </c>
      <c r="M401">
        <v>1</v>
      </c>
      <c r="N401">
        <v>2</v>
      </c>
      <c r="O401">
        <v>0</v>
      </c>
      <c r="P401" t="s">
        <v>43</v>
      </c>
      <c r="Q401" t="s">
        <v>42</v>
      </c>
      <c r="R401" t="s">
        <v>43</v>
      </c>
      <c r="S401" t="s">
        <v>43</v>
      </c>
      <c r="T401" t="s">
        <v>42</v>
      </c>
      <c r="U401" t="s">
        <v>42</v>
      </c>
      <c r="V401" t="s">
        <v>43</v>
      </c>
      <c r="W401" t="s">
        <v>43</v>
      </c>
      <c r="X401">
        <v>4</v>
      </c>
      <c r="Y401">
        <v>3</v>
      </c>
      <c r="Z401">
        <v>2</v>
      </c>
      <c r="AA401">
        <v>1</v>
      </c>
      <c r="AB401">
        <v>2</v>
      </c>
      <c r="AC401">
        <v>5</v>
      </c>
      <c r="AD401">
        <v>0</v>
      </c>
      <c r="AE401">
        <v>11</v>
      </c>
      <c r="AF401">
        <v>13</v>
      </c>
      <c r="AG401">
        <v>13</v>
      </c>
    </row>
    <row r="402" spans="1:33" x14ac:dyDescent="0.35">
      <c r="A402" t="s">
        <v>33</v>
      </c>
      <c r="B402" t="s">
        <v>50</v>
      </c>
      <c r="C402">
        <v>16</v>
      </c>
      <c r="D402" t="s">
        <v>35</v>
      </c>
      <c r="E402" t="s">
        <v>47</v>
      </c>
      <c r="F402" t="s">
        <v>44</v>
      </c>
      <c r="G402">
        <v>4</v>
      </c>
      <c r="H402">
        <v>3</v>
      </c>
      <c r="I402" t="s">
        <v>48</v>
      </c>
      <c r="J402" t="s">
        <v>45</v>
      </c>
      <c r="K402" t="s">
        <v>51</v>
      </c>
      <c r="L402" t="s">
        <v>41</v>
      </c>
      <c r="M402">
        <v>1</v>
      </c>
      <c r="N402">
        <v>2</v>
      </c>
      <c r="O402">
        <v>0</v>
      </c>
      <c r="P402" t="s">
        <v>43</v>
      </c>
      <c r="Q402" t="s">
        <v>42</v>
      </c>
      <c r="R402" t="s">
        <v>43</v>
      </c>
      <c r="S402" t="s">
        <v>42</v>
      </c>
      <c r="T402" t="s">
        <v>42</v>
      </c>
      <c r="U402" t="s">
        <v>42</v>
      </c>
      <c r="V402" t="s">
        <v>42</v>
      </c>
      <c r="W402" t="s">
        <v>43</v>
      </c>
      <c r="X402">
        <v>5</v>
      </c>
      <c r="Y402">
        <v>4</v>
      </c>
      <c r="Z402">
        <v>2</v>
      </c>
      <c r="AA402">
        <v>1</v>
      </c>
      <c r="AB402">
        <v>2</v>
      </c>
      <c r="AC402">
        <v>5</v>
      </c>
      <c r="AD402">
        <v>6</v>
      </c>
      <c r="AE402">
        <v>12</v>
      </c>
      <c r="AF402">
        <v>12</v>
      </c>
      <c r="AG402">
        <v>13</v>
      </c>
    </row>
    <row r="403" spans="1:33" x14ac:dyDescent="0.35">
      <c r="A403" t="s">
        <v>33</v>
      </c>
      <c r="B403" t="s">
        <v>50</v>
      </c>
      <c r="C403">
        <v>16</v>
      </c>
      <c r="D403" t="s">
        <v>35</v>
      </c>
      <c r="E403" t="s">
        <v>47</v>
      </c>
      <c r="F403" t="s">
        <v>44</v>
      </c>
      <c r="G403">
        <v>2</v>
      </c>
      <c r="H403">
        <v>2</v>
      </c>
      <c r="I403" t="s">
        <v>45</v>
      </c>
      <c r="J403" t="s">
        <v>45</v>
      </c>
      <c r="K403" t="s">
        <v>49</v>
      </c>
      <c r="L403" t="s">
        <v>41</v>
      </c>
      <c r="M403">
        <v>1</v>
      </c>
      <c r="N403">
        <v>2</v>
      </c>
      <c r="O403">
        <v>0</v>
      </c>
      <c r="P403" t="s">
        <v>43</v>
      </c>
      <c r="Q403" t="s">
        <v>43</v>
      </c>
      <c r="R403" t="s">
        <v>43</v>
      </c>
      <c r="S403" t="s">
        <v>43</v>
      </c>
      <c r="T403" t="s">
        <v>42</v>
      </c>
      <c r="U403" t="s">
        <v>42</v>
      </c>
      <c r="V403" t="s">
        <v>42</v>
      </c>
      <c r="W403" t="s">
        <v>43</v>
      </c>
      <c r="X403">
        <v>4</v>
      </c>
      <c r="Y403">
        <v>4</v>
      </c>
      <c r="Z403">
        <v>4</v>
      </c>
      <c r="AA403">
        <v>1</v>
      </c>
      <c r="AB403">
        <v>1</v>
      </c>
      <c r="AC403">
        <v>3</v>
      </c>
      <c r="AD403">
        <v>0</v>
      </c>
      <c r="AE403">
        <v>13</v>
      </c>
      <c r="AF403">
        <v>12</v>
      </c>
      <c r="AG403">
        <v>13</v>
      </c>
    </row>
    <row r="404" spans="1:33" x14ac:dyDescent="0.35">
      <c r="A404" t="s">
        <v>33</v>
      </c>
      <c r="B404" t="s">
        <v>34</v>
      </c>
      <c r="C404">
        <v>17</v>
      </c>
      <c r="D404" t="s">
        <v>35</v>
      </c>
      <c r="E404" t="s">
        <v>36</v>
      </c>
      <c r="F404" t="s">
        <v>37</v>
      </c>
      <c r="G404">
        <v>4</v>
      </c>
      <c r="H404">
        <v>4</v>
      </c>
      <c r="I404" t="s">
        <v>45</v>
      </c>
      <c r="J404" t="s">
        <v>39</v>
      </c>
      <c r="K404" t="s">
        <v>49</v>
      </c>
      <c r="L404" t="s">
        <v>41</v>
      </c>
      <c r="M404">
        <v>2</v>
      </c>
      <c r="N404">
        <v>2</v>
      </c>
      <c r="O404">
        <v>0</v>
      </c>
      <c r="P404" t="s">
        <v>42</v>
      </c>
      <c r="Q404" t="s">
        <v>42</v>
      </c>
      <c r="R404" t="s">
        <v>43</v>
      </c>
      <c r="S404" t="s">
        <v>43</v>
      </c>
      <c r="T404" t="s">
        <v>42</v>
      </c>
      <c r="U404" t="s">
        <v>42</v>
      </c>
      <c r="V404" t="s">
        <v>43</v>
      </c>
      <c r="W404" t="s">
        <v>43</v>
      </c>
      <c r="X404">
        <v>4</v>
      </c>
      <c r="Y404">
        <v>1</v>
      </c>
      <c r="Z404">
        <v>4</v>
      </c>
      <c r="AA404">
        <v>1</v>
      </c>
      <c r="AB404">
        <v>1</v>
      </c>
      <c r="AC404">
        <v>1</v>
      </c>
      <c r="AD404">
        <v>2</v>
      </c>
      <c r="AE404">
        <v>10</v>
      </c>
      <c r="AF404">
        <v>13</v>
      </c>
      <c r="AG404">
        <v>13</v>
      </c>
    </row>
    <row r="405" spans="1:33" x14ac:dyDescent="0.35">
      <c r="A405" t="s">
        <v>33</v>
      </c>
      <c r="B405" t="s">
        <v>50</v>
      </c>
      <c r="C405">
        <v>15</v>
      </c>
      <c r="D405" t="s">
        <v>35</v>
      </c>
      <c r="E405" t="s">
        <v>47</v>
      </c>
      <c r="F405" t="s">
        <v>37</v>
      </c>
      <c r="G405">
        <v>3</v>
      </c>
      <c r="H405">
        <v>2</v>
      </c>
      <c r="I405" t="s">
        <v>48</v>
      </c>
      <c r="J405" t="s">
        <v>45</v>
      </c>
      <c r="K405" t="s">
        <v>49</v>
      </c>
      <c r="L405" t="s">
        <v>41</v>
      </c>
      <c r="M405">
        <v>1</v>
      </c>
      <c r="N405">
        <v>2</v>
      </c>
      <c r="O405">
        <v>0</v>
      </c>
      <c r="P405" t="s">
        <v>43</v>
      </c>
      <c r="Q405" t="s">
        <v>42</v>
      </c>
      <c r="R405" t="s">
        <v>43</v>
      </c>
      <c r="S405" t="s">
        <v>43</v>
      </c>
      <c r="T405" t="s">
        <v>42</v>
      </c>
      <c r="U405" t="s">
        <v>42</v>
      </c>
      <c r="V405" t="s">
        <v>42</v>
      </c>
      <c r="W405" t="s">
        <v>43</v>
      </c>
      <c r="X405">
        <v>4</v>
      </c>
      <c r="Y405">
        <v>2</v>
      </c>
      <c r="Z405">
        <v>2</v>
      </c>
      <c r="AA405">
        <v>1</v>
      </c>
      <c r="AB405">
        <v>1</v>
      </c>
      <c r="AC405">
        <v>1</v>
      </c>
      <c r="AD405">
        <v>0</v>
      </c>
      <c r="AE405">
        <v>15</v>
      </c>
      <c r="AF405">
        <v>16</v>
      </c>
      <c r="AG405">
        <v>17</v>
      </c>
    </row>
    <row r="406" spans="1:33" x14ac:dyDescent="0.35">
      <c r="A406" t="s">
        <v>33</v>
      </c>
      <c r="B406" t="s">
        <v>50</v>
      </c>
      <c r="C406">
        <v>15</v>
      </c>
      <c r="D406" t="s">
        <v>35</v>
      </c>
      <c r="E406" t="s">
        <v>36</v>
      </c>
      <c r="F406" t="s">
        <v>44</v>
      </c>
      <c r="G406">
        <v>3</v>
      </c>
      <c r="H406">
        <v>4</v>
      </c>
      <c r="I406" t="s">
        <v>45</v>
      </c>
      <c r="J406" t="s">
        <v>45</v>
      </c>
      <c r="K406" t="s">
        <v>49</v>
      </c>
      <c r="L406" t="s">
        <v>41</v>
      </c>
      <c r="M406">
        <v>1</v>
      </c>
      <c r="N406">
        <v>2</v>
      </c>
      <c r="O406">
        <v>0</v>
      </c>
      <c r="P406" t="s">
        <v>43</v>
      </c>
      <c r="Q406" t="s">
        <v>42</v>
      </c>
      <c r="R406" t="s">
        <v>43</v>
      </c>
      <c r="S406" t="s">
        <v>42</v>
      </c>
      <c r="T406" t="s">
        <v>42</v>
      </c>
      <c r="U406" t="s">
        <v>42</v>
      </c>
      <c r="V406" t="s">
        <v>42</v>
      </c>
      <c r="W406" t="s">
        <v>43</v>
      </c>
      <c r="X406">
        <v>5</v>
      </c>
      <c r="Y406">
        <v>5</v>
      </c>
      <c r="Z406">
        <v>1</v>
      </c>
      <c r="AA406">
        <v>1</v>
      </c>
      <c r="AB406">
        <v>1</v>
      </c>
      <c r="AC406">
        <v>5</v>
      </c>
      <c r="AD406">
        <v>0</v>
      </c>
      <c r="AE406">
        <v>12</v>
      </c>
      <c r="AF406">
        <v>12</v>
      </c>
      <c r="AG406">
        <v>13</v>
      </c>
    </row>
    <row r="407" spans="1:33" x14ac:dyDescent="0.35">
      <c r="A407" t="s">
        <v>33</v>
      </c>
      <c r="B407" t="s">
        <v>34</v>
      </c>
      <c r="C407">
        <v>15</v>
      </c>
      <c r="D407" t="s">
        <v>35</v>
      </c>
      <c r="E407" t="s">
        <v>36</v>
      </c>
      <c r="F407" t="s">
        <v>44</v>
      </c>
      <c r="G407">
        <v>4</v>
      </c>
      <c r="H407">
        <v>4</v>
      </c>
      <c r="I407" t="s">
        <v>39</v>
      </c>
      <c r="J407" t="s">
        <v>28</v>
      </c>
      <c r="K407" t="s">
        <v>51</v>
      </c>
      <c r="L407" t="s">
        <v>41</v>
      </c>
      <c r="M407">
        <v>1</v>
      </c>
      <c r="N407">
        <v>2</v>
      </c>
      <c r="O407">
        <v>0</v>
      </c>
      <c r="P407" t="s">
        <v>43</v>
      </c>
      <c r="Q407" t="s">
        <v>42</v>
      </c>
      <c r="R407" t="s">
        <v>43</v>
      </c>
      <c r="S407" t="s">
        <v>43</v>
      </c>
      <c r="T407" t="s">
        <v>42</v>
      </c>
      <c r="U407" t="s">
        <v>42</v>
      </c>
      <c r="V407" t="s">
        <v>42</v>
      </c>
      <c r="W407" t="s">
        <v>43</v>
      </c>
      <c r="X407">
        <v>3</v>
      </c>
      <c r="Y407">
        <v>3</v>
      </c>
      <c r="Z407">
        <v>3</v>
      </c>
      <c r="AA407">
        <v>1</v>
      </c>
      <c r="AB407">
        <v>2</v>
      </c>
      <c r="AC407">
        <v>2</v>
      </c>
      <c r="AD407">
        <v>2</v>
      </c>
      <c r="AE407">
        <v>14</v>
      </c>
      <c r="AF407">
        <v>14</v>
      </c>
      <c r="AG407">
        <v>14</v>
      </c>
    </row>
    <row r="408" spans="1:33" x14ac:dyDescent="0.35">
      <c r="A408" t="s">
        <v>33</v>
      </c>
      <c r="B408" t="s">
        <v>34</v>
      </c>
      <c r="C408">
        <v>15</v>
      </c>
      <c r="D408" t="s">
        <v>35</v>
      </c>
      <c r="E408" t="s">
        <v>36</v>
      </c>
      <c r="F408" t="s">
        <v>44</v>
      </c>
      <c r="G408">
        <v>2</v>
      </c>
      <c r="H408">
        <v>1</v>
      </c>
      <c r="I408" t="s">
        <v>48</v>
      </c>
      <c r="J408" t="s">
        <v>45</v>
      </c>
      <c r="K408" t="s">
        <v>51</v>
      </c>
      <c r="L408" t="s">
        <v>46</v>
      </c>
      <c r="M408">
        <v>3</v>
      </c>
      <c r="N408">
        <v>3</v>
      </c>
      <c r="O408">
        <v>0</v>
      </c>
      <c r="P408" t="s">
        <v>43</v>
      </c>
      <c r="Q408" t="s">
        <v>42</v>
      </c>
      <c r="R408" t="s">
        <v>43</v>
      </c>
      <c r="S408" t="s">
        <v>42</v>
      </c>
      <c r="T408" t="s">
        <v>42</v>
      </c>
      <c r="U408" t="s">
        <v>42</v>
      </c>
      <c r="V408" t="s">
        <v>42</v>
      </c>
      <c r="W408" t="s">
        <v>43</v>
      </c>
      <c r="X408">
        <v>5</v>
      </c>
      <c r="Y408">
        <v>2</v>
      </c>
      <c r="Z408">
        <v>2</v>
      </c>
      <c r="AA408">
        <v>1</v>
      </c>
      <c r="AB408">
        <v>1</v>
      </c>
      <c r="AC408">
        <v>4</v>
      </c>
      <c r="AD408">
        <v>0</v>
      </c>
      <c r="AE408">
        <v>10</v>
      </c>
      <c r="AF408">
        <v>12</v>
      </c>
      <c r="AG408">
        <v>13</v>
      </c>
    </row>
    <row r="409" spans="1:33" x14ac:dyDescent="0.35">
      <c r="A409" t="s">
        <v>33</v>
      </c>
      <c r="B409" t="s">
        <v>50</v>
      </c>
      <c r="C409">
        <v>15</v>
      </c>
      <c r="D409" t="s">
        <v>35</v>
      </c>
      <c r="E409" t="s">
        <v>47</v>
      </c>
      <c r="F409" t="s">
        <v>44</v>
      </c>
      <c r="G409">
        <v>4</v>
      </c>
      <c r="H409">
        <v>4</v>
      </c>
      <c r="I409" t="s">
        <v>28</v>
      </c>
      <c r="J409" t="s">
        <v>48</v>
      </c>
      <c r="K409" t="s">
        <v>40</v>
      </c>
      <c r="L409" t="s">
        <v>46</v>
      </c>
      <c r="M409">
        <v>1</v>
      </c>
      <c r="N409">
        <v>1</v>
      </c>
      <c r="O409">
        <v>0</v>
      </c>
      <c r="P409" t="s">
        <v>43</v>
      </c>
      <c r="Q409" t="s">
        <v>42</v>
      </c>
      <c r="R409" t="s">
        <v>43</v>
      </c>
      <c r="S409" t="s">
        <v>42</v>
      </c>
      <c r="T409" t="s">
        <v>42</v>
      </c>
      <c r="U409" t="s">
        <v>42</v>
      </c>
      <c r="V409" t="s">
        <v>42</v>
      </c>
      <c r="W409" t="s">
        <v>43</v>
      </c>
      <c r="X409">
        <v>4</v>
      </c>
      <c r="Y409">
        <v>3</v>
      </c>
      <c r="Z409">
        <v>3</v>
      </c>
      <c r="AA409">
        <v>1</v>
      </c>
      <c r="AB409">
        <v>3</v>
      </c>
      <c r="AC409">
        <v>5</v>
      </c>
      <c r="AD409">
        <v>0</v>
      </c>
      <c r="AE409">
        <v>12</v>
      </c>
      <c r="AF409">
        <v>13</v>
      </c>
      <c r="AG409">
        <v>12</v>
      </c>
    </row>
    <row r="410" spans="1:33" x14ac:dyDescent="0.35">
      <c r="A410" t="s">
        <v>33</v>
      </c>
      <c r="B410" t="s">
        <v>50</v>
      </c>
      <c r="C410">
        <v>15</v>
      </c>
      <c r="D410" t="s">
        <v>35</v>
      </c>
      <c r="E410" t="s">
        <v>36</v>
      </c>
      <c r="F410" t="s">
        <v>44</v>
      </c>
      <c r="G410">
        <v>4</v>
      </c>
      <c r="H410">
        <v>3</v>
      </c>
      <c r="I410" t="s">
        <v>39</v>
      </c>
      <c r="J410" t="s">
        <v>45</v>
      </c>
      <c r="K410" t="s">
        <v>40</v>
      </c>
      <c r="L410" t="s">
        <v>41</v>
      </c>
      <c r="M410">
        <v>2</v>
      </c>
      <c r="N410">
        <v>2</v>
      </c>
      <c r="O410">
        <v>0</v>
      </c>
      <c r="P410" t="s">
        <v>43</v>
      </c>
      <c r="Q410" t="s">
        <v>42</v>
      </c>
      <c r="R410" t="s">
        <v>43</v>
      </c>
      <c r="S410" t="s">
        <v>43</v>
      </c>
      <c r="T410" t="s">
        <v>42</v>
      </c>
      <c r="U410" t="s">
        <v>42</v>
      </c>
      <c r="V410" t="s">
        <v>42</v>
      </c>
      <c r="W410" t="s">
        <v>43</v>
      </c>
      <c r="X410">
        <v>5</v>
      </c>
      <c r="Y410">
        <v>4</v>
      </c>
      <c r="Z410">
        <v>3</v>
      </c>
      <c r="AA410">
        <v>1</v>
      </c>
      <c r="AB410">
        <v>2</v>
      </c>
      <c r="AC410">
        <v>3</v>
      </c>
      <c r="AD410">
        <v>0</v>
      </c>
      <c r="AE410">
        <v>12</v>
      </c>
      <c r="AF410">
        <v>12</v>
      </c>
      <c r="AG410">
        <v>13</v>
      </c>
    </row>
    <row r="411" spans="1:33" x14ac:dyDescent="0.35">
      <c r="A411" t="s">
        <v>33</v>
      </c>
      <c r="B411" t="s">
        <v>50</v>
      </c>
      <c r="C411">
        <v>15</v>
      </c>
      <c r="D411" t="s">
        <v>35</v>
      </c>
      <c r="E411" t="s">
        <v>36</v>
      </c>
      <c r="F411" t="s">
        <v>37</v>
      </c>
      <c r="G411">
        <v>2</v>
      </c>
      <c r="H411">
        <v>2</v>
      </c>
      <c r="I411" t="s">
        <v>45</v>
      </c>
      <c r="J411" t="s">
        <v>45</v>
      </c>
      <c r="K411" t="s">
        <v>49</v>
      </c>
      <c r="L411" t="s">
        <v>45</v>
      </c>
      <c r="M411">
        <v>1</v>
      </c>
      <c r="N411">
        <v>3</v>
      </c>
      <c r="O411">
        <v>0</v>
      </c>
      <c r="P411" t="s">
        <v>43</v>
      </c>
      <c r="Q411" t="s">
        <v>42</v>
      </c>
      <c r="R411" t="s">
        <v>43</v>
      </c>
      <c r="S411" t="s">
        <v>43</v>
      </c>
      <c r="T411" t="s">
        <v>42</v>
      </c>
      <c r="U411" t="s">
        <v>42</v>
      </c>
      <c r="V411" t="s">
        <v>42</v>
      </c>
      <c r="W411" t="s">
        <v>42</v>
      </c>
      <c r="X411">
        <v>4</v>
      </c>
      <c r="Y411">
        <v>5</v>
      </c>
      <c r="Z411">
        <v>2</v>
      </c>
      <c r="AA411">
        <v>1</v>
      </c>
      <c r="AB411">
        <v>1</v>
      </c>
      <c r="AC411">
        <v>3</v>
      </c>
      <c r="AD411">
        <v>0</v>
      </c>
      <c r="AE411">
        <v>14</v>
      </c>
      <c r="AF411">
        <v>14</v>
      </c>
      <c r="AG411">
        <v>15</v>
      </c>
    </row>
    <row r="412" spans="1:33" x14ac:dyDescent="0.35">
      <c r="A412" t="s">
        <v>33</v>
      </c>
      <c r="B412" t="s">
        <v>34</v>
      </c>
      <c r="C412">
        <v>16</v>
      </c>
      <c r="D412" t="s">
        <v>35</v>
      </c>
      <c r="E412" t="s">
        <v>36</v>
      </c>
      <c r="F412" t="s">
        <v>44</v>
      </c>
      <c r="G412">
        <v>4</v>
      </c>
      <c r="H412">
        <v>4</v>
      </c>
      <c r="I412" t="s">
        <v>28</v>
      </c>
      <c r="J412" t="s">
        <v>45</v>
      </c>
      <c r="K412" t="s">
        <v>49</v>
      </c>
      <c r="L412" t="s">
        <v>41</v>
      </c>
      <c r="M412">
        <v>1</v>
      </c>
      <c r="N412">
        <v>1</v>
      </c>
      <c r="O412">
        <v>0</v>
      </c>
      <c r="P412" t="s">
        <v>43</v>
      </c>
      <c r="Q412" t="s">
        <v>42</v>
      </c>
      <c r="R412" t="s">
        <v>43</v>
      </c>
      <c r="S412" t="s">
        <v>43</v>
      </c>
      <c r="T412" t="s">
        <v>42</v>
      </c>
      <c r="U412" t="s">
        <v>42</v>
      </c>
      <c r="V412" t="s">
        <v>42</v>
      </c>
      <c r="W412" t="s">
        <v>43</v>
      </c>
      <c r="X412">
        <v>4</v>
      </c>
      <c r="Y412">
        <v>4</v>
      </c>
      <c r="Z412">
        <v>4</v>
      </c>
      <c r="AA412">
        <v>1</v>
      </c>
      <c r="AB412">
        <v>2</v>
      </c>
      <c r="AC412">
        <v>2</v>
      </c>
      <c r="AD412">
        <v>6</v>
      </c>
      <c r="AE412">
        <v>17</v>
      </c>
      <c r="AF412">
        <v>17</v>
      </c>
      <c r="AG412">
        <v>17</v>
      </c>
    </row>
    <row r="413" spans="1:33" x14ac:dyDescent="0.35">
      <c r="A413" t="s">
        <v>33</v>
      </c>
      <c r="B413" t="s">
        <v>34</v>
      </c>
      <c r="C413">
        <v>16</v>
      </c>
      <c r="D413" t="s">
        <v>35</v>
      </c>
      <c r="E413" t="s">
        <v>36</v>
      </c>
      <c r="F413" t="s">
        <v>44</v>
      </c>
      <c r="G413">
        <v>4</v>
      </c>
      <c r="H413">
        <v>4</v>
      </c>
      <c r="I413" t="s">
        <v>48</v>
      </c>
      <c r="J413" t="s">
        <v>48</v>
      </c>
      <c r="K413" t="s">
        <v>51</v>
      </c>
      <c r="L413" t="s">
        <v>41</v>
      </c>
      <c r="M413">
        <v>1</v>
      </c>
      <c r="N413">
        <v>3</v>
      </c>
      <c r="O413">
        <v>0</v>
      </c>
      <c r="P413" t="s">
        <v>43</v>
      </c>
      <c r="Q413" t="s">
        <v>42</v>
      </c>
      <c r="R413" t="s">
        <v>43</v>
      </c>
      <c r="S413" t="s">
        <v>42</v>
      </c>
      <c r="T413" t="s">
        <v>42</v>
      </c>
      <c r="U413" t="s">
        <v>42</v>
      </c>
      <c r="V413" t="s">
        <v>42</v>
      </c>
      <c r="W413" t="s">
        <v>43</v>
      </c>
      <c r="X413">
        <v>3</v>
      </c>
      <c r="Y413">
        <v>2</v>
      </c>
      <c r="Z413">
        <v>3</v>
      </c>
      <c r="AA413">
        <v>1</v>
      </c>
      <c r="AB413">
        <v>2</v>
      </c>
      <c r="AC413">
        <v>2</v>
      </c>
      <c r="AD413">
        <v>10</v>
      </c>
      <c r="AE413">
        <v>13</v>
      </c>
      <c r="AF413">
        <v>13</v>
      </c>
      <c r="AG413">
        <v>14</v>
      </c>
    </row>
    <row r="414" spans="1:33" x14ac:dyDescent="0.35">
      <c r="A414" t="s">
        <v>33</v>
      </c>
      <c r="B414" t="s">
        <v>34</v>
      </c>
      <c r="C414">
        <v>16</v>
      </c>
      <c r="D414" t="s">
        <v>35</v>
      </c>
      <c r="E414" t="s">
        <v>36</v>
      </c>
      <c r="F414" t="s">
        <v>44</v>
      </c>
      <c r="G414">
        <v>3</v>
      </c>
      <c r="H414">
        <v>3</v>
      </c>
      <c r="I414" t="s">
        <v>45</v>
      </c>
      <c r="J414" t="s">
        <v>45</v>
      </c>
      <c r="K414" t="s">
        <v>51</v>
      </c>
      <c r="L414" t="s">
        <v>41</v>
      </c>
      <c r="M414">
        <v>3</v>
      </c>
      <c r="N414">
        <v>2</v>
      </c>
      <c r="O414">
        <v>0</v>
      </c>
      <c r="P414" t="s">
        <v>42</v>
      </c>
      <c r="Q414" t="s">
        <v>42</v>
      </c>
      <c r="R414" t="s">
        <v>43</v>
      </c>
      <c r="S414" t="s">
        <v>42</v>
      </c>
      <c r="T414" t="s">
        <v>42</v>
      </c>
      <c r="U414" t="s">
        <v>42</v>
      </c>
      <c r="V414" t="s">
        <v>43</v>
      </c>
      <c r="W414" t="s">
        <v>43</v>
      </c>
      <c r="X414">
        <v>5</v>
      </c>
      <c r="Y414">
        <v>3</v>
      </c>
      <c r="Z414">
        <v>2</v>
      </c>
      <c r="AA414">
        <v>1</v>
      </c>
      <c r="AB414">
        <v>1</v>
      </c>
      <c r="AC414">
        <v>4</v>
      </c>
      <c r="AD414">
        <v>2</v>
      </c>
      <c r="AE414">
        <v>13</v>
      </c>
      <c r="AF414">
        <v>14</v>
      </c>
      <c r="AG414">
        <v>14</v>
      </c>
    </row>
    <row r="415" spans="1:33" x14ac:dyDescent="0.35">
      <c r="A415" t="s">
        <v>33</v>
      </c>
      <c r="B415" t="s">
        <v>50</v>
      </c>
      <c r="C415">
        <v>17</v>
      </c>
      <c r="D415" t="s">
        <v>35</v>
      </c>
      <c r="E415" t="s">
        <v>36</v>
      </c>
      <c r="F415" t="s">
        <v>44</v>
      </c>
      <c r="G415">
        <v>3</v>
      </c>
      <c r="H415">
        <v>2</v>
      </c>
      <c r="I415" t="s">
        <v>48</v>
      </c>
      <c r="J415" t="s">
        <v>48</v>
      </c>
      <c r="K415" t="s">
        <v>40</v>
      </c>
      <c r="L415" t="s">
        <v>41</v>
      </c>
      <c r="M415">
        <v>1</v>
      </c>
      <c r="N415">
        <v>1</v>
      </c>
      <c r="O415">
        <v>3</v>
      </c>
      <c r="P415" t="s">
        <v>43</v>
      </c>
      <c r="Q415" t="s">
        <v>42</v>
      </c>
      <c r="R415" t="s">
        <v>42</v>
      </c>
      <c r="S415" t="s">
        <v>42</v>
      </c>
      <c r="T415" t="s">
        <v>42</v>
      </c>
      <c r="U415" t="s">
        <v>42</v>
      </c>
      <c r="V415" t="s">
        <v>42</v>
      </c>
      <c r="W415" t="s">
        <v>43</v>
      </c>
      <c r="X415">
        <v>5</v>
      </c>
      <c r="Y415">
        <v>5</v>
      </c>
      <c r="Z415">
        <v>5</v>
      </c>
      <c r="AA415">
        <v>2</v>
      </c>
      <c r="AB415">
        <v>4</v>
      </c>
      <c r="AC415">
        <v>5</v>
      </c>
      <c r="AD415">
        <v>2</v>
      </c>
      <c r="AE415">
        <v>8</v>
      </c>
      <c r="AF415">
        <v>8</v>
      </c>
      <c r="AG415">
        <v>7</v>
      </c>
    </row>
    <row r="416" spans="1:33" x14ac:dyDescent="0.35">
      <c r="A416" t="s">
        <v>33</v>
      </c>
      <c r="B416" t="s">
        <v>50</v>
      </c>
      <c r="C416">
        <v>16</v>
      </c>
      <c r="D416" t="s">
        <v>35</v>
      </c>
      <c r="E416" t="s">
        <v>47</v>
      </c>
      <c r="F416" t="s">
        <v>44</v>
      </c>
      <c r="G416">
        <v>4</v>
      </c>
      <c r="H416">
        <v>3</v>
      </c>
      <c r="I416" t="s">
        <v>28</v>
      </c>
      <c r="J416" t="s">
        <v>45</v>
      </c>
      <c r="K416" t="s">
        <v>49</v>
      </c>
      <c r="L416" t="s">
        <v>46</v>
      </c>
      <c r="M416">
        <v>1</v>
      </c>
      <c r="N416">
        <v>1</v>
      </c>
      <c r="O416">
        <v>0</v>
      </c>
      <c r="P416" t="s">
        <v>43</v>
      </c>
      <c r="Q416" t="s">
        <v>43</v>
      </c>
      <c r="R416" t="s">
        <v>43</v>
      </c>
      <c r="S416" t="s">
        <v>42</v>
      </c>
      <c r="T416" t="s">
        <v>42</v>
      </c>
      <c r="U416" t="s">
        <v>42</v>
      </c>
      <c r="V416" t="s">
        <v>42</v>
      </c>
      <c r="W416" t="s">
        <v>43</v>
      </c>
      <c r="X416">
        <v>3</v>
      </c>
      <c r="Y416">
        <v>1</v>
      </c>
      <c r="Z416">
        <v>3</v>
      </c>
      <c r="AA416">
        <v>1</v>
      </c>
      <c r="AB416">
        <v>3</v>
      </c>
      <c r="AC416">
        <v>5</v>
      </c>
      <c r="AD416">
        <v>6</v>
      </c>
      <c r="AE416">
        <v>12</v>
      </c>
      <c r="AF416">
        <v>12</v>
      </c>
      <c r="AG416">
        <v>12</v>
      </c>
    </row>
    <row r="417" spans="1:33" x14ac:dyDescent="0.35">
      <c r="A417" t="s">
        <v>33</v>
      </c>
      <c r="B417" t="s">
        <v>50</v>
      </c>
      <c r="C417">
        <v>15</v>
      </c>
      <c r="D417" t="s">
        <v>35</v>
      </c>
      <c r="E417" t="s">
        <v>36</v>
      </c>
      <c r="F417" t="s">
        <v>44</v>
      </c>
      <c r="G417">
        <v>4</v>
      </c>
      <c r="H417">
        <v>3</v>
      </c>
      <c r="I417" t="s">
        <v>39</v>
      </c>
      <c r="J417" t="s">
        <v>45</v>
      </c>
      <c r="K417" t="s">
        <v>51</v>
      </c>
      <c r="L417" t="s">
        <v>41</v>
      </c>
      <c r="M417">
        <v>1</v>
      </c>
      <c r="N417">
        <v>2</v>
      </c>
      <c r="O417">
        <v>0</v>
      </c>
      <c r="P417" t="s">
        <v>43</v>
      </c>
      <c r="Q417" t="s">
        <v>43</v>
      </c>
      <c r="R417" t="s">
        <v>43</v>
      </c>
      <c r="S417" t="s">
        <v>43</v>
      </c>
      <c r="T417" t="s">
        <v>42</v>
      </c>
      <c r="U417" t="s">
        <v>42</v>
      </c>
      <c r="V417" t="s">
        <v>42</v>
      </c>
      <c r="W417" t="s">
        <v>43</v>
      </c>
      <c r="X417">
        <v>4</v>
      </c>
      <c r="Y417">
        <v>4</v>
      </c>
      <c r="Z417">
        <v>1</v>
      </c>
      <c r="AA417">
        <v>1</v>
      </c>
      <c r="AB417">
        <v>1</v>
      </c>
      <c r="AC417">
        <v>1</v>
      </c>
      <c r="AD417">
        <v>0</v>
      </c>
      <c r="AE417">
        <v>12</v>
      </c>
      <c r="AF417">
        <v>13</v>
      </c>
      <c r="AG417">
        <v>14</v>
      </c>
    </row>
    <row r="418" spans="1:33" x14ac:dyDescent="0.35">
      <c r="A418" t="s">
        <v>33</v>
      </c>
      <c r="B418" t="s">
        <v>50</v>
      </c>
      <c r="C418">
        <v>15</v>
      </c>
      <c r="D418" t="s">
        <v>35</v>
      </c>
      <c r="E418" t="s">
        <v>36</v>
      </c>
      <c r="F418" t="s">
        <v>44</v>
      </c>
      <c r="G418">
        <v>4</v>
      </c>
      <c r="H418">
        <v>4</v>
      </c>
      <c r="I418" t="s">
        <v>28</v>
      </c>
      <c r="J418" t="s">
        <v>28</v>
      </c>
      <c r="K418" t="s">
        <v>45</v>
      </c>
      <c r="L418" t="s">
        <v>46</v>
      </c>
      <c r="M418">
        <v>1</v>
      </c>
      <c r="N418">
        <v>1</v>
      </c>
      <c r="O418">
        <v>0</v>
      </c>
      <c r="P418" t="s">
        <v>43</v>
      </c>
      <c r="Q418" t="s">
        <v>42</v>
      </c>
      <c r="R418" t="s">
        <v>42</v>
      </c>
      <c r="S418" t="s">
        <v>43</v>
      </c>
      <c r="T418" t="s">
        <v>42</v>
      </c>
      <c r="U418" t="s">
        <v>42</v>
      </c>
      <c r="V418" t="s">
        <v>42</v>
      </c>
      <c r="W418" t="s">
        <v>43</v>
      </c>
      <c r="X418">
        <v>5</v>
      </c>
      <c r="Y418">
        <v>4</v>
      </c>
      <c r="Z418">
        <v>2</v>
      </c>
      <c r="AA418">
        <v>1</v>
      </c>
      <c r="AB418">
        <v>1</v>
      </c>
      <c r="AC418">
        <v>5</v>
      </c>
      <c r="AD418">
        <v>0</v>
      </c>
      <c r="AE418">
        <v>11</v>
      </c>
      <c r="AF418">
        <v>12</v>
      </c>
      <c r="AG418">
        <v>12</v>
      </c>
    </row>
    <row r="419" spans="1:33" x14ac:dyDescent="0.35">
      <c r="A419" t="s">
        <v>33</v>
      </c>
      <c r="B419" t="s">
        <v>50</v>
      </c>
      <c r="C419">
        <v>16</v>
      </c>
      <c r="D419" t="s">
        <v>35</v>
      </c>
      <c r="E419" t="s">
        <v>47</v>
      </c>
      <c r="F419" t="s">
        <v>44</v>
      </c>
      <c r="G419">
        <v>4</v>
      </c>
      <c r="H419">
        <v>2</v>
      </c>
      <c r="I419" t="s">
        <v>39</v>
      </c>
      <c r="J419" t="s">
        <v>45</v>
      </c>
      <c r="K419" t="s">
        <v>40</v>
      </c>
      <c r="L419" t="s">
        <v>41</v>
      </c>
      <c r="M419">
        <v>1</v>
      </c>
      <c r="N419">
        <v>2</v>
      </c>
      <c r="O419">
        <v>0</v>
      </c>
      <c r="P419" t="s">
        <v>43</v>
      </c>
      <c r="Q419" t="s">
        <v>43</v>
      </c>
      <c r="R419" t="s">
        <v>43</v>
      </c>
      <c r="S419" t="s">
        <v>42</v>
      </c>
      <c r="T419" t="s">
        <v>42</v>
      </c>
      <c r="U419" t="s">
        <v>42</v>
      </c>
      <c r="V419" t="s">
        <v>42</v>
      </c>
      <c r="W419" t="s">
        <v>43</v>
      </c>
      <c r="X419">
        <v>4</v>
      </c>
      <c r="Y419">
        <v>5</v>
      </c>
      <c r="Z419">
        <v>1</v>
      </c>
      <c r="AA419">
        <v>1</v>
      </c>
      <c r="AB419">
        <v>3</v>
      </c>
      <c r="AC419">
        <v>5</v>
      </c>
      <c r="AD419">
        <v>0</v>
      </c>
      <c r="AE419">
        <v>12</v>
      </c>
      <c r="AF419">
        <v>13</v>
      </c>
      <c r="AG419">
        <v>14</v>
      </c>
    </row>
    <row r="420" spans="1:33" x14ac:dyDescent="0.35">
      <c r="A420" t="s">
        <v>33</v>
      </c>
      <c r="B420" t="s">
        <v>50</v>
      </c>
      <c r="C420">
        <v>16</v>
      </c>
      <c r="D420" t="s">
        <v>35</v>
      </c>
      <c r="E420" t="s">
        <v>47</v>
      </c>
      <c r="F420" t="s">
        <v>44</v>
      </c>
      <c r="G420">
        <v>2</v>
      </c>
      <c r="H420">
        <v>2</v>
      </c>
      <c r="I420" t="s">
        <v>45</v>
      </c>
      <c r="J420" t="s">
        <v>45</v>
      </c>
      <c r="K420" t="s">
        <v>51</v>
      </c>
      <c r="L420" t="s">
        <v>41</v>
      </c>
      <c r="M420">
        <v>2</v>
      </c>
      <c r="N420">
        <v>2</v>
      </c>
      <c r="O420">
        <v>0</v>
      </c>
      <c r="P420" t="s">
        <v>43</v>
      </c>
      <c r="Q420" t="s">
        <v>42</v>
      </c>
      <c r="R420" t="s">
        <v>43</v>
      </c>
      <c r="S420" t="s">
        <v>42</v>
      </c>
      <c r="T420" t="s">
        <v>42</v>
      </c>
      <c r="U420" t="s">
        <v>42</v>
      </c>
      <c r="V420" t="s">
        <v>42</v>
      </c>
      <c r="W420" t="s">
        <v>43</v>
      </c>
      <c r="X420">
        <v>5</v>
      </c>
      <c r="Y420">
        <v>4</v>
      </c>
      <c r="Z420">
        <v>4</v>
      </c>
      <c r="AA420">
        <v>2</v>
      </c>
      <c r="AB420">
        <v>4</v>
      </c>
      <c r="AC420">
        <v>5</v>
      </c>
      <c r="AD420">
        <v>2</v>
      </c>
      <c r="AE420">
        <v>10</v>
      </c>
      <c r="AF420">
        <v>10</v>
      </c>
      <c r="AG420">
        <v>10</v>
      </c>
    </row>
    <row r="421" spans="1:33" x14ac:dyDescent="0.35">
      <c r="A421" t="s">
        <v>33</v>
      </c>
      <c r="B421" t="s">
        <v>34</v>
      </c>
      <c r="C421">
        <v>15</v>
      </c>
      <c r="D421" t="s">
        <v>52</v>
      </c>
      <c r="E421" t="s">
        <v>36</v>
      </c>
      <c r="F421" t="s">
        <v>44</v>
      </c>
      <c r="G421">
        <v>2</v>
      </c>
      <c r="H421">
        <v>4</v>
      </c>
      <c r="I421" t="s">
        <v>48</v>
      </c>
      <c r="J421" t="s">
        <v>28</v>
      </c>
      <c r="K421" t="s">
        <v>40</v>
      </c>
      <c r="L421" t="s">
        <v>41</v>
      </c>
      <c r="M421">
        <v>1</v>
      </c>
      <c r="N421">
        <v>3</v>
      </c>
      <c r="O421">
        <v>0</v>
      </c>
      <c r="P421" t="s">
        <v>42</v>
      </c>
      <c r="Q421" t="s">
        <v>42</v>
      </c>
      <c r="R421" t="s">
        <v>43</v>
      </c>
      <c r="S421" t="s">
        <v>42</v>
      </c>
      <c r="T421" t="s">
        <v>42</v>
      </c>
      <c r="U421" t="s">
        <v>42</v>
      </c>
      <c r="V421" t="s">
        <v>42</v>
      </c>
      <c r="W421" t="s">
        <v>43</v>
      </c>
      <c r="X421">
        <v>4</v>
      </c>
      <c r="Y421">
        <v>3</v>
      </c>
      <c r="Z421">
        <v>2</v>
      </c>
      <c r="AA421">
        <v>1</v>
      </c>
      <c r="AB421">
        <v>1</v>
      </c>
      <c r="AC421">
        <v>5</v>
      </c>
      <c r="AD421">
        <v>2</v>
      </c>
      <c r="AE421">
        <v>10</v>
      </c>
      <c r="AF421">
        <v>11</v>
      </c>
      <c r="AG421">
        <v>10</v>
      </c>
    </row>
    <row r="422" spans="1:33" x14ac:dyDescent="0.35">
      <c r="A422" t="s">
        <v>33</v>
      </c>
      <c r="B422" t="s">
        <v>34</v>
      </c>
      <c r="C422">
        <v>16</v>
      </c>
      <c r="D422" t="s">
        <v>35</v>
      </c>
      <c r="E422" t="s">
        <v>36</v>
      </c>
      <c r="F422" t="s">
        <v>44</v>
      </c>
      <c r="G422">
        <v>2</v>
      </c>
      <c r="H422">
        <v>2</v>
      </c>
      <c r="I422" t="s">
        <v>48</v>
      </c>
      <c r="J422" t="s">
        <v>48</v>
      </c>
      <c r="K422" t="s">
        <v>49</v>
      </c>
      <c r="L422" t="s">
        <v>41</v>
      </c>
      <c r="M422">
        <v>1</v>
      </c>
      <c r="N422">
        <v>1</v>
      </c>
      <c r="O422">
        <v>0</v>
      </c>
      <c r="P422" t="s">
        <v>43</v>
      </c>
      <c r="Q422" t="s">
        <v>42</v>
      </c>
      <c r="R422" t="s">
        <v>43</v>
      </c>
      <c r="S422" t="s">
        <v>43</v>
      </c>
      <c r="T422" t="s">
        <v>43</v>
      </c>
      <c r="U422" t="s">
        <v>42</v>
      </c>
      <c r="V422" t="s">
        <v>42</v>
      </c>
      <c r="W422" t="s">
        <v>43</v>
      </c>
      <c r="X422">
        <v>1</v>
      </c>
      <c r="Y422">
        <v>2</v>
      </c>
      <c r="Z422">
        <v>2</v>
      </c>
      <c r="AA422">
        <v>1</v>
      </c>
      <c r="AB422">
        <v>3</v>
      </c>
      <c r="AC422">
        <v>5</v>
      </c>
      <c r="AD422">
        <v>6</v>
      </c>
      <c r="AE422">
        <v>10</v>
      </c>
      <c r="AF422">
        <v>11</v>
      </c>
      <c r="AG422">
        <v>12</v>
      </c>
    </row>
    <row r="423" spans="1:33" x14ac:dyDescent="0.35">
      <c r="A423" t="s">
        <v>33</v>
      </c>
      <c r="B423" t="s">
        <v>50</v>
      </c>
      <c r="C423">
        <v>15</v>
      </c>
      <c r="D423" t="s">
        <v>35</v>
      </c>
      <c r="E423" t="s">
        <v>36</v>
      </c>
      <c r="F423" t="s">
        <v>44</v>
      </c>
      <c r="G423">
        <v>2</v>
      </c>
      <c r="H423">
        <v>2</v>
      </c>
      <c r="I423" t="s">
        <v>45</v>
      </c>
      <c r="J423" t="s">
        <v>45</v>
      </c>
      <c r="K423" t="s">
        <v>49</v>
      </c>
      <c r="L423" t="s">
        <v>41</v>
      </c>
      <c r="M423">
        <v>1</v>
      </c>
      <c r="N423">
        <v>1</v>
      </c>
      <c r="O423">
        <v>0</v>
      </c>
      <c r="P423" t="s">
        <v>43</v>
      </c>
      <c r="Q423" t="s">
        <v>42</v>
      </c>
      <c r="R423" t="s">
        <v>43</v>
      </c>
      <c r="S423" t="s">
        <v>43</v>
      </c>
      <c r="T423" t="s">
        <v>42</v>
      </c>
      <c r="U423" t="s">
        <v>42</v>
      </c>
      <c r="V423" t="s">
        <v>42</v>
      </c>
      <c r="W423" t="s">
        <v>43</v>
      </c>
      <c r="X423">
        <v>4</v>
      </c>
      <c r="Y423">
        <v>2</v>
      </c>
      <c r="Z423">
        <v>2</v>
      </c>
      <c r="AA423">
        <v>1</v>
      </c>
      <c r="AB423">
        <v>2</v>
      </c>
      <c r="AC423">
        <v>5</v>
      </c>
      <c r="AD423">
        <v>8</v>
      </c>
      <c r="AE423">
        <v>11</v>
      </c>
      <c r="AF423">
        <v>12</v>
      </c>
      <c r="AG423">
        <v>12</v>
      </c>
    </row>
    <row r="424" spans="1:33" x14ac:dyDescent="0.35">
      <c r="A424" t="s">
        <v>33</v>
      </c>
      <c r="B424" t="s">
        <v>50</v>
      </c>
      <c r="C424">
        <v>15</v>
      </c>
      <c r="D424" t="s">
        <v>35</v>
      </c>
      <c r="E424" t="s">
        <v>36</v>
      </c>
      <c r="F424" t="s">
        <v>44</v>
      </c>
      <c r="G424">
        <v>4</v>
      </c>
      <c r="H424">
        <v>2</v>
      </c>
      <c r="I424" t="s">
        <v>28</v>
      </c>
      <c r="J424" t="s">
        <v>48</v>
      </c>
      <c r="K424" t="s">
        <v>45</v>
      </c>
      <c r="L424" t="s">
        <v>41</v>
      </c>
      <c r="M424">
        <v>1</v>
      </c>
      <c r="N424">
        <v>1</v>
      </c>
      <c r="O424">
        <v>0</v>
      </c>
      <c r="P424" t="s">
        <v>43</v>
      </c>
      <c r="Q424" t="s">
        <v>43</v>
      </c>
      <c r="R424" t="s">
        <v>43</v>
      </c>
      <c r="S424" t="s">
        <v>43</v>
      </c>
      <c r="T424" t="s">
        <v>42</v>
      </c>
      <c r="U424" t="s">
        <v>42</v>
      </c>
      <c r="V424" t="s">
        <v>42</v>
      </c>
      <c r="W424" t="s">
        <v>43</v>
      </c>
      <c r="X424">
        <v>2</v>
      </c>
      <c r="Y424">
        <v>2</v>
      </c>
      <c r="Z424">
        <v>4</v>
      </c>
      <c r="AA424">
        <v>2</v>
      </c>
      <c r="AB424">
        <v>4</v>
      </c>
      <c r="AC424">
        <v>1</v>
      </c>
      <c r="AD424">
        <v>0</v>
      </c>
      <c r="AE424">
        <v>11</v>
      </c>
      <c r="AF424">
        <v>11</v>
      </c>
      <c r="AG424">
        <v>11</v>
      </c>
    </row>
    <row r="425" spans="1:33" x14ac:dyDescent="0.35">
      <c r="A425" t="s">
        <v>33</v>
      </c>
      <c r="B425" t="s">
        <v>50</v>
      </c>
      <c r="C425">
        <v>16</v>
      </c>
      <c r="D425" t="s">
        <v>35</v>
      </c>
      <c r="E425" t="s">
        <v>47</v>
      </c>
      <c r="F425" t="s">
        <v>37</v>
      </c>
      <c r="G425">
        <v>3</v>
      </c>
      <c r="H425">
        <v>4</v>
      </c>
      <c r="I425" t="s">
        <v>48</v>
      </c>
      <c r="J425" t="s">
        <v>45</v>
      </c>
      <c r="K425" t="s">
        <v>49</v>
      </c>
      <c r="L425" t="s">
        <v>41</v>
      </c>
      <c r="M425">
        <v>1</v>
      </c>
      <c r="N425">
        <v>2</v>
      </c>
      <c r="O425">
        <v>0</v>
      </c>
      <c r="P425" t="s">
        <v>42</v>
      </c>
      <c r="Q425" t="s">
        <v>42</v>
      </c>
      <c r="R425" t="s">
        <v>42</v>
      </c>
      <c r="S425" t="s">
        <v>42</v>
      </c>
      <c r="T425" t="s">
        <v>42</v>
      </c>
      <c r="U425" t="s">
        <v>42</v>
      </c>
      <c r="V425" t="s">
        <v>42</v>
      </c>
      <c r="W425" t="s">
        <v>43</v>
      </c>
      <c r="X425">
        <v>5</v>
      </c>
      <c r="Y425">
        <v>3</v>
      </c>
      <c r="Z425">
        <v>3</v>
      </c>
      <c r="AA425">
        <v>1</v>
      </c>
      <c r="AB425">
        <v>1</v>
      </c>
      <c r="AC425">
        <v>5</v>
      </c>
      <c r="AD425">
        <v>2</v>
      </c>
      <c r="AE425">
        <v>12</v>
      </c>
      <c r="AF425">
        <v>12</v>
      </c>
      <c r="AG425">
        <v>13</v>
      </c>
    </row>
    <row r="426" spans="1:33" x14ac:dyDescent="0.35">
      <c r="A426" t="s">
        <v>33</v>
      </c>
      <c r="B426" t="s">
        <v>50</v>
      </c>
      <c r="C426">
        <v>16</v>
      </c>
      <c r="D426" t="s">
        <v>35</v>
      </c>
      <c r="E426" t="s">
        <v>36</v>
      </c>
      <c r="F426" t="s">
        <v>44</v>
      </c>
      <c r="G426">
        <v>4</v>
      </c>
      <c r="H426">
        <v>4</v>
      </c>
      <c r="I426" t="s">
        <v>39</v>
      </c>
      <c r="J426" t="s">
        <v>39</v>
      </c>
      <c r="K426" t="s">
        <v>49</v>
      </c>
      <c r="L426" t="s">
        <v>41</v>
      </c>
      <c r="M426">
        <v>1</v>
      </c>
      <c r="N426">
        <v>2</v>
      </c>
      <c r="O426">
        <v>0</v>
      </c>
      <c r="P426" t="s">
        <v>43</v>
      </c>
      <c r="Q426" t="s">
        <v>42</v>
      </c>
      <c r="R426" t="s">
        <v>42</v>
      </c>
      <c r="S426" t="s">
        <v>42</v>
      </c>
      <c r="T426" t="s">
        <v>42</v>
      </c>
      <c r="U426" t="s">
        <v>42</v>
      </c>
      <c r="V426" t="s">
        <v>42</v>
      </c>
      <c r="W426" t="s">
        <v>42</v>
      </c>
      <c r="X426">
        <v>4</v>
      </c>
      <c r="Y426">
        <v>4</v>
      </c>
      <c r="Z426">
        <v>5</v>
      </c>
      <c r="AA426">
        <v>5</v>
      </c>
      <c r="AB426">
        <v>5</v>
      </c>
      <c r="AC426">
        <v>5</v>
      </c>
      <c r="AD426">
        <v>4</v>
      </c>
      <c r="AE426">
        <v>12</v>
      </c>
      <c r="AF426">
        <v>11</v>
      </c>
      <c r="AG426">
        <v>12</v>
      </c>
    </row>
    <row r="427" spans="1:33" x14ac:dyDescent="0.35">
      <c r="A427" t="s">
        <v>33</v>
      </c>
      <c r="B427" t="s">
        <v>50</v>
      </c>
      <c r="C427">
        <v>15</v>
      </c>
      <c r="D427" t="s">
        <v>35</v>
      </c>
      <c r="E427" t="s">
        <v>36</v>
      </c>
      <c r="F427" t="s">
        <v>44</v>
      </c>
      <c r="G427">
        <v>4</v>
      </c>
      <c r="H427">
        <v>4</v>
      </c>
      <c r="I427" t="s">
        <v>28</v>
      </c>
      <c r="J427" t="s">
        <v>48</v>
      </c>
      <c r="K427" t="s">
        <v>49</v>
      </c>
      <c r="L427" t="s">
        <v>41</v>
      </c>
      <c r="M427">
        <v>1</v>
      </c>
      <c r="N427">
        <v>2</v>
      </c>
      <c r="O427">
        <v>0</v>
      </c>
      <c r="P427" t="s">
        <v>43</v>
      </c>
      <c r="Q427" t="s">
        <v>42</v>
      </c>
      <c r="R427" t="s">
        <v>42</v>
      </c>
      <c r="S427" t="s">
        <v>43</v>
      </c>
      <c r="T427" t="s">
        <v>43</v>
      </c>
      <c r="U427" t="s">
        <v>42</v>
      </c>
      <c r="V427" t="s">
        <v>42</v>
      </c>
      <c r="W427" t="s">
        <v>43</v>
      </c>
      <c r="X427">
        <v>5</v>
      </c>
      <c r="Y427">
        <v>4</v>
      </c>
      <c r="Z427">
        <v>2</v>
      </c>
      <c r="AA427">
        <v>3</v>
      </c>
      <c r="AB427">
        <v>4</v>
      </c>
      <c r="AC427">
        <v>5</v>
      </c>
      <c r="AD427">
        <v>0</v>
      </c>
      <c r="AE427">
        <v>10</v>
      </c>
      <c r="AF427">
        <v>11</v>
      </c>
      <c r="AG427">
        <v>11</v>
      </c>
    </row>
    <row r="428" spans="1:33" x14ac:dyDescent="0.35">
      <c r="A428" t="s">
        <v>33</v>
      </c>
      <c r="B428" t="s">
        <v>50</v>
      </c>
      <c r="C428">
        <v>15</v>
      </c>
      <c r="D428" t="s">
        <v>35</v>
      </c>
      <c r="E428" t="s">
        <v>36</v>
      </c>
      <c r="F428" t="s">
        <v>44</v>
      </c>
      <c r="G428">
        <v>4</v>
      </c>
      <c r="H428">
        <v>4</v>
      </c>
      <c r="I428" t="s">
        <v>48</v>
      </c>
      <c r="J428" t="s">
        <v>48</v>
      </c>
      <c r="K428" t="s">
        <v>51</v>
      </c>
      <c r="L428" t="s">
        <v>41</v>
      </c>
      <c r="M428">
        <v>2</v>
      </c>
      <c r="N428">
        <v>2</v>
      </c>
      <c r="O428">
        <v>0</v>
      </c>
      <c r="P428" t="s">
        <v>43</v>
      </c>
      <c r="Q428" t="s">
        <v>42</v>
      </c>
      <c r="R428" t="s">
        <v>43</v>
      </c>
      <c r="S428" t="s">
        <v>42</v>
      </c>
      <c r="T428" t="s">
        <v>42</v>
      </c>
      <c r="U428" t="s">
        <v>42</v>
      </c>
      <c r="V428" t="s">
        <v>42</v>
      </c>
      <c r="W428" t="s">
        <v>43</v>
      </c>
      <c r="X428">
        <v>4</v>
      </c>
      <c r="Y428">
        <v>3</v>
      </c>
      <c r="Z428">
        <v>1</v>
      </c>
      <c r="AA428">
        <v>1</v>
      </c>
      <c r="AB428">
        <v>1</v>
      </c>
      <c r="AC428">
        <v>5</v>
      </c>
      <c r="AD428">
        <v>2</v>
      </c>
      <c r="AE428">
        <v>15</v>
      </c>
      <c r="AF428">
        <v>15</v>
      </c>
      <c r="AG428">
        <v>15</v>
      </c>
    </row>
    <row r="429" spans="1:33" x14ac:dyDescent="0.35">
      <c r="A429" t="s">
        <v>33</v>
      </c>
      <c r="B429" t="s">
        <v>50</v>
      </c>
      <c r="C429">
        <v>15</v>
      </c>
      <c r="D429" t="s">
        <v>52</v>
      </c>
      <c r="E429" t="s">
        <v>36</v>
      </c>
      <c r="F429" t="s">
        <v>44</v>
      </c>
      <c r="G429">
        <v>4</v>
      </c>
      <c r="H429">
        <v>3</v>
      </c>
      <c r="I429" t="s">
        <v>39</v>
      </c>
      <c r="J429" t="s">
        <v>38</v>
      </c>
      <c r="K429" t="s">
        <v>40</v>
      </c>
      <c r="L429" t="s">
        <v>41</v>
      </c>
      <c r="M429">
        <v>1</v>
      </c>
      <c r="N429">
        <v>2</v>
      </c>
      <c r="O429">
        <v>0</v>
      </c>
      <c r="P429" t="s">
        <v>43</v>
      </c>
      <c r="Q429" t="s">
        <v>42</v>
      </c>
      <c r="R429" t="s">
        <v>43</v>
      </c>
      <c r="S429" t="s">
        <v>42</v>
      </c>
      <c r="T429" t="s">
        <v>42</v>
      </c>
      <c r="U429" t="s">
        <v>42</v>
      </c>
      <c r="V429" t="s">
        <v>42</v>
      </c>
      <c r="W429" t="s">
        <v>42</v>
      </c>
      <c r="X429">
        <v>4</v>
      </c>
      <c r="Y429">
        <v>5</v>
      </c>
      <c r="Z429">
        <v>2</v>
      </c>
      <c r="AA429">
        <v>1</v>
      </c>
      <c r="AB429">
        <v>1</v>
      </c>
      <c r="AC429">
        <v>5</v>
      </c>
      <c r="AD429">
        <v>0</v>
      </c>
      <c r="AE429">
        <v>13</v>
      </c>
      <c r="AF429">
        <v>14</v>
      </c>
      <c r="AG429">
        <v>15</v>
      </c>
    </row>
    <row r="430" spans="1:33" x14ac:dyDescent="0.35">
      <c r="A430" t="s">
        <v>33</v>
      </c>
      <c r="B430" t="s">
        <v>50</v>
      </c>
      <c r="C430">
        <v>15</v>
      </c>
      <c r="D430" t="s">
        <v>35</v>
      </c>
      <c r="E430" t="s">
        <v>47</v>
      </c>
      <c r="F430" t="s">
        <v>44</v>
      </c>
      <c r="G430">
        <v>3</v>
      </c>
      <c r="H430">
        <v>3</v>
      </c>
      <c r="I430" t="s">
        <v>45</v>
      </c>
      <c r="J430" t="s">
        <v>45</v>
      </c>
      <c r="K430" t="s">
        <v>40</v>
      </c>
      <c r="L430" t="s">
        <v>41</v>
      </c>
      <c r="M430">
        <v>1</v>
      </c>
      <c r="N430">
        <v>2</v>
      </c>
      <c r="O430">
        <v>0</v>
      </c>
      <c r="P430" t="s">
        <v>43</v>
      </c>
      <c r="Q430" t="s">
        <v>43</v>
      </c>
      <c r="R430" t="s">
        <v>43</v>
      </c>
      <c r="S430" t="s">
        <v>42</v>
      </c>
      <c r="T430" t="s">
        <v>43</v>
      </c>
      <c r="U430" t="s">
        <v>42</v>
      </c>
      <c r="V430" t="s">
        <v>42</v>
      </c>
      <c r="W430" t="s">
        <v>43</v>
      </c>
      <c r="X430">
        <v>5</v>
      </c>
      <c r="Y430">
        <v>3</v>
      </c>
      <c r="Z430">
        <v>2</v>
      </c>
      <c r="AA430">
        <v>1</v>
      </c>
      <c r="AB430">
        <v>1</v>
      </c>
      <c r="AC430">
        <v>2</v>
      </c>
      <c r="AD430">
        <v>0</v>
      </c>
      <c r="AE430">
        <v>13</v>
      </c>
      <c r="AF430">
        <v>12</v>
      </c>
      <c r="AG430">
        <v>12</v>
      </c>
    </row>
    <row r="431" spans="1:33" x14ac:dyDescent="0.35">
      <c r="A431" t="s">
        <v>33</v>
      </c>
      <c r="B431" t="s">
        <v>50</v>
      </c>
      <c r="C431">
        <v>16</v>
      </c>
      <c r="D431" t="s">
        <v>35</v>
      </c>
      <c r="E431" t="s">
        <v>36</v>
      </c>
      <c r="F431" t="s">
        <v>44</v>
      </c>
      <c r="G431">
        <v>3</v>
      </c>
      <c r="H431">
        <v>2</v>
      </c>
      <c r="I431" t="s">
        <v>45</v>
      </c>
      <c r="J431" t="s">
        <v>45</v>
      </c>
      <c r="K431" t="s">
        <v>49</v>
      </c>
      <c r="L431" t="s">
        <v>41</v>
      </c>
      <c r="M431">
        <v>1</v>
      </c>
      <c r="N431">
        <v>1</v>
      </c>
      <c r="O431">
        <v>0</v>
      </c>
      <c r="P431" t="s">
        <v>43</v>
      </c>
      <c r="Q431" t="s">
        <v>42</v>
      </c>
      <c r="R431" t="s">
        <v>43</v>
      </c>
      <c r="S431" t="s">
        <v>43</v>
      </c>
      <c r="T431" t="s">
        <v>43</v>
      </c>
      <c r="U431" t="s">
        <v>42</v>
      </c>
      <c r="V431" t="s">
        <v>42</v>
      </c>
      <c r="W431" t="s">
        <v>43</v>
      </c>
      <c r="X431">
        <v>5</v>
      </c>
      <c r="Y431">
        <v>4</v>
      </c>
      <c r="Z431">
        <v>3</v>
      </c>
      <c r="AA431">
        <v>1</v>
      </c>
      <c r="AB431">
        <v>1</v>
      </c>
      <c r="AC431">
        <v>5</v>
      </c>
      <c r="AD431">
        <v>4</v>
      </c>
      <c r="AE431">
        <v>12</v>
      </c>
      <c r="AF431">
        <v>12</v>
      </c>
      <c r="AG431">
        <v>12</v>
      </c>
    </row>
    <row r="432" spans="1:33" x14ac:dyDescent="0.35">
      <c r="A432" t="s">
        <v>33</v>
      </c>
      <c r="B432" t="s">
        <v>34</v>
      </c>
      <c r="C432">
        <v>15</v>
      </c>
      <c r="D432" t="s">
        <v>35</v>
      </c>
      <c r="E432" t="s">
        <v>36</v>
      </c>
      <c r="F432" t="s">
        <v>44</v>
      </c>
      <c r="G432">
        <v>2</v>
      </c>
      <c r="H432">
        <v>3</v>
      </c>
      <c r="I432" t="s">
        <v>45</v>
      </c>
      <c r="J432" t="s">
        <v>45</v>
      </c>
      <c r="K432" t="s">
        <v>45</v>
      </c>
      <c r="L432" t="s">
        <v>46</v>
      </c>
      <c r="M432">
        <v>2</v>
      </c>
      <c r="N432">
        <v>1</v>
      </c>
      <c r="O432">
        <v>0</v>
      </c>
      <c r="P432" t="s">
        <v>43</v>
      </c>
      <c r="Q432" t="s">
        <v>42</v>
      </c>
      <c r="R432" t="s">
        <v>43</v>
      </c>
      <c r="S432" t="s">
        <v>42</v>
      </c>
      <c r="T432" t="s">
        <v>42</v>
      </c>
      <c r="U432" t="s">
        <v>42</v>
      </c>
      <c r="V432" t="s">
        <v>43</v>
      </c>
      <c r="W432" t="s">
        <v>43</v>
      </c>
      <c r="X432">
        <v>3</v>
      </c>
      <c r="Y432">
        <v>5</v>
      </c>
      <c r="Z432">
        <v>1</v>
      </c>
      <c r="AA432">
        <v>1</v>
      </c>
      <c r="AB432">
        <v>1</v>
      </c>
      <c r="AC432">
        <v>5</v>
      </c>
      <c r="AD432">
        <v>4</v>
      </c>
      <c r="AE432">
        <v>11</v>
      </c>
      <c r="AF432">
        <v>11</v>
      </c>
      <c r="AG432">
        <v>11</v>
      </c>
    </row>
    <row r="433" spans="1:33" x14ac:dyDescent="0.35">
      <c r="A433" t="s">
        <v>33</v>
      </c>
      <c r="B433" t="s">
        <v>50</v>
      </c>
      <c r="C433">
        <v>15</v>
      </c>
      <c r="D433" t="s">
        <v>35</v>
      </c>
      <c r="E433" t="s">
        <v>47</v>
      </c>
      <c r="F433" t="s">
        <v>44</v>
      </c>
      <c r="G433">
        <v>4</v>
      </c>
      <c r="H433">
        <v>3</v>
      </c>
      <c r="I433" t="s">
        <v>39</v>
      </c>
      <c r="J433" t="s">
        <v>48</v>
      </c>
      <c r="K433" t="s">
        <v>49</v>
      </c>
      <c r="L433" t="s">
        <v>41</v>
      </c>
      <c r="M433">
        <v>1</v>
      </c>
      <c r="N433">
        <v>3</v>
      </c>
      <c r="O433">
        <v>0</v>
      </c>
      <c r="P433" t="s">
        <v>43</v>
      </c>
      <c r="Q433" t="s">
        <v>42</v>
      </c>
      <c r="R433" t="s">
        <v>43</v>
      </c>
      <c r="S433" t="s">
        <v>42</v>
      </c>
      <c r="T433" t="s">
        <v>42</v>
      </c>
      <c r="U433" t="s">
        <v>42</v>
      </c>
      <c r="V433" t="s">
        <v>42</v>
      </c>
      <c r="W433" t="s">
        <v>43</v>
      </c>
      <c r="X433">
        <v>5</v>
      </c>
      <c r="Y433">
        <v>4</v>
      </c>
      <c r="Z433">
        <v>3</v>
      </c>
      <c r="AA433">
        <v>1</v>
      </c>
      <c r="AB433">
        <v>1</v>
      </c>
      <c r="AC433">
        <v>4</v>
      </c>
      <c r="AD433">
        <v>0</v>
      </c>
      <c r="AE433">
        <v>14</v>
      </c>
      <c r="AF433">
        <v>14</v>
      </c>
      <c r="AG433">
        <v>14</v>
      </c>
    </row>
    <row r="434" spans="1:33" x14ac:dyDescent="0.35">
      <c r="A434" t="s">
        <v>33</v>
      </c>
      <c r="B434" t="s">
        <v>50</v>
      </c>
      <c r="C434">
        <v>16</v>
      </c>
      <c r="D434" t="s">
        <v>52</v>
      </c>
      <c r="E434" t="s">
        <v>36</v>
      </c>
      <c r="F434" t="s">
        <v>37</v>
      </c>
      <c r="G434">
        <v>4</v>
      </c>
      <c r="H434">
        <v>4</v>
      </c>
      <c r="I434" t="s">
        <v>45</v>
      </c>
      <c r="J434" t="s">
        <v>39</v>
      </c>
      <c r="K434" t="s">
        <v>51</v>
      </c>
      <c r="L434" t="s">
        <v>41</v>
      </c>
      <c r="M434">
        <v>2</v>
      </c>
      <c r="N434">
        <v>3</v>
      </c>
      <c r="O434">
        <v>0</v>
      </c>
      <c r="P434" t="s">
        <v>43</v>
      </c>
      <c r="Q434" t="s">
        <v>42</v>
      </c>
      <c r="R434" t="s">
        <v>43</v>
      </c>
      <c r="S434" t="s">
        <v>42</v>
      </c>
      <c r="T434" t="s">
        <v>42</v>
      </c>
      <c r="U434" t="s">
        <v>42</v>
      </c>
      <c r="V434" t="s">
        <v>42</v>
      </c>
      <c r="W434" t="s">
        <v>42</v>
      </c>
      <c r="X434">
        <v>2</v>
      </c>
      <c r="Y434">
        <v>4</v>
      </c>
      <c r="Z434">
        <v>3</v>
      </c>
      <c r="AA434">
        <v>1</v>
      </c>
      <c r="AB434">
        <v>1</v>
      </c>
      <c r="AC434">
        <v>5</v>
      </c>
      <c r="AD434">
        <v>4</v>
      </c>
      <c r="AE434">
        <v>13</v>
      </c>
      <c r="AF434">
        <v>13</v>
      </c>
      <c r="AG434">
        <v>13</v>
      </c>
    </row>
    <row r="435" spans="1:33" x14ac:dyDescent="0.35">
      <c r="A435" t="s">
        <v>33</v>
      </c>
      <c r="B435" t="s">
        <v>34</v>
      </c>
      <c r="C435">
        <v>15</v>
      </c>
      <c r="D435" t="s">
        <v>52</v>
      </c>
      <c r="E435" t="s">
        <v>36</v>
      </c>
      <c r="F435" t="s">
        <v>44</v>
      </c>
      <c r="G435">
        <v>3</v>
      </c>
      <c r="H435">
        <v>4</v>
      </c>
      <c r="I435" t="s">
        <v>48</v>
      </c>
      <c r="J435" t="s">
        <v>28</v>
      </c>
      <c r="K435" t="s">
        <v>40</v>
      </c>
      <c r="L435" t="s">
        <v>41</v>
      </c>
      <c r="M435">
        <v>1</v>
      </c>
      <c r="N435">
        <v>3</v>
      </c>
      <c r="O435">
        <v>0</v>
      </c>
      <c r="P435" t="s">
        <v>42</v>
      </c>
      <c r="Q435" t="s">
        <v>42</v>
      </c>
      <c r="R435" t="s">
        <v>43</v>
      </c>
      <c r="S435" t="s">
        <v>42</v>
      </c>
      <c r="T435" t="s">
        <v>42</v>
      </c>
      <c r="U435" t="s">
        <v>42</v>
      </c>
      <c r="V435" t="s">
        <v>42</v>
      </c>
      <c r="W435" t="s">
        <v>43</v>
      </c>
      <c r="X435">
        <v>4</v>
      </c>
      <c r="Y435">
        <v>3</v>
      </c>
      <c r="Z435">
        <v>2</v>
      </c>
      <c r="AA435">
        <v>1</v>
      </c>
      <c r="AB435">
        <v>1</v>
      </c>
      <c r="AC435">
        <v>5</v>
      </c>
      <c r="AD435">
        <v>2</v>
      </c>
      <c r="AE435">
        <v>11</v>
      </c>
      <c r="AF435">
        <v>12</v>
      </c>
      <c r="AG435">
        <v>12</v>
      </c>
    </row>
    <row r="436" spans="1:33" x14ac:dyDescent="0.35">
      <c r="A436" t="s">
        <v>33</v>
      </c>
      <c r="B436" t="s">
        <v>34</v>
      </c>
      <c r="C436">
        <v>15</v>
      </c>
      <c r="D436" t="s">
        <v>52</v>
      </c>
      <c r="E436" t="s">
        <v>36</v>
      </c>
      <c r="F436" t="s">
        <v>44</v>
      </c>
      <c r="G436">
        <v>2</v>
      </c>
      <c r="H436">
        <v>2</v>
      </c>
      <c r="I436" t="s">
        <v>38</v>
      </c>
      <c r="J436" t="s">
        <v>45</v>
      </c>
      <c r="K436" t="s">
        <v>51</v>
      </c>
      <c r="L436" t="s">
        <v>41</v>
      </c>
      <c r="M436">
        <v>1</v>
      </c>
      <c r="N436">
        <v>1</v>
      </c>
      <c r="O436">
        <v>0</v>
      </c>
      <c r="P436" t="s">
        <v>42</v>
      </c>
      <c r="Q436" t="s">
        <v>42</v>
      </c>
      <c r="R436" t="s">
        <v>43</v>
      </c>
      <c r="S436" t="s">
        <v>42</v>
      </c>
      <c r="T436" t="s">
        <v>42</v>
      </c>
      <c r="U436" t="s">
        <v>42</v>
      </c>
      <c r="V436" t="s">
        <v>43</v>
      </c>
      <c r="W436" t="s">
        <v>43</v>
      </c>
      <c r="X436">
        <v>4</v>
      </c>
      <c r="Y436">
        <v>3</v>
      </c>
      <c r="Z436">
        <v>1</v>
      </c>
      <c r="AA436">
        <v>1</v>
      </c>
      <c r="AB436">
        <v>1</v>
      </c>
      <c r="AC436">
        <v>2</v>
      </c>
      <c r="AD436">
        <v>8</v>
      </c>
      <c r="AE436">
        <v>14</v>
      </c>
      <c r="AF436">
        <v>13</v>
      </c>
      <c r="AG436">
        <v>12</v>
      </c>
    </row>
    <row r="437" spans="1:33" x14ac:dyDescent="0.35">
      <c r="A437" t="s">
        <v>33</v>
      </c>
      <c r="B437" t="s">
        <v>34</v>
      </c>
      <c r="C437">
        <v>16</v>
      </c>
      <c r="D437" t="s">
        <v>35</v>
      </c>
      <c r="E437" t="s">
        <v>47</v>
      </c>
      <c r="F437" t="s">
        <v>44</v>
      </c>
      <c r="G437">
        <v>2</v>
      </c>
      <c r="H437">
        <v>2</v>
      </c>
      <c r="I437" t="s">
        <v>45</v>
      </c>
      <c r="J437" t="s">
        <v>45</v>
      </c>
      <c r="K437" t="s">
        <v>49</v>
      </c>
      <c r="L437" t="s">
        <v>41</v>
      </c>
      <c r="M437">
        <v>2</v>
      </c>
      <c r="N437">
        <v>2</v>
      </c>
      <c r="O437">
        <v>0</v>
      </c>
      <c r="P437" t="s">
        <v>43</v>
      </c>
      <c r="Q437" t="s">
        <v>42</v>
      </c>
      <c r="R437" t="s">
        <v>43</v>
      </c>
      <c r="S437" t="s">
        <v>42</v>
      </c>
      <c r="T437" t="s">
        <v>43</v>
      </c>
      <c r="U437" t="s">
        <v>42</v>
      </c>
      <c r="V437" t="s">
        <v>42</v>
      </c>
      <c r="W437" t="s">
        <v>42</v>
      </c>
      <c r="X437">
        <v>3</v>
      </c>
      <c r="Y437">
        <v>3</v>
      </c>
      <c r="Z437">
        <v>3</v>
      </c>
      <c r="AA437">
        <v>1</v>
      </c>
      <c r="AB437">
        <v>2</v>
      </c>
      <c r="AC437">
        <v>3</v>
      </c>
      <c r="AD437">
        <v>16</v>
      </c>
      <c r="AE437">
        <v>11</v>
      </c>
      <c r="AF437">
        <v>11</v>
      </c>
      <c r="AG437">
        <v>10</v>
      </c>
    </row>
    <row r="438" spans="1:33" x14ac:dyDescent="0.35">
      <c r="A438" t="s">
        <v>33</v>
      </c>
      <c r="B438" t="s">
        <v>50</v>
      </c>
      <c r="C438">
        <v>15</v>
      </c>
      <c r="D438" t="s">
        <v>35</v>
      </c>
      <c r="E438" t="s">
        <v>47</v>
      </c>
      <c r="F438" t="s">
        <v>44</v>
      </c>
      <c r="G438">
        <v>4</v>
      </c>
      <c r="H438">
        <v>4</v>
      </c>
      <c r="I438" t="s">
        <v>39</v>
      </c>
      <c r="J438" t="s">
        <v>45</v>
      </c>
      <c r="K438" t="s">
        <v>49</v>
      </c>
      <c r="L438" t="s">
        <v>45</v>
      </c>
      <c r="M438">
        <v>1</v>
      </c>
      <c r="N438">
        <v>1</v>
      </c>
      <c r="O438">
        <v>0</v>
      </c>
      <c r="P438" t="s">
        <v>43</v>
      </c>
      <c r="Q438" t="s">
        <v>42</v>
      </c>
      <c r="R438" t="s">
        <v>43</v>
      </c>
      <c r="S438" t="s">
        <v>43</v>
      </c>
      <c r="T438" t="s">
        <v>43</v>
      </c>
      <c r="U438" t="s">
        <v>42</v>
      </c>
      <c r="V438" t="s">
        <v>42</v>
      </c>
      <c r="W438" t="s">
        <v>42</v>
      </c>
      <c r="X438">
        <v>5</v>
      </c>
      <c r="Y438">
        <v>4</v>
      </c>
      <c r="Z438">
        <v>3</v>
      </c>
      <c r="AA438">
        <v>2</v>
      </c>
      <c r="AB438">
        <v>4</v>
      </c>
      <c r="AC438">
        <v>5</v>
      </c>
      <c r="AD438">
        <v>8</v>
      </c>
      <c r="AE438">
        <v>10</v>
      </c>
      <c r="AF438">
        <v>11</v>
      </c>
      <c r="AG438">
        <v>11</v>
      </c>
    </row>
    <row r="439" spans="1:33" x14ac:dyDescent="0.35">
      <c r="A439" t="s">
        <v>33</v>
      </c>
      <c r="B439" t="s">
        <v>50</v>
      </c>
      <c r="C439">
        <v>15</v>
      </c>
      <c r="D439" t="s">
        <v>35</v>
      </c>
      <c r="E439" t="s">
        <v>36</v>
      </c>
      <c r="F439" t="s">
        <v>44</v>
      </c>
      <c r="G439">
        <v>4</v>
      </c>
      <c r="H439">
        <v>4</v>
      </c>
      <c r="I439" t="s">
        <v>48</v>
      </c>
      <c r="J439" t="s">
        <v>39</v>
      </c>
      <c r="K439" t="s">
        <v>40</v>
      </c>
      <c r="L439" t="s">
        <v>46</v>
      </c>
      <c r="M439">
        <v>1</v>
      </c>
      <c r="N439">
        <v>2</v>
      </c>
      <c r="O439">
        <v>0</v>
      </c>
      <c r="P439" t="s">
        <v>43</v>
      </c>
      <c r="Q439" t="s">
        <v>42</v>
      </c>
      <c r="R439" t="s">
        <v>43</v>
      </c>
      <c r="S439" t="s">
        <v>42</v>
      </c>
      <c r="T439" t="s">
        <v>42</v>
      </c>
      <c r="U439" t="s">
        <v>42</v>
      </c>
      <c r="V439" t="s">
        <v>42</v>
      </c>
      <c r="W439" t="s">
        <v>43</v>
      </c>
      <c r="X439">
        <v>4</v>
      </c>
      <c r="Y439">
        <v>3</v>
      </c>
      <c r="Z439">
        <v>3</v>
      </c>
      <c r="AA439">
        <v>1</v>
      </c>
      <c r="AB439">
        <v>1</v>
      </c>
      <c r="AC439">
        <v>5</v>
      </c>
      <c r="AD439">
        <v>0</v>
      </c>
      <c r="AE439">
        <v>14</v>
      </c>
      <c r="AF439">
        <v>15</v>
      </c>
      <c r="AG439">
        <v>15</v>
      </c>
    </row>
    <row r="440" spans="1:33" x14ac:dyDescent="0.35">
      <c r="A440" t="s">
        <v>33</v>
      </c>
      <c r="B440" t="s">
        <v>50</v>
      </c>
      <c r="C440">
        <v>15</v>
      </c>
      <c r="D440" t="s">
        <v>35</v>
      </c>
      <c r="E440" t="s">
        <v>36</v>
      </c>
      <c r="F440" t="s">
        <v>44</v>
      </c>
      <c r="G440">
        <v>2</v>
      </c>
      <c r="H440">
        <v>2</v>
      </c>
      <c r="I440" t="s">
        <v>48</v>
      </c>
      <c r="J440" t="s">
        <v>48</v>
      </c>
      <c r="K440" t="s">
        <v>40</v>
      </c>
      <c r="L440" t="s">
        <v>46</v>
      </c>
      <c r="M440">
        <v>1</v>
      </c>
      <c r="N440">
        <v>1</v>
      </c>
      <c r="O440">
        <v>0</v>
      </c>
      <c r="P440" t="s">
        <v>42</v>
      </c>
      <c r="Q440" t="s">
        <v>42</v>
      </c>
      <c r="R440" t="s">
        <v>43</v>
      </c>
      <c r="S440" t="s">
        <v>43</v>
      </c>
      <c r="T440" t="s">
        <v>42</v>
      </c>
      <c r="U440" t="s">
        <v>42</v>
      </c>
      <c r="V440" t="s">
        <v>42</v>
      </c>
      <c r="W440" t="s">
        <v>43</v>
      </c>
      <c r="X440">
        <v>5</v>
      </c>
      <c r="Y440">
        <v>4</v>
      </c>
      <c r="Z440">
        <v>1</v>
      </c>
      <c r="AA440">
        <v>1</v>
      </c>
      <c r="AB440">
        <v>1</v>
      </c>
      <c r="AC440">
        <v>1</v>
      </c>
      <c r="AD440">
        <v>0</v>
      </c>
      <c r="AE440">
        <v>9</v>
      </c>
      <c r="AF440">
        <v>10</v>
      </c>
      <c r="AG440">
        <v>10</v>
      </c>
    </row>
    <row r="441" spans="1:33" x14ac:dyDescent="0.35">
      <c r="A441" t="s">
        <v>33</v>
      </c>
      <c r="B441" t="s">
        <v>34</v>
      </c>
      <c r="C441">
        <v>16</v>
      </c>
      <c r="D441" t="s">
        <v>35</v>
      </c>
      <c r="E441" t="s">
        <v>47</v>
      </c>
      <c r="F441" t="s">
        <v>44</v>
      </c>
      <c r="G441">
        <v>2</v>
      </c>
      <c r="H441">
        <v>2</v>
      </c>
      <c r="I441" t="s">
        <v>45</v>
      </c>
      <c r="J441" t="s">
        <v>38</v>
      </c>
      <c r="K441" t="s">
        <v>40</v>
      </c>
      <c r="L441" t="s">
        <v>46</v>
      </c>
      <c r="M441">
        <v>2</v>
      </c>
      <c r="N441">
        <v>2</v>
      </c>
      <c r="O441">
        <v>1</v>
      </c>
      <c r="P441" t="s">
        <v>42</v>
      </c>
      <c r="Q441" t="s">
        <v>43</v>
      </c>
      <c r="R441" t="s">
        <v>43</v>
      </c>
      <c r="S441" t="s">
        <v>42</v>
      </c>
      <c r="T441" t="s">
        <v>42</v>
      </c>
      <c r="U441" t="s">
        <v>42</v>
      </c>
      <c r="V441" t="s">
        <v>42</v>
      </c>
      <c r="W441" t="s">
        <v>43</v>
      </c>
      <c r="X441">
        <v>4</v>
      </c>
      <c r="Y441">
        <v>3</v>
      </c>
      <c r="Z441">
        <v>3</v>
      </c>
      <c r="AA441">
        <v>2</v>
      </c>
      <c r="AB441">
        <v>2</v>
      </c>
      <c r="AC441">
        <v>5</v>
      </c>
      <c r="AD441">
        <v>14</v>
      </c>
      <c r="AE441">
        <v>10</v>
      </c>
      <c r="AF441">
        <v>11</v>
      </c>
      <c r="AG441">
        <v>11</v>
      </c>
    </row>
    <row r="442" spans="1:33" x14ac:dyDescent="0.35">
      <c r="A442" t="s">
        <v>33</v>
      </c>
      <c r="B442" t="s">
        <v>34</v>
      </c>
      <c r="C442">
        <v>15</v>
      </c>
      <c r="D442" t="s">
        <v>35</v>
      </c>
      <c r="E442" t="s">
        <v>47</v>
      </c>
      <c r="F442" t="s">
        <v>37</v>
      </c>
      <c r="G442">
        <v>4</v>
      </c>
      <c r="H442">
        <v>3</v>
      </c>
      <c r="I442" t="s">
        <v>45</v>
      </c>
      <c r="J442" t="s">
        <v>45</v>
      </c>
      <c r="K442" t="s">
        <v>40</v>
      </c>
      <c r="L442" t="s">
        <v>41</v>
      </c>
      <c r="M442">
        <v>1</v>
      </c>
      <c r="N442">
        <v>2</v>
      </c>
      <c r="O442">
        <v>0</v>
      </c>
      <c r="P442" t="s">
        <v>42</v>
      </c>
      <c r="Q442" t="s">
        <v>42</v>
      </c>
      <c r="R442" t="s">
        <v>42</v>
      </c>
      <c r="S442" t="s">
        <v>42</v>
      </c>
      <c r="T442" t="s">
        <v>42</v>
      </c>
      <c r="U442" t="s">
        <v>42</v>
      </c>
      <c r="V442" t="s">
        <v>42</v>
      </c>
      <c r="W442" t="s">
        <v>42</v>
      </c>
      <c r="X442">
        <v>5</v>
      </c>
      <c r="Y442">
        <v>2</v>
      </c>
      <c r="Z442">
        <v>2</v>
      </c>
      <c r="AA442">
        <v>1</v>
      </c>
      <c r="AB442">
        <v>1</v>
      </c>
      <c r="AC442">
        <v>5</v>
      </c>
      <c r="AD442">
        <v>4</v>
      </c>
      <c r="AE442">
        <v>10</v>
      </c>
      <c r="AF442">
        <v>11</v>
      </c>
      <c r="AG442">
        <v>11</v>
      </c>
    </row>
    <row r="443" spans="1:33" x14ac:dyDescent="0.35">
      <c r="A443" t="s">
        <v>33</v>
      </c>
      <c r="B443" t="s">
        <v>34</v>
      </c>
      <c r="C443">
        <v>16</v>
      </c>
      <c r="D443" t="s">
        <v>35</v>
      </c>
      <c r="E443" t="s">
        <v>47</v>
      </c>
      <c r="F443" t="s">
        <v>37</v>
      </c>
      <c r="G443">
        <v>3</v>
      </c>
      <c r="H443">
        <v>3</v>
      </c>
      <c r="I443" t="s">
        <v>45</v>
      </c>
      <c r="J443" t="s">
        <v>48</v>
      </c>
      <c r="K443" t="s">
        <v>49</v>
      </c>
      <c r="L443" t="s">
        <v>41</v>
      </c>
      <c r="M443">
        <v>1</v>
      </c>
      <c r="N443">
        <v>2</v>
      </c>
      <c r="O443">
        <v>0</v>
      </c>
      <c r="P443" t="s">
        <v>43</v>
      </c>
      <c r="Q443" t="s">
        <v>42</v>
      </c>
      <c r="R443" t="s">
        <v>43</v>
      </c>
      <c r="S443" t="s">
        <v>43</v>
      </c>
      <c r="T443" t="s">
        <v>42</v>
      </c>
      <c r="U443" t="s">
        <v>42</v>
      </c>
      <c r="V443" t="s">
        <v>42</v>
      </c>
      <c r="W443" t="s">
        <v>43</v>
      </c>
      <c r="X443">
        <v>2</v>
      </c>
      <c r="Y443">
        <v>3</v>
      </c>
      <c r="Z443">
        <v>5</v>
      </c>
      <c r="AA443">
        <v>1</v>
      </c>
      <c r="AB443">
        <v>4</v>
      </c>
      <c r="AC443">
        <v>3</v>
      </c>
      <c r="AD443">
        <v>6</v>
      </c>
      <c r="AE443">
        <v>13</v>
      </c>
      <c r="AF443">
        <v>12</v>
      </c>
      <c r="AG443">
        <v>13</v>
      </c>
    </row>
    <row r="444" spans="1:33" x14ac:dyDescent="0.35">
      <c r="A444" t="s">
        <v>33</v>
      </c>
      <c r="B444" t="s">
        <v>50</v>
      </c>
      <c r="C444">
        <v>16</v>
      </c>
      <c r="D444" t="s">
        <v>35</v>
      </c>
      <c r="E444" t="s">
        <v>36</v>
      </c>
      <c r="F444" t="s">
        <v>44</v>
      </c>
      <c r="G444">
        <v>4</v>
      </c>
      <c r="H444">
        <v>3</v>
      </c>
      <c r="I444" t="s">
        <v>28</v>
      </c>
      <c r="J444" t="s">
        <v>48</v>
      </c>
      <c r="K444" t="s">
        <v>51</v>
      </c>
      <c r="L444" t="s">
        <v>41</v>
      </c>
      <c r="M444">
        <v>1</v>
      </c>
      <c r="N444">
        <v>4</v>
      </c>
      <c r="O444">
        <v>0</v>
      </c>
      <c r="P444" t="s">
        <v>43</v>
      </c>
      <c r="Q444" t="s">
        <v>43</v>
      </c>
      <c r="R444" t="s">
        <v>43</v>
      </c>
      <c r="S444" t="s">
        <v>42</v>
      </c>
      <c r="T444" t="s">
        <v>42</v>
      </c>
      <c r="U444" t="s">
        <v>42</v>
      </c>
      <c r="V444" t="s">
        <v>42</v>
      </c>
      <c r="W444" t="s">
        <v>43</v>
      </c>
      <c r="X444">
        <v>4</v>
      </c>
      <c r="Y444">
        <v>2</v>
      </c>
      <c r="Z444">
        <v>2</v>
      </c>
      <c r="AA444">
        <v>1</v>
      </c>
      <c r="AB444">
        <v>1</v>
      </c>
      <c r="AC444">
        <v>2</v>
      </c>
      <c r="AD444">
        <v>2</v>
      </c>
      <c r="AE444">
        <v>17</v>
      </c>
      <c r="AF444">
        <v>17</v>
      </c>
      <c r="AG444">
        <v>17</v>
      </c>
    </row>
    <row r="445" spans="1:33" x14ac:dyDescent="0.35">
      <c r="A445" t="s">
        <v>33</v>
      </c>
      <c r="B445" t="s">
        <v>50</v>
      </c>
      <c r="C445">
        <v>15</v>
      </c>
      <c r="D445" t="s">
        <v>35</v>
      </c>
      <c r="E445" t="s">
        <v>36</v>
      </c>
      <c r="F445" t="s">
        <v>44</v>
      </c>
      <c r="G445">
        <v>4</v>
      </c>
      <c r="H445">
        <v>2</v>
      </c>
      <c r="I445" t="s">
        <v>39</v>
      </c>
      <c r="J445" t="s">
        <v>45</v>
      </c>
      <c r="K445" t="s">
        <v>49</v>
      </c>
      <c r="L445" t="s">
        <v>41</v>
      </c>
      <c r="M445">
        <v>1</v>
      </c>
      <c r="N445">
        <v>2</v>
      </c>
      <c r="O445">
        <v>0</v>
      </c>
      <c r="P445" t="s">
        <v>43</v>
      </c>
      <c r="Q445" t="s">
        <v>42</v>
      </c>
      <c r="R445" t="s">
        <v>43</v>
      </c>
      <c r="S445" t="s">
        <v>43</v>
      </c>
      <c r="T445" t="s">
        <v>42</v>
      </c>
      <c r="U445" t="s">
        <v>42</v>
      </c>
      <c r="V445" t="s">
        <v>43</v>
      </c>
      <c r="W445" t="s">
        <v>43</v>
      </c>
      <c r="X445">
        <v>4</v>
      </c>
      <c r="Y445">
        <v>3</v>
      </c>
      <c r="Z445">
        <v>3</v>
      </c>
      <c r="AA445">
        <v>2</v>
      </c>
      <c r="AB445">
        <v>2</v>
      </c>
      <c r="AC445">
        <v>5</v>
      </c>
      <c r="AD445">
        <v>4</v>
      </c>
      <c r="AE445">
        <v>11</v>
      </c>
      <c r="AF445">
        <v>12</v>
      </c>
      <c r="AG445">
        <v>13</v>
      </c>
    </row>
    <row r="446" spans="1:33" x14ac:dyDescent="0.35">
      <c r="A446" t="s">
        <v>33</v>
      </c>
      <c r="B446" t="s">
        <v>34</v>
      </c>
      <c r="C446">
        <v>15</v>
      </c>
      <c r="D446" t="s">
        <v>35</v>
      </c>
      <c r="E446" t="s">
        <v>36</v>
      </c>
      <c r="F446" t="s">
        <v>44</v>
      </c>
      <c r="G446">
        <v>4</v>
      </c>
      <c r="H446">
        <v>4</v>
      </c>
      <c r="I446" t="s">
        <v>48</v>
      </c>
      <c r="J446" t="s">
        <v>39</v>
      </c>
      <c r="K446" t="s">
        <v>45</v>
      </c>
      <c r="L446" t="s">
        <v>46</v>
      </c>
      <c r="M446">
        <v>1</v>
      </c>
      <c r="N446">
        <v>2</v>
      </c>
      <c r="O446">
        <v>0</v>
      </c>
      <c r="P446" t="s">
        <v>42</v>
      </c>
      <c r="Q446" t="s">
        <v>42</v>
      </c>
      <c r="R446" t="s">
        <v>43</v>
      </c>
      <c r="S446" t="s">
        <v>42</v>
      </c>
      <c r="T446" t="s">
        <v>43</v>
      </c>
      <c r="U446" t="s">
        <v>42</v>
      </c>
      <c r="V446" t="s">
        <v>42</v>
      </c>
      <c r="W446" t="s">
        <v>43</v>
      </c>
      <c r="X446">
        <v>4</v>
      </c>
      <c r="Y446">
        <v>4</v>
      </c>
      <c r="Z446">
        <v>4</v>
      </c>
      <c r="AA446">
        <v>1</v>
      </c>
      <c r="AB446">
        <v>1</v>
      </c>
      <c r="AC446">
        <v>3</v>
      </c>
      <c r="AD446">
        <v>2</v>
      </c>
      <c r="AE446">
        <v>13</v>
      </c>
      <c r="AF446">
        <v>12</v>
      </c>
      <c r="AG446">
        <v>12</v>
      </c>
    </row>
    <row r="447" spans="1:33" x14ac:dyDescent="0.35">
      <c r="A447" t="s">
        <v>33</v>
      </c>
      <c r="B447" t="s">
        <v>34</v>
      </c>
      <c r="C447">
        <v>16</v>
      </c>
      <c r="D447" t="s">
        <v>35</v>
      </c>
      <c r="E447" t="s">
        <v>47</v>
      </c>
      <c r="F447" t="s">
        <v>44</v>
      </c>
      <c r="G447">
        <v>2</v>
      </c>
      <c r="H447">
        <v>2</v>
      </c>
      <c r="I447" t="s">
        <v>48</v>
      </c>
      <c r="J447" t="s">
        <v>48</v>
      </c>
      <c r="K447" t="s">
        <v>40</v>
      </c>
      <c r="L447" t="s">
        <v>41</v>
      </c>
      <c r="M447">
        <v>3</v>
      </c>
      <c r="N447">
        <v>2</v>
      </c>
      <c r="O447">
        <v>0</v>
      </c>
      <c r="P447" t="s">
        <v>43</v>
      </c>
      <c r="Q447" t="s">
        <v>42</v>
      </c>
      <c r="R447" t="s">
        <v>43</v>
      </c>
      <c r="S447" t="s">
        <v>43</v>
      </c>
      <c r="T447" t="s">
        <v>42</v>
      </c>
      <c r="U447" t="s">
        <v>42</v>
      </c>
      <c r="V447" t="s">
        <v>42</v>
      </c>
      <c r="W447" t="s">
        <v>43</v>
      </c>
      <c r="X447">
        <v>4</v>
      </c>
      <c r="Y447">
        <v>3</v>
      </c>
      <c r="Z447">
        <v>3</v>
      </c>
      <c r="AA447">
        <v>2</v>
      </c>
      <c r="AB447">
        <v>3</v>
      </c>
      <c r="AC447">
        <v>4</v>
      </c>
      <c r="AD447">
        <v>0</v>
      </c>
      <c r="AE447">
        <v>14</v>
      </c>
      <c r="AF447">
        <v>13</v>
      </c>
      <c r="AG447">
        <v>13</v>
      </c>
    </row>
    <row r="448" spans="1:33" x14ac:dyDescent="0.35">
      <c r="A448" t="s">
        <v>33</v>
      </c>
      <c r="B448" t="s">
        <v>34</v>
      </c>
      <c r="C448">
        <v>15</v>
      </c>
      <c r="D448" t="s">
        <v>35</v>
      </c>
      <c r="E448" t="s">
        <v>47</v>
      </c>
      <c r="F448" t="s">
        <v>44</v>
      </c>
      <c r="G448">
        <v>4</v>
      </c>
      <c r="H448">
        <v>2</v>
      </c>
      <c r="I448" t="s">
        <v>28</v>
      </c>
      <c r="J448" t="s">
        <v>45</v>
      </c>
      <c r="K448" t="s">
        <v>45</v>
      </c>
      <c r="L448" t="s">
        <v>41</v>
      </c>
      <c r="M448">
        <v>1</v>
      </c>
      <c r="N448">
        <v>2</v>
      </c>
      <c r="O448">
        <v>0</v>
      </c>
      <c r="P448" t="s">
        <v>43</v>
      </c>
      <c r="Q448" t="s">
        <v>42</v>
      </c>
      <c r="R448" t="s">
        <v>43</v>
      </c>
      <c r="S448" t="s">
        <v>43</v>
      </c>
      <c r="T448" t="s">
        <v>42</v>
      </c>
      <c r="U448" t="s">
        <v>42</v>
      </c>
      <c r="V448" t="s">
        <v>42</v>
      </c>
      <c r="W448" t="s">
        <v>43</v>
      </c>
      <c r="X448">
        <v>4</v>
      </c>
      <c r="Y448">
        <v>3</v>
      </c>
      <c r="Z448">
        <v>3</v>
      </c>
      <c r="AA448">
        <v>1</v>
      </c>
      <c r="AB448">
        <v>1</v>
      </c>
      <c r="AC448">
        <v>5</v>
      </c>
      <c r="AD448">
        <v>0</v>
      </c>
      <c r="AE448">
        <v>16</v>
      </c>
      <c r="AF448">
        <v>14</v>
      </c>
      <c r="AG448">
        <v>16</v>
      </c>
    </row>
    <row r="449" spans="1:33" x14ac:dyDescent="0.35">
      <c r="A449" t="s">
        <v>33</v>
      </c>
      <c r="B449" t="s">
        <v>50</v>
      </c>
      <c r="C449">
        <v>15</v>
      </c>
      <c r="D449" t="s">
        <v>35</v>
      </c>
      <c r="E449" t="s">
        <v>47</v>
      </c>
      <c r="F449" t="s">
        <v>37</v>
      </c>
      <c r="G449">
        <v>4</v>
      </c>
      <c r="H449">
        <v>2</v>
      </c>
      <c r="I449" t="s">
        <v>28</v>
      </c>
      <c r="J449" t="s">
        <v>28</v>
      </c>
      <c r="K449" t="s">
        <v>45</v>
      </c>
      <c r="L449" t="s">
        <v>46</v>
      </c>
      <c r="M449">
        <v>2</v>
      </c>
      <c r="N449">
        <v>1</v>
      </c>
      <c r="O449">
        <v>0</v>
      </c>
      <c r="P449" t="s">
        <v>43</v>
      </c>
      <c r="Q449" t="s">
        <v>43</v>
      </c>
      <c r="R449" t="s">
        <v>43</v>
      </c>
      <c r="S449" t="s">
        <v>43</v>
      </c>
      <c r="T449" t="s">
        <v>42</v>
      </c>
      <c r="U449" t="s">
        <v>42</v>
      </c>
      <c r="V449" t="s">
        <v>43</v>
      </c>
      <c r="W449" t="s">
        <v>43</v>
      </c>
      <c r="X449">
        <v>5</v>
      </c>
      <c r="Y449">
        <v>5</v>
      </c>
      <c r="Z449">
        <v>5</v>
      </c>
      <c r="AA449">
        <v>3</v>
      </c>
      <c r="AB449">
        <v>4</v>
      </c>
      <c r="AC449">
        <v>5</v>
      </c>
      <c r="AD449">
        <v>4</v>
      </c>
      <c r="AE449">
        <v>10</v>
      </c>
      <c r="AF449">
        <v>9</v>
      </c>
      <c r="AG449">
        <v>9</v>
      </c>
    </row>
    <row r="450" spans="1:33" x14ac:dyDescent="0.35">
      <c r="A450" t="s">
        <v>33</v>
      </c>
      <c r="B450" t="s">
        <v>34</v>
      </c>
      <c r="C450">
        <v>15</v>
      </c>
      <c r="D450" t="s">
        <v>35</v>
      </c>
      <c r="E450" t="s">
        <v>36</v>
      </c>
      <c r="F450" t="s">
        <v>44</v>
      </c>
      <c r="G450">
        <v>4</v>
      </c>
      <c r="H450">
        <v>4</v>
      </c>
      <c r="I450" t="s">
        <v>48</v>
      </c>
      <c r="J450" t="s">
        <v>48</v>
      </c>
      <c r="K450" t="s">
        <v>40</v>
      </c>
      <c r="L450" t="s">
        <v>41</v>
      </c>
      <c r="M450">
        <v>1</v>
      </c>
      <c r="N450">
        <v>1</v>
      </c>
      <c r="O450">
        <v>0</v>
      </c>
      <c r="P450" t="s">
        <v>42</v>
      </c>
      <c r="Q450" t="s">
        <v>42</v>
      </c>
      <c r="R450" t="s">
        <v>43</v>
      </c>
      <c r="S450" t="s">
        <v>43</v>
      </c>
      <c r="T450" t="s">
        <v>42</v>
      </c>
      <c r="U450" t="s">
        <v>42</v>
      </c>
      <c r="V450" t="s">
        <v>42</v>
      </c>
      <c r="W450" t="s">
        <v>43</v>
      </c>
      <c r="X450">
        <v>3</v>
      </c>
      <c r="Y450">
        <v>3</v>
      </c>
      <c r="Z450">
        <v>4</v>
      </c>
      <c r="AA450">
        <v>2</v>
      </c>
      <c r="AB450">
        <v>3</v>
      </c>
      <c r="AC450">
        <v>5</v>
      </c>
      <c r="AD450">
        <v>0</v>
      </c>
      <c r="AE450">
        <v>13</v>
      </c>
      <c r="AF450">
        <v>12</v>
      </c>
      <c r="AG450">
        <v>12</v>
      </c>
    </row>
    <row r="451" spans="1:33" x14ac:dyDescent="0.35">
      <c r="A451" t="s">
        <v>33</v>
      </c>
      <c r="B451" t="s">
        <v>34</v>
      </c>
      <c r="C451">
        <v>15</v>
      </c>
      <c r="D451" t="s">
        <v>35</v>
      </c>
      <c r="E451" t="s">
        <v>47</v>
      </c>
      <c r="F451" t="s">
        <v>37</v>
      </c>
      <c r="G451">
        <v>3</v>
      </c>
      <c r="H451">
        <v>3</v>
      </c>
      <c r="I451" t="s">
        <v>45</v>
      </c>
      <c r="J451" t="s">
        <v>45</v>
      </c>
      <c r="K451" t="s">
        <v>45</v>
      </c>
      <c r="L451" t="s">
        <v>41</v>
      </c>
      <c r="M451">
        <v>1</v>
      </c>
      <c r="N451">
        <v>1</v>
      </c>
      <c r="O451">
        <v>0</v>
      </c>
      <c r="P451" t="s">
        <v>43</v>
      </c>
      <c r="Q451" t="s">
        <v>43</v>
      </c>
      <c r="R451" t="s">
        <v>43</v>
      </c>
      <c r="S451" t="s">
        <v>43</v>
      </c>
      <c r="T451" t="s">
        <v>42</v>
      </c>
      <c r="U451" t="s">
        <v>42</v>
      </c>
      <c r="V451" t="s">
        <v>42</v>
      </c>
      <c r="W451" t="s">
        <v>43</v>
      </c>
      <c r="X451">
        <v>5</v>
      </c>
      <c r="Y451">
        <v>3</v>
      </c>
      <c r="Z451">
        <v>4</v>
      </c>
      <c r="AA451">
        <v>4</v>
      </c>
      <c r="AB451">
        <v>4</v>
      </c>
      <c r="AC451">
        <v>1</v>
      </c>
      <c r="AD451">
        <v>0</v>
      </c>
      <c r="AE451">
        <v>13</v>
      </c>
      <c r="AF451">
        <v>12</v>
      </c>
      <c r="AG451">
        <v>13</v>
      </c>
    </row>
    <row r="452" spans="1:33" x14ac:dyDescent="0.35">
      <c r="A452" t="s">
        <v>33</v>
      </c>
      <c r="B452" t="s">
        <v>34</v>
      </c>
      <c r="C452">
        <v>16</v>
      </c>
      <c r="D452" t="s">
        <v>35</v>
      </c>
      <c r="E452" t="s">
        <v>36</v>
      </c>
      <c r="F452" t="s">
        <v>37</v>
      </c>
      <c r="G452">
        <v>2</v>
      </c>
      <c r="H452">
        <v>1</v>
      </c>
      <c r="I452" t="s">
        <v>45</v>
      </c>
      <c r="J452" t="s">
        <v>45</v>
      </c>
      <c r="K452" t="s">
        <v>45</v>
      </c>
      <c r="L452" t="s">
        <v>41</v>
      </c>
      <c r="M452">
        <v>1</v>
      </c>
      <c r="N452">
        <v>2</v>
      </c>
      <c r="O452">
        <v>0</v>
      </c>
      <c r="P452" t="s">
        <v>43</v>
      </c>
      <c r="Q452" t="s">
        <v>43</v>
      </c>
      <c r="R452" t="s">
        <v>43</v>
      </c>
      <c r="S452" t="s">
        <v>42</v>
      </c>
      <c r="T452" t="s">
        <v>42</v>
      </c>
      <c r="U452" t="s">
        <v>42</v>
      </c>
      <c r="V452" t="s">
        <v>42</v>
      </c>
      <c r="W452" t="s">
        <v>42</v>
      </c>
      <c r="X452">
        <v>5</v>
      </c>
      <c r="Y452">
        <v>3</v>
      </c>
      <c r="Z452">
        <v>4</v>
      </c>
      <c r="AA452">
        <v>1</v>
      </c>
      <c r="AB452">
        <v>1</v>
      </c>
      <c r="AC452">
        <v>2</v>
      </c>
      <c r="AD452">
        <v>2</v>
      </c>
      <c r="AE452">
        <v>12</v>
      </c>
      <c r="AF452">
        <v>13</v>
      </c>
      <c r="AG452">
        <v>12</v>
      </c>
    </row>
    <row r="453" spans="1:33" x14ac:dyDescent="0.35">
      <c r="A453" t="s">
        <v>33</v>
      </c>
      <c r="B453" t="s">
        <v>34</v>
      </c>
      <c r="C453">
        <v>15</v>
      </c>
      <c r="D453" t="s">
        <v>35</v>
      </c>
      <c r="E453" t="s">
        <v>36</v>
      </c>
      <c r="F453" t="s">
        <v>37</v>
      </c>
      <c r="G453">
        <v>4</v>
      </c>
      <c r="H453">
        <v>3</v>
      </c>
      <c r="I453" t="s">
        <v>48</v>
      </c>
      <c r="J453" t="s">
        <v>48</v>
      </c>
      <c r="K453" t="s">
        <v>51</v>
      </c>
      <c r="L453" t="s">
        <v>41</v>
      </c>
      <c r="M453">
        <v>1</v>
      </c>
      <c r="N453">
        <v>2</v>
      </c>
      <c r="O453">
        <v>0</v>
      </c>
      <c r="P453" t="s">
        <v>43</v>
      </c>
      <c r="Q453" t="s">
        <v>42</v>
      </c>
      <c r="R453" t="s">
        <v>43</v>
      </c>
      <c r="S453" t="s">
        <v>42</v>
      </c>
      <c r="T453" t="s">
        <v>42</v>
      </c>
      <c r="U453" t="s">
        <v>42</v>
      </c>
      <c r="V453" t="s">
        <v>42</v>
      </c>
      <c r="W453" t="s">
        <v>43</v>
      </c>
      <c r="X453">
        <v>4</v>
      </c>
      <c r="Y453">
        <v>3</v>
      </c>
      <c r="Z453">
        <v>2</v>
      </c>
      <c r="AA453">
        <v>1</v>
      </c>
      <c r="AB453">
        <v>1</v>
      </c>
      <c r="AC453">
        <v>1</v>
      </c>
      <c r="AD453">
        <v>0</v>
      </c>
      <c r="AE453">
        <v>15</v>
      </c>
      <c r="AF453">
        <v>14</v>
      </c>
      <c r="AG453">
        <v>15</v>
      </c>
    </row>
    <row r="454" spans="1:33" x14ac:dyDescent="0.35">
      <c r="A454" t="s">
        <v>33</v>
      </c>
      <c r="B454" t="s">
        <v>50</v>
      </c>
      <c r="C454">
        <v>15</v>
      </c>
      <c r="D454" t="s">
        <v>35</v>
      </c>
      <c r="E454" t="s">
        <v>36</v>
      </c>
      <c r="F454" t="s">
        <v>44</v>
      </c>
      <c r="G454">
        <v>4</v>
      </c>
      <c r="H454">
        <v>4</v>
      </c>
      <c r="I454" t="s">
        <v>39</v>
      </c>
      <c r="J454" t="s">
        <v>28</v>
      </c>
      <c r="K454" t="s">
        <v>51</v>
      </c>
      <c r="L454" t="s">
        <v>41</v>
      </c>
      <c r="M454">
        <v>1</v>
      </c>
      <c r="N454">
        <v>2</v>
      </c>
      <c r="O454">
        <v>0</v>
      </c>
      <c r="P454" t="s">
        <v>43</v>
      </c>
      <c r="Q454" t="s">
        <v>42</v>
      </c>
      <c r="R454" t="s">
        <v>43</v>
      </c>
      <c r="S454" t="s">
        <v>42</v>
      </c>
      <c r="T454" t="s">
        <v>42</v>
      </c>
      <c r="U454" t="s">
        <v>42</v>
      </c>
      <c r="V454" t="s">
        <v>43</v>
      </c>
      <c r="W454" t="s">
        <v>43</v>
      </c>
      <c r="X454">
        <v>3</v>
      </c>
      <c r="Y454">
        <v>2</v>
      </c>
      <c r="Z454">
        <v>2</v>
      </c>
      <c r="AA454">
        <v>1</v>
      </c>
      <c r="AB454">
        <v>1</v>
      </c>
      <c r="AC454">
        <v>5</v>
      </c>
      <c r="AD454">
        <v>8</v>
      </c>
      <c r="AE454">
        <v>15</v>
      </c>
      <c r="AF454">
        <v>15</v>
      </c>
      <c r="AG454">
        <v>16</v>
      </c>
    </row>
    <row r="455" spans="1:33" x14ac:dyDescent="0.35">
      <c r="A455" t="s">
        <v>33</v>
      </c>
      <c r="B455" t="s">
        <v>50</v>
      </c>
      <c r="C455">
        <v>15</v>
      </c>
      <c r="D455" t="s">
        <v>35</v>
      </c>
      <c r="E455" t="s">
        <v>47</v>
      </c>
      <c r="F455" t="s">
        <v>44</v>
      </c>
      <c r="G455">
        <v>1</v>
      </c>
      <c r="H455">
        <v>2</v>
      </c>
      <c r="I455" t="s">
        <v>45</v>
      </c>
      <c r="J455" t="s">
        <v>38</v>
      </c>
      <c r="K455" t="s">
        <v>49</v>
      </c>
      <c r="L455" t="s">
        <v>46</v>
      </c>
      <c r="M455">
        <v>1</v>
      </c>
      <c r="N455">
        <v>2</v>
      </c>
      <c r="O455">
        <v>0</v>
      </c>
      <c r="P455" t="s">
        <v>42</v>
      </c>
      <c r="Q455" t="s">
        <v>42</v>
      </c>
      <c r="R455" t="s">
        <v>43</v>
      </c>
      <c r="S455" t="s">
        <v>42</v>
      </c>
      <c r="T455" t="s">
        <v>42</v>
      </c>
      <c r="U455" t="s">
        <v>42</v>
      </c>
      <c r="V455" t="s">
        <v>42</v>
      </c>
      <c r="W455" t="s">
        <v>43</v>
      </c>
      <c r="X455">
        <v>4</v>
      </c>
      <c r="Y455">
        <v>3</v>
      </c>
      <c r="Z455">
        <v>2</v>
      </c>
      <c r="AA455">
        <v>1</v>
      </c>
      <c r="AB455">
        <v>1</v>
      </c>
      <c r="AC455">
        <v>5</v>
      </c>
      <c r="AD455">
        <v>0</v>
      </c>
      <c r="AE455">
        <v>14</v>
      </c>
      <c r="AF455">
        <v>13</v>
      </c>
      <c r="AG455">
        <v>14</v>
      </c>
    </row>
    <row r="456" spans="1:33" x14ac:dyDescent="0.35">
      <c r="A456" t="s">
        <v>33</v>
      </c>
      <c r="B456" t="s">
        <v>34</v>
      </c>
      <c r="C456">
        <v>16</v>
      </c>
      <c r="D456" t="s">
        <v>35</v>
      </c>
      <c r="E456" t="s">
        <v>36</v>
      </c>
      <c r="F456" t="s">
        <v>44</v>
      </c>
      <c r="G456">
        <v>4</v>
      </c>
      <c r="H456">
        <v>2</v>
      </c>
      <c r="I456" t="s">
        <v>48</v>
      </c>
      <c r="J456" t="s">
        <v>45</v>
      </c>
      <c r="K456" t="s">
        <v>40</v>
      </c>
      <c r="L456" t="s">
        <v>41</v>
      </c>
      <c r="M456">
        <v>1</v>
      </c>
      <c r="N456">
        <v>2</v>
      </c>
      <c r="O456">
        <v>0</v>
      </c>
      <c r="P456" t="s">
        <v>43</v>
      </c>
      <c r="Q456" t="s">
        <v>42</v>
      </c>
      <c r="R456" t="s">
        <v>42</v>
      </c>
      <c r="S456" t="s">
        <v>43</v>
      </c>
      <c r="T456" t="s">
        <v>42</v>
      </c>
      <c r="U456" t="s">
        <v>42</v>
      </c>
      <c r="V456" t="s">
        <v>42</v>
      </c>
      <c r="W456" t="s">
        <v>43</v>
      </c>
      <c r="X456">
        <v>4</v>
      </c>
      <c r="Y456">
        <v>2</v>
      </c>
      <c r="Z456">
        <v>3</v>
      </c>
      <c r="AA456">
        <v>1</v>
      </c>
      <c r="AB456">
        <v>1</v>
      </c>
      <c r="AC456">
        <v>5</v>
      </c>
      <c r="AD456">
        <v>2</v>
      </c>
      <c r="AE456">
        <v>16</v>
      </c>
      <c r="AF456">
        <v>15</v>
      </c>
      <c r="AG456">
        <v>16</v>
      </c>
    </row>
    <row r="457" spans="1:33" x14ac:dyDescent="0.35">
      <c r="A457" t="s">
        <v>33</v>
      </c>
      <c r="B457" t="s">
        <v>34</v>
      </c>
      <c r="C457">
        <v>16</v>
      </c>
      <c r="D457" t="s">
        <v>52</v>
      </c>
      <c r="E457" t="s">
        <v>36</v>
      </c>
      <c r="F457" t="s">
        <v>44</v>
      </c>
      <c r="G457">
        <v>4</v>
      </c>
      <c r="H457">
        <v>4</v>
      </c>
      <c r="I457" t="s">
        <v>28</v>
      </c>
      <c r="J457" t="s">
        <v>39</v>
      </c>
      <c r="K457" t="s">
        <v>45</v>
      </c>
      <c r="L457" t="s">
        <v>41</v>
      </c>
      <c r="M457">
        <v>1</v>
      </c>
      <c r="N457">
        <v>2</v>
      </c>
      <c r="O457">
        <v>0</v>
      </c>
      <c r="P457" t="s">
        <v>43</v>
      </c>
      <c r="Q457" t="s">
        <v>42</v>
      </c>
      <c r="R457" t="s">
        <v>43</v>
      </c>
      <c r="S457" t="s">
        <v>42</v>
      </c>
      <c r="T457" t="s">
        <v>42</v>
      </c>
      <c r="U457" t="s">
        <v>42</v>
      </c>
      <c r="V457" t="s">
        <v>43</v>
      </c>
      <c r="W457" t="s">
        <v>43</v>
      </c>
      <c r="X457">
        <v>2</v>
      </c>
      <c r="Y457">
        <v>4</v>
      </c>
      <c r="Z457">
        <v>4</v>
      </c>
      <c r="AA457">
        <v>2</v>
      </c>
      <c r="AB457">
        <v>3</v>
      </c>
      <c r="AC457">
        <v>4</v>
      </c>
      <c r="AD457">
        <v>0</v>
      </c>
      <c r="AE457">
        <v>17</v>
      </c>
      <c r="AF457">
        <v>16</v>
      </c>
      <c r="AG457">
        <v>16</v>
      </c>
    </row>
    <row r="458" spans="1:33" x14ac:dyDescent="0.35">
      <c r="A458" t="s">
        <v>33</v>
      </c>
      <c r="B458" t="s">
        <v>34</v>
      </c>
      <c r="C458">
        <v>16</v>
      </c>
      <c r="D458" t="s">
        <v>35</v>
      </c>
      <c r="E458" t="s">
        <v>36</v>
      </c>
      <c r="F458" t="s">
        <v>44</v>
      </c>
      <c r="G458">
        <v>1</v>
      </c>
      <c r="H458">
        <v>1</v>
      </c>
      <c r="I458" t="s">
        <v>48</v>
      </c>
      <c r="J458" t="s">
        <v>48</v>
      </c>
      <c r="K458" t="s">
        <v>40</v>
      </c>
      <c r="L458" t="s">
        <v>46</v>
      </c>
      <c r="M458">
        <v>4</v>
      </c>
      <c r="N458">
        <v>1</v>
      </c>
      <c r="O458">
        <v>0</v>
      </c>
      <c r="P458" t="s">
        <v>42</v>
      </c>
      <c r="Q458" t="s">
        <v>42</v>
      </c>
      <c r="R458" t="s">
        <v>43</v>
      </c>
      <c r="S458" t="s">
        <v>42</v>
      </c>
      <c r="T458" t="s">
        <v>43</v>
      </c>
      <c r="U458" t="s">
        <v>42</v>
      </c>
      <c r="V458" t="s">
        <v>42</v>
      </c>
      <c r="W458" t="s">
        <v>42</v>
      </c>
      <c r="X458">
        <v>5</v>
      </c>
      <c r="Y458">
        <v>5</v>
      </c>
      <c r="Z458">
        <v>5</v>
      </c>
      <c r="AA458">
        <v>5</v>
      </c>
      <c r="AB458">
        <v>5</v>
      </c>
      <c r="AC458">
        <v>5</v>
      </c>
      <c r="AD458">
        <v>0</v>
      </c>
      <c r="AE458">
        <v>10</v>
      </c>
      <c r="AF458">
        <v>10</v>
      </c>
      <c r="AG458">
        <v>16</v>
      </c>
    </row>
    <row r="459" spans="1:33" x14ac:dyDescent="0.35">
      <c r="A459" t="s">
        <v>33</v>
      </c>
      <c r="B459" t="s">
        <v>34</v>
      </c>
      <c r="C459">
        <v>16</v>
      </c>
      <c r="D459" t="s">
        <v>35</v>
      </c>
      <c r="E459" t="s">
        <v>47</v>
      </c>
      <c r="F459" t="s">
        <v>44</v>
      </c>
      <c r="G459">
        <v>1</v>
      </c>
      <c r="H459">
        <v>2</v>
      </c>
      <c r="I459" t="s">
        <v>45</v>
      </c>
      <c r="J459" t="s">
        <v>48</v>
      </c>
      <c r="K459" t="s">
        <v>51</v>
      </c>
      <c r="L459" t="s">
        <v>46</v>
      </c>
      <c r="M459">
        <v>1</v>
      </c>
      <c r="N459">
        <v>2</v>
      </c>
      <c r="O459">
        <v>0</v>
      </c>
      <c r="P459" t="s">
        <v>42</v>
      </c>
      <c r="Q459" t="s">
        <v>43</v>
      </c>
      <c r="R459" t="s">
        <v>43</v>
      </c>
      <c r="S459" t="s">
        <v>42</v>
      </c>
      <c r="T459" t="s">
        <v>42</v>
      </c>
      <c r="U459" t="s">
        <v>42</v>
      </c>
      <c r="V459" t="s">
        <v>42</v>
      </c>
      <c r="W459" t="s">
        <v>43</v>
      </c>
      <c r="X459">
        <v>4</v>
      </c>
      <c r="Y459">
        <v>4</v>
      </c>
      <c r="Z459">
        <v>3</v>
      </c>
      <c r="AA459">
        <v>1</v>
      </c>
      <c r="AB459">
        <v>1</v>
      </c>
      <c r="AC459">
        <v>1</v>
      </c>
      <c r="AD459">
        <v>0</v>
      </c>
      <c r="AE459">
        <v>13</v>
      </c>
      <c r="AF459">
        <v>13</v>
      </c>
      <c r="AG459">
        <v>10</v>
      </c>
    </row>
    <row r="460" spans="1:33" x14ac:dyDescent="0.35">
      <c r="A460" t="s">
        <v>33</v>
      </c>
      <c r="B460" t="s">
        <v>34</v>
      </c>
      <c r="C460">
        <v>16</v>
      </c>
      <c r="D460" t="s">
        <v>35</v>
      </c>
      <c r="E460" t="s">
        <v>36</v>
      </c>
      <c r="F460" t="s">
        <v>44</v>
      </c>
      <c r="G460">
        <v>4</v>
      </c>
      <c r="H460">
        <v>3</v>
      </c>
      <c r="I460" t="s">
        <v>39</v>
      </c>
      <c r="J460" t="s">
        <v>28</v>
      </c>
      <c r="K460" t="s">
        <v>49</v>
      </c>
      <c r="L460" t="s">
        <v>41</v>
      </c>
      <c r="M460">
        <v>1</v>
      </c>
      <c r="N460">
        <v>3</v>
      </c>
      <c r="O460">
        <v>0</v>
      </c>
      <c r="P460" t="s">
        <v>42</v>
      </c>
      <c r="Q460" t="s">
        <v>42</v>
      </c>
      <c r="R460" t="s">
        <v>43</v>
      </c>
      <c r="S460" t="s">
        <v>42</v>
      </c>
      <c r="T460" t="s">
        <v>42</v>
      </c>
      <c r="U460" t="s">
        <v>42</v>
      </c>
      <c r="V460" t="s">
        <v>42</v>
      </c>
      <c r="W460" t="s">
        <v>43</v>
      </c>
      <c r="X460">
        <v>3</v>
      </c>
      <c r="Y460">
        <v>4</v>
      </c>
      <c r="Z460">
        <v>4</v>
      </c>
      <c r="AA460">
        <v>2</v>
      </c>
      <c r="AB460">
        <v>4</v>
      </c>
      <c r="AC460">
        <v>4</v>
      </c>
      <c r="AD460">
        <v>0</v>
      </c>
      <c r="AE460">
        <v>14</v>
      </c>
      <c r="AF460">
        <v>13</v>
      </c>
      <c r="AG460">
        <v>13</v>
      </c>
    </row>
    <row r="461" spans="1:33" x14ac:dyDescent="0.35">
      <c r="A461" t="s">
        <v>33</v>
      </c>
      <c r="B461" t="s">
        <v>34</v>
      </c>
      <c r="C461">
        <v>15</v>
      </c>
      <c r="D461" t="s">
        <v>35</v>
      </c>
      <c r="E461" t="s">
        <v>47</v>
      </c>
      <c r="F461" t="s">
        <v>44</v>
      </c>
      <c r="G461">
        <v>4</v>
      </c>
      <c r="H461">
        <v>3</v>
      </c>
      <c r="I461" t="s">
        <v>48</v>
      </c>
      <c r="J461" t="s">
        <v>48</v>
      </c>
      <c r="K461" t="s">
        <v>51</v>
      </c>
      <c r="L461" t="s">
        <v>46</v>
      </c>
      <c r="M461">
        <v>1</v>
      </c>
      <c r="N461">
        <v>2</v>
      </c>
      <c r="O461">
        <v>0</v>
      </c>
      <c r="P461" t="s">
        <v>42</v>
      </c>
      <c r="Q461" t="s">
        <v>43</v>
      </c>
      <c r="R461" t="s">
        <v>43</v>
      </c>
      <c r="S461" t="s">
        <v>42</v>
      </c>
      <c r="T461" t="s">
        <v>42</v>
      </c>
      <c r="U461" t="s">
        <v>42</v>
      </c>
      <c r="V461" t="s">
        <v>42</v>
      </c>
      <c r="W461" t="s">
        <v>42</v>
      </c>
      <c r="X461">
        <v>4</v>
      </c>
      <c r="Y461">
        <v>4</v>
      </c>
      <c r="Z461">
        <v>4</v>
      </c>
      <c r="AA461">
        <v>2</v>
      </c>
      <c r="AB461">
        <v>4</v>
      </c>
      <c r="AC461">
        <v>2</v>
      </c>
      <c r="AD461">
        <v>0</v>
      </c>
      <c r="AE461">
        <v>13</v>
      </c>
      <c r="AF461">
        <v>12</v>
      </c>
      <c r="AG461">
        <v>12</v>
      </c>
    </row>
    <row r="462" spans="1:33" x14ac:dyDescent="0.35">
      <c r="A462" t="s">
        <v>33</v>
      </c>
      <c r="B462" t="s">
        <v>34</v>
      </c>
      <c r="C462">
        <v>16</v>
      </c>
      <c r="D462" t="s">
        <v>35</v>
      </c>
      <c r="E462" t="s">
        <v>47</v>
      </c>
      <c r="F462" t="s">
        <v>44</v>
      </c>
      <c r="G462">
        <v>4</v>
      </c>
      <c r="H462">
        <v>3</v>
      </c>
      <c r="I462" t="s">
        <v>39</v>
      </c>
      <c r="J462" t="s">
        <v>48</v>
      </c>
      <c r="K462" t="s">
        <v>40</v>
      </c>
      <c r="L462" t="s">
        <v>41</v>
      </c>
      <c r="M462">
        <v>3</v>
      </c>
      <c r="N462">
        <v>2</v>
      </c>
      <c r="O462">
        <v>0</v>
      </c>
      <c r="P462" t="s">
        <v>43</v>
      </c>
      <c r="Q462" t="s">
        <v>42</v>
      </c>
      <c r="R462" t="s">
        <v>43</v>
      </c>
      <c r="S462" t="s">
        <v>42</v>
      </c>
      <c r="T462" t="s">
        <v>42</v>
      </c>
      <c r="U462" t="s">
        <v>42</v>
      </c>
      <c r="V462" t="s">
        <v>42</v>
      </c>
      <c r="W462" t="s">
        <v>43</v>
      </c>
      <c r="X462">
        <v>5</v>
      </c>
      <c r="Y462">
        <v>4</v>
      </c>
      <c r="Z462">
        <v>3</v>
      </c>
      <c r="AA462">
        <v>1</v>
      </c>
      <c r="AB462">
        <v>2</v>
      </c>
      <c r="AC462">
        <v>1</v>
      </c>
      <c r="AD462">
        <v>2</v>
      </c>
      <c r="AE462">
        <v>16</v>
      </c>
      <c r="AF462">
        <v>15</v>
      </c>
      <c r="AG462">
        <v>16</v>
      </c>
    </row>
    <row r="463" spans="1:33" x14ac:dyDescent="0.35">
      <c r="A463" t="s">
        <v>33</v>
      </c>
      <c r="B463" t="s">
        <v>50</v>
      </c>
      <c r="C463">
        <v>15</v>
      </c>
      <c r="D463" t="s">
        <v>35</v>
      </c>
      <c r="E463" t="s">
        <v>36</v>
      </c>
      <c r="F463" t="s">
        <v>37</v>
      </c>
      <c r="G463">
        <v>4</v>
      </c>
      <c r="H463">
        <v>4</v>
      </c>
      <c r="I463" t="s">
        <v>45</v>
      </c>
      <c r="J463" t="s">
        <v>48</v>
      </c>
      <c r="K463" t="s">
        <v>51</v>
      </c>
      <c r="L463" t="s">
        <v>41</v>
      </c>
      <c r="M463">
        <v>1</v>
      </c>
      <c r="N463">
        <v>4</v>
      </c>
      <c r="O463">
        <v>0</v>
      </c>
      <c r="P463" t="s">
        <v>43</v>
      </c>
      <c r="Q463" t="s">
        <v>42</v>
      </c>
      <c r="R463" t="s">
        <v>43</v>
      </c>
      <c r="S463" t="s">
        <v>42</v>
      </c>
      <c r="T463" t="s">
        <v>43</v>
      </c>
      <c r="U463" t="s">
        <v>42</v>
      </c>
      <c r="V463" t="s">
        <v>42</v>
      </c>
      <c r="W463" t="s">
        <v>42</v>
      </c>
      <c r="X463">
        <v>1</v>
      </c>
      <c r="Y463">
        <v>3</v>
      </c>
      <c r="Z463">
        <v>3</v>
      </c>
      <c r="AA463">
        <v>5</v>
      </c>
      <c r="AB463">
        <v>5</v>
      </c>
      <c r="AC463">
        <v>3</v>
      </c>
      <c r="AD463">
        <v>0</v>
      </c>
      <c r="AE463">
        <v>11</v>
      </c>
      <c r="AF463">
        <v>12</v>
      </c>
      <c r="AG463">
        <v>12</v>
      </c>
    </row>
    <row r="464" spans="1:33" x14ac:dyDescent="0.35">
      <c r="A464" t="s">
        <v>33</v>
      </c>
      <c r="B464" t="s">
        <v>34</v>
      </c>
      <c r="C464">
        <v>16</v>
      </c>
      <c r="D464" t="s">
        <v>35</v>
      </c>
      <c r="E464" t="s">
        <v>36</v>
      </c>
      <c r="F464" t="s">
        <v>44</v>
      </c>
      <c r="G464">
        <v>3</v>
      </c>
      <c r="H464">
        <v>1</v>
      </c>
      <c r="I464" t="s">
        <v>48</v>
      </c>
      <c r="J464" t="s">
        <v>45</v>
      </c>
      <c r="K464" t="s">
        <v>40</v>
      </c>
      <c r="L464" t="s">
        <v>41</v>
      </c>
      <c r="M464">
        <v>1</v>
      </c>
      <c r="N464">
        <v>4</v>
      </c>
      <c r="O464">
        <v>0</v>
      </c>
      <c r="P464" t="s">
        <v>42</v>
      </c>
      <c r="Q464" t="s">
        <v>42</v>
      </c>
      <c r="R464" t="s">
        <v>43</v>
      </c>
      <c r="S464" t="s">
        <v>43</v>
      </c>
      <c r="T464" t="s">
        <v>42</v>
      </c>
      <c r="U464" t="s">
        <v>42</v>
      </c>
      <c r="V464" t="s">
        <v>42</v>
      </c>
      <c r="W464" t="s">
        <v>43</v>
      </c>
      <c r="X464">
        <v>4</v>
      </c>
      <c r="Y464">
        <v>3</v>
      </c>
      <c r="Z464">
        <v>3</v>
      </c>
      <c r="AA464">
        <v>1</v>
      </c>
      <c r="AB464">
        <v>2</v>
      </c>
      <c r="AC464">
        <v>5</v>
      </c>
      <c r="AD464">
        <v>0</v>
      </c>
      <c r="AE464">
        <v>10</v>
      </c>
      <c r="AF464">
        <v>9</v>
      </c>
      <c r="AG464">
        <v>10</v>
      </c>
    </row>
    <row r="465" spans="1:33" x14ac:dyDescent="0.35">
      <c r="A465" t="s">
        <v>33</v>
      </c>
      <c r="B465" t="s">
        <v>34</v>
      </c>
      <c r="C465">
        <v>15</v>
      </c>
      <c r="D465" t="s">
        <v>52</v>
      </c>
      <c r="E465" t="s">
        <v>47</v>
      </c>
      <c r="F465" t="s">
        <v>44</v>
      </c>
      <c r="G465">
        <v>2</v>
      </c>
      <c r="H465">
        <v>2</v>
      </c>
      <c r="I465" t="s">
        <v>28</v>
      </c>
      <c r="J465" t="s">
        <v>48</v>
      </c>
      <c r="K465" t="s">
        <v>51</v>
      </c>
      <c r="L465" t="s">
        <v>41</v>
      </c>
      <c r="M465">
        <v>2</v>
      </c>
      <c r="N465">
        <v>2</v>
      </c>
      <c r="O465">
        <v>0</v>
      </c>
      <c r="P465" t="s">
        <v>42</v>
      </c>
      <c r="Q465" t="s">
        <v>42</v>
      </c>
      <c r="R465" t="s">
        <v>43</v>
      </c>
      <c r="S465" t="s">
        <v>43</v>
      </c>
      <c r="T465" t="s">
        <v>42</v>
      </c>
      <c r="U465" t="s">
        <v>42</v>
      </c>
      <c r="V465" t="s">
        <v>42</v>
      </c>
      <c r="W465" t="s">
        <v>43</v>
      </c>
      <c r="X465">
        <v>4</v>
      </c>
      <c r="Y465">
        <v>1</v>
      </c>
      <c r="Z465">
        <v>3</v>
      </c>
      <c r="AA465">
        <v>1</v>
      </c>
      <c r="AB465">
        <v>3</v>
      </c>
      <c r="AC465">
        <v>4</v>
      </c>
      <c r="AD465">
        <v>0</v>
      </c>
      <c r="AE465">
        <v>11</v>
      </c>
      <c r="AF465">
        <v>10</v>
      </c>
      <c r="AG465">
        <v>11</v>
      </c>
    </row>
    <row r="466" spans="1:33" x14ac:dyDescent="0.35">
      <c r="A466" t="s">
        <v>33</v>
      </c>
      <c r="B466" t="s">
        <v>34</v>
      </c>
      <c r="C466">
        <v>15</v>
      </c>
      <c r="D466" t="s">
        <v>52</v>
      </c>
      <c r="E466" t="s">
        <v>47</v>
      </c>
      <c r="F466" t="s">
        <v>44</v>
      </c>
      <c r="G466">
        <v>3</v>
      </c>
      <c r="H466">
        <v>1</v>
      </c>
      <c r="I466" t="s">
        <v>45</v>
      </c>
      <c r="J466" t="s">
        <v>45</v>
      </c>
      <c r="K466" t="s">
        <v>51</v>
      </c>
      <c r="L466" t="s">
        <v>46</v>
      </c>
      <c r="M466">
        <v>2</v>
      </c>
      <c r="N466">
        <v>4</v>
      </c>
      <c r="O466">
        <v>0</v>
      </c>
      <c r="P466" t="s">
        <v>43</v>
      </c>
      <c r="Q466" t="s">
        <v>42</v>
      </c>
      <c r="R466" t="s">
        <v>43</v>
      </c>
      <c r="S466" t="s">
        <v>43</v>
      </c>
      <c r="T466" t="s">
        <v>43</v>
      </c>
      <c r="U466" t="s">
        <v>42</v>
      </c>
      <c r="V466" t="s">
        <v>42</v>
      </c>
      <c r="W466" t="s">
        <v>43</v>
      </c>
      <c r="X466">
        <v>4</v>
      </c>
      <c r="Y466">
        <v>4</v>
      </c>
      <c r="Z466">
        <v>2</v>
      </c>
      <c r="AA466">
        <v>2</v>
      </c>
      <c r="AB466">
        <v>3</v>
      </c>
      <c r="AC466">
        <v>3</v>
      </c>
      <c r="AD466">
        <v>6</v>
      </c>
      <c r="AE466">
        <v>15</v>
      </c>
      <c r="AF466">
        <v>15</v>
      </c>
      <c r="AG466">
        <v>15</v>
      </c>
    </row>
    <row r="467" spans="1:33" x14ac:dyDescent="0.35">
      <c r="A467" t="s">
        <v>33</v>
      </c>
      <c r="B467" t="s">
        <v>50</v>
      </c>
      <c r="C467">
        <v>16</v>
      </c>
      <c r="D467" t="s">
        <v>35</v>
      </c>
      <c r="E467" t="s">
        <v>36</v>
      </c>
      <c r="F467" t="s">
        <v>44</v>
      </c>
      <c r="G467">
        <v>3</v>
      </c>
      <c r="H467">
        <v>1</v>
      </c>
      <c r="I467" t="s">
        <v>45</v>
      </c>
      <c r="J467" t="s">
        <v>45</v>
      </c>
      <c r="K467" t="s">
        <v>51</v>
      </c>
      <c r="L467" t="s">
        <v>46</v>
      </c>
      <c r="M467">
        <v>2</v>
      </c>
      <c r="N467">
        <v>4</v>
      </c>
      <c r="O467">
        <v>0</v>
      </c>
      <c r="P467" t="s">
        <v>43</v>
      </c>
      <c r="Q467" t="s">
        <v>42</v>
      </c>
      <c r="R467" t="s">
        <v>43</v>
      </c>
      <c r="S467" t="s">
        <v>43</v>
      </c>
      <c r="T467" t="s">
        <v>42</v>
      </c>
      <c r="U467" t="s">
        <v>42</v>
      </c>
      <c r="V467" t="s">
        <v>42</v>
      </c>
      <c r="W467" t="s">
        <v>43</v>
      </c>
      <c r="X467">
        <v>4</v>
      </c>
      <c r="Y467">
        <v>3</v>
      </c>
      <c r="Z467">
        <v>2</v>
      </c>
      <c r="AA467">
        <v>1</v>
      </c>
      <c r="AB467">
        <v>1</v>
      </c>
      <c r="AC467">
        <v>5</v>
      </c>
      <c r="AD467">
        <v>2</v>
      </c>
      <c r="AE467">
        <v>13</v>
      </c>
      <c r="AF467">
        <v>11</v>
      </c>
      <c r="AG467">
        <v>11</v>
      </c>
    </row>
    <row r="468" spans="1:33" x14ac:dyDescent="0.35">
      <c r="A468" t="s">
        <v>33</v>
      </c>
      <c r="B468" t="s">
        <v>50</v>
      </c>
      <c r="C468">
        <v>15</v>
      </c>
      <c r="D468" t="s">
        <v>35</v>
      </c>
      <c r="E468" t="s">
        <v>36</v>
      </c>
      <c r="F468" t="s">
        <v>44</v>
      </c>
      <c r="G468">
        <v>4</v>
      </c>
      <c r="H468">
        <v>2</v>
      </c>
      <c r="I468" t="s">
        <v>45</v>
      </c>
      <c r="J468" t="s">
        <v>45</v>
      </c>
      <c r="K468" t="s">
        <v>40</v>
      </c>
      <c r="L468" t="s">
        <v>41</v>
      </c>
      <c r="M468">
        <v>1</v>
      </c>
      <c r="N468">
        <v>4</v>
      </c>
      <c r="O468">
        <v>0</v>
      </c>
      <c r="P468" t="s">
        <v>43</v>
      </c>
      <c r="Q468" t="s">
        <v>43</v>
      </c>
      <c r="R468" t="s">
        <v>43</v>
      </c>
      <c r="S468" t="s">
        <v>43</v>
      </c>
      <c r="T468" t="s">
        <v>42</v>
      </c>
      <c r="U468" t="s">
        <v>42</v>
      </c>
      <c r="V468" t="s">
        <v>42</v>
      </c>
      <c r="W468" t="s">
        <v>43</v>
      </c>
      <c r="X468">
        <v>3</v>
      </c>
      <c r="Y468">
        <v>3</v>
      </c>
      <c r="Z468">
        <v>3</v>
      </c>
      <c r="AA468">
        <v>1</v>
      </c>
      <c r="AB468">
        <v>1</v>
      </c>
      <c r="AC468">
        <v>3</v>
      </c>
      <c r="AD468">
        <v>0</v>
      </c>
      <c r="AE468">
        <v>11</v>
      </c>
      <c r="AF468">
        <v>9</v>
      </c>
      <c r="AG468">
        <v>10</v>
      </c>
    </row>
    <row r="469" spans="1:33" x14ac:dyDescent="0.35">
      <c r="A469" t="s">
        <v>33</v>
      </c>
      <c r="B469" t="s">
        <v>34</v>
      </c>
      <c r="C469">
        <v>15</v>
      </c>
      <c r="D469" t="s">
        <v>52</v>
      </c>
      <c r="E469" t="s">
        <v>36</v>
      </c>
      <c r="F469" t="s">
        <v>44</v>
      </c>
      <c r="G469">
        <v>1</v>
      </c>
      <c r="H469">
        <v>1</v>
      </c>
      <c r="I469" t="s">
        <v>45</v>
      </c>
      <c r="J469" t="s">
        <v>45</v>
      </c>
      <c r="K469" t="s">
        <v>51</v>
      </c>
      <c r="L469" t="s">
        <v>41</v>
      </c>
      <c r="M469">
        <v>1</v>
      </c>
      <c r="N469">
        <v>2</v>
      </c>
      <c r="O469">
        <v>0</v>
      </c>
      <c r="P469" t="s">
        <v>42</v>
      </c>
      <c r="Q469" t="s">
        <v>42</v>
      </c>
      <c r="R469" t="s">
        <v>43</v>
      </c>
      <c r="S469" t="s">
        <v>43</v>
      </c>
      <c r="T469" t="s">
        <v>43</v>
      </c>
      <c r="U469" t="s">
        <v>42</v>
      </c>
      <c r="V469" t="s">
        <v>42</v>
      </c>
      <c r="W469" t="s">
        <v>42</v>
      </c>
      <c r="X469">
        <v>3</v>
      </c>
      <c r="Y469">
        <v>3</v>
      </c>
      <c r="Z469">
        <v>4</v>
      </c>
      <c r="AA469">
        <v>2</v>
      </c>
      <c r="AB469">
        <v>4</v>
      </c>
      <c r="AC469">
        <v>5</v>
      </c>
      <c r="AD469">
        <v>2</v>
      </c>
      <c r="AE469">
        <v>13</v>
      </c>
      <c r="AF469">
        <v>11</v>
      </c>
      <c r="AG469">
        <v>11</v>
      </c>
    </row>
    <row r="470" spans="1:33" x14ac:dyDescent="0.35">
      <c r="A470" t="s">
        <v>33</v>
      </c>
      <c r="B470" t="s">
        <v>50</v>
      </c>
      <c r="C470">
        <v>16</v>
      </c>
      <c r="D470" t="s">
        <v>35</v>
      </c>
      <c r="E470" t="s">
        <v>36</v>
      </c>
      <c r="F470" t="s">
        <v>44</v>
      </c>
      <c r="G470">
        <v>3</v>
      </c>
      <c r="H470">
        <v>1</v>
      </c>
      <c r="I470" t="s">
        <v>45</v>
      </c>
      <c r="J470" t="s">
        <v>45</v>
      </c>
      <c r="K470" t="s">
        <v>51</v>
      </c>
      <c r="L470" t="s">
        <v>41</v>
      </c>
      <c r="M470">
        <v>1</v>
      </c>
      <c r="N470">
        <v>1</v>
      </c>
      <c r="O470">
        <v>0</v>
      </c>
      <c r="P470" t="s">
        <v>43</v>
      </c>
      <c r="Q470" t="s">
        <v>43</v>
      </c>
      <c r="R470" t="s">
        <v>43</v>
      </c>
      <c r="S470" t="s">
        <v>42</v>
      </c>
      <c r="T470" t="s">
        <v>42</v>
      </c>
      <c r="U470" t="s">
        <v>42</v>
      </c>
      <c r="V470" t="s">
        <v>43</v>
      </c>
      <c r="W470" t="s">
        <v>43</v>
      </c>
      <c r="X470">
        <v>5</v>
      </c>
      <c r="Y470">
        <v>3</v>
      </c>
      <c r="Z470">
        <v>2</v>
      </c>
      <c r="AA470">
        <v>2</v>
      </c>
      <c r="AB470">
        <v>2</v>
      </c>
      <c r="AC470">
        <v>5</v>
      </c>
      <c r="AD470">
        <v>0</v>
      </c>
      <c r="AE470">
        <v>13</v>
      </c>
      <c r="AF470">
        <v>13</v>
      </c>
      <c r="AG470">
        <v>14</v>
      </c>
    </row>
    <row r="471" spans="1:33" x14ac:dyDescent="0.35">
      <c r="A471" t="s">
        <v>33</v>
      </c>
      <c r="B471" t="s">
        <v>34</v>
      </c>
      <c r="C471">
        <v>16</v>
      </c>
      <c r="D471" t="s">
        <v>35</v>
      </c>
      <c r="E471" t="s">
        <v>36</v>
      </c>
      <c r="F471" t="s">
        <v>44</v>
      </c>
      <c r="G471">
        <v>3</v>
      </c>
      <c r="H471">
        <v>3</v>
      </c>
      <c r="I471" t="s">
        <v>45</v>
      </c>
      <c r="J471" t="s">
        <v>48</v>
      </c>
      <c r="K471" t="s">
        <v>49</v>
      </c>
      <c r="L471" t="s">
        <v>41</v>
      </c>
      <c r="M471">
        <v>1</v>
      </c>
      <c r="N471">
        <v>2</v>
      </c>
      <c r="O471">
        <v>0</v>
      </c>
      <c r="P471" t="s">
        <v>42</v>
      </c>
      <c r="Q471" t="s">
        <v>42</v>
      </c>
      <c r="R471" t="s">
        <v>43</v>
      </c>
      <c r="S471" t="s">
        <v>42</v>
      </c>
      <c r="T471" t="s">
        <v>42</v>
      </c>
      <c r="U471" t="s">
        <v>42</v>
      </c>
      <c r="V471" t="s">
        <v>42</v>
      </c>
      <c r="W471" t="s">
        <v>43</v>
      </c>
      <c r="X471">
        <v>4</v>
      </c>
      <c r="Y471">
        <v>3</v>
      </c>
      <c r="Z471">
        <v>3</v>
      </c>
      <c r="AA471">
        <v>2</v>
      </c>
      <c r="AB471">
        <v>4</v>
      </c>
      <c r="AC471">
        <v>5</v>
      </c>
      <c r="AD471">
        <v>4</v>
      </c>
      <c r="AE471">
        <v>11</v>
      </c>
      <c r="AF471">
        <v>11</v>
      </c>
      <c r="AG471">
        <v>11</v>
      </c>
    </row>
    <row r="472" spans="1:33" x14ac:dyDescent="0.35">
      <c r="A472" t="s">
        <v>33</v>
      </c>
      <c r="B472" t="s">
        <v>50</v>
      </c>
      <c r="C472">
        <v>15</v>
      </c>
      <c r="D472" t="s">
        <v>35</v>
      </c>
      <c r="E472" t="s">
        <v>36</v>
      </c>
      <c r="F472" t="s">
        <v>44</v>
      </c>
      <c r="G472">
        <v>4</v>
      </c>
      <c r="H472">
        <v>3</v>
      </c>
      <c r="I472" t="s">
        <v>39</v>
      </c>
      <c r="J472" t="s">
        <v>45</v>
      </c>
      <c r="K472" t="s">
        <v>49</v>
      </c>
      <c r="L472" t="s">
        <v>41</v>
      </c>
      <c r="M472">
        <v>1</v>
      </c>
      <c r="N472">
        <v>2</v>
      </c>
      <c r="O472">
        <v>0</v>
      </c>
      <c r="P472" t="s">
        <v>43</v>
      </c>
      <c r="Q472" t="s">
        <v>42</v>
      </c>
      <c r="R472" t="s">
        <v>43</v>
      </c>
      <c r="S472" t="s">
        <v>42</v>
      </c>
      <c r="T472" t="s">
        <v>42</v>
      </c>
      <c r="U472" t="s">
        <v>42</v>
      </c>
      <c r="V472" t="s">
        <v>42</v>
      </c>
      <c r="W472" t="s">
        <v>43</v>
      </c>
      <c r="X472">
        <v>4</v>
      </c>
      <c r="Y472">
        <v>3</v>
      </c>
      <c r="Z472">
        <v>3</v>
      </c>
      <c r="AA472">
        <v>2</v>
      </c>
      <c r="AB472">
        <v>3</v>
      </c>
      <c r="AC472">
        <v>5</v>
      </c>
      <c r="AD472">
        <v>0</v>
      </c>
      <c r="AE472">
        <v>11</v>
      </c>
      <c r="AF472">
        <v>11</v>
      </c>
      <c r="AG472">
        <v>11</v>
      </c>
    </row>
    <row r="473" spans="1:33" x14ac:dyDescent="0.35">
      <c r="A473" t="s">
        <v>33</v>
      </c>
      <c r="B473" t="s">
        <v>50</v>
      </c>
      <c r="C473">
        <v>15</v>
      </c>
      <c r="D473" t="s">
        <v>35</v>
      </c>
      <c r="E473" t="s">
        <v>36</v>
      </c>
      <c r="F473" t="s">
        <v>44</v>
      </c>
      <c r="G473">
        <v>4</v>
      </c>
      <c r="H473">
        <v>0</v>
      </c>
      <c r="I473" t="s">
        <v>39</v>
      </c>
      <c r="J473" t="s">
        <v>45</v>
      </c>
      <c r="K473" t="s">
        <v>40</v>
      </c>
      <c r="L473" t="s">
        <v>41</v>
      </c>
      <c r="M473">
        <v>2</v>
      </c>
      <c r="N473">
        <v>4</v>
      </c>
      <c r="O473">
        <v>0</v>
      </c>
      <c r="P473" t="s">
        <v>43</v>
      </c>
      <c r="Q473" t="s">
        <v>43</v>
      </c>
      <c r="R473" t="s">
        <v>43</v>
      </c>
      <c r="S473" t="s">
        <v>42</v>
      </c>
      <c r="T473" t="s">
        <v>42</v>
      </c>
      <c r="U473" t="s">
        <v>42</v>
      </c>
      <c r="V473" t="s">
        <v>42</v>
      </c>
      <c r="W473" t="s">
        <v>43</v>
      </c>
      <c r="X473">
        <v>3</v>
      </c>
      <c r="Y473">
        <v>4</v>
      </c>
      <c r="Z473">
        <v>3</v>
      </c>
      <c r="AA473">
        <v>1</v>
      </c>
      <c r="AB473">
        <v>1</v>
      </c>
      <c r="AC473">
        <v>1</v>
      </c>
      <c r="AD473">
        <v>0</v>
      </c>
      <c r="AE473">
        <v>12</v>
      </c>
      <c r="AF473">
        <v>11</v>
      </c>
      <c r="AG473">
        <v>11</v>
      </c>
    </row>
    <row r="474" spans="1:33" x14ac:dyDescent="0.35">
      <c r="A474" t="s">
        <v>33</v>
      </c>
      <c r="B474" t="s">
        <v>34</v>
      </c>
      <c r="C474">
        <v>16</v>
      </c>
      <c r="D474" t="s">
        <v>35</v>
      </c>
      <c r="E474" t="s">
        <v>36</v>
      </c>
      <c r="F474" t="s">
        <v>44</v>
      </c>
      <c r="G474">
        <v>2</v>
      </c>
      <c r="H474">
        <v>2</v>
      </c>
      <c r="I474" t="s">
        <v>45</v>
      </c>
      <c r="J474" t="s">
        <v>45</v>
      </c>
      <c r="K474" t="s">
        <v>51</v>
      </c>
      <c r="L474" t="s">
        <v>41</v>
      </c>
      <c r="M474">
        <v>1</v>
      </c>
      <c r="N474">
        <v>4</v>
      </c>
      <c r="O474">
        <v>0</v>
      </c>
      <c r="P474" t="s">
        <v>43</v>
      </c>
      <c r="Q474" t="s">
        <v>43</v>
      </c>
      <c r="R474" t="s">
        <v>43</v>
      </c>
      <c r="S474" t="s">
        <v>43</v>
      </c>
      <c r="T474" t="s">
        <v>42</v>
      </c>
      <c r="U474" t="s">
        <v>42</v>
      </c>
      <c r="V474" t="s">
        <v>42</v>
      </c>
      <c r="W474" t="s">
        <v>42</v>
      </c>
      <c r="X474">
        <v>5</v>
      </c>
      <c r="Y474">
        <v>2</v>
      </c>
      <c r="Z474">
        <v>3</v>
      </c>
      <c r="AA474">
        <v>1</v>
      </c>
      <c r="AB474">
        <v>3</v>
      </c>
      <c r="AC474">
        <v>3</v>
      </c>
      <c r="AD474">
        <v>1</v>
      </c>
      <c r="AE474">
        <v>13</v>
      </c>
      <c r="AF474">
        <v>13</v>
      </c>
      <c r="AG474">
        <v>13</v>
      </c>
    </row>
    <row r="475" spans="1:33" x14ac:dyDescent="0.35">
      <c r="A475" t="s">
        <v>33</v>
      </c>
      <c r="B475" t="s">
        <v>50</v>
      </c>
      <c r="C475">
        <v>17</v>
      </c>
      <c r="D475" t="s">
        <v>35</v>
      </c>
      <c r="E475" t="s">
        <v>36</v>
      </c>
      <c r="F475" t="s">
        <v>44</v>
      </c>
      <c r="G475">
        <v>2</v>
      </c>
      <c r="H475">
        <v>1</v>
      </c>
      <c r="I475" t="s">
        <v>45</v>
      </c>
      <c r="J475" t="s">
        <v>45</v>
      </c>
      <c r="K475" t="s">
        <v>49</v>
      </c>
      <c r="L475" t="s">
        <v>41</v>
      </c>
      <c r="M475">
        <v>2</v>
      </c>
      <c r="N475">
        <v>1</v>
      </c>
      <c r="O475">
        <v>3</v>
      </c>
      <c r="P475" t="s">
        <v>42</v>
      </c>
      <c r="Q475" t="s">
        <v>42</v>
      </c>
      <c r="R475" t="s">
        <v>43</v>
      </c>
      <c r="S475" t="s">
        <v>42</v>
      </c>
      <c r="T475" t="s">
        <v>42</v>
      </c>
      <c r="U475" t="s">
        <v>43</v>
      </c>
      <c r="V475" t="s">
        <v>42</v>
      </c>
      <c r="W475" t="s">
        <v>43</v>
      </c>
      <c r="X475">
        <v>4</v>
      </c>
      <c r="Y475">
        <v>5</v>
      </c>
      <c r="Z475">
        <v>1</v>
      </c>
      <c r="AA475">
        <v>1</v>
      </c>
      <c r="AB475">
        <v>1</v>
      </c>
      <c r="AC475">
        <v>3</v>
      </c>
      <c r="AD475">
        <v>0</v>
      </c>
      <c r="AE475">
        <v>9</v>
      </c>
      <c r="AF475">
        <v>9</v>
      </c>
      <c r="AG475">
        <v>10</v>
      </c>
    </row>
    <row r="476" spans="1:33" x14ac:dyDescent="0.35">
      <c r="A476" t="s">
        <v>33</v>
      </c>
      <c r="B476" t="s">
        <v>34</v>
      </c>
      <c r="C476">
        <v>16</v>
      </c>
      <c r="D476" t="s">
        <v>35</v>
      </c>
      <c r="E476" t="s">
        <v>36</v>
      </c>
      <c r="F476" t="s">
        <v>44</v>
      </c>
      <c r="G476">
        <v>3</v>
      </c>
      <c r="H476">
        <v>4</v>
      </c>
      <c r="I476" t="s">
        <v>38</v>
      </c>
      <c r="J476" t="s">
        <v>45</v>
      </c>
      <c r="K476" t="s">
        <v>40</v>
      </c>
      <c r="L476" t="s">
        <v>41</v>
      </c>
      <c r="M476">
        <v>1</v>
      </c>
      <c r="N476">
        <v>2</v>
      </c>
      <c r="O476">
        <v>0</v>
      </c>
      <c r="P476" t="s">
        <v>43</v>
      </c>
      <c r="Q476" t="s">
        <v>42</v>
      </c>
      <c r="R476" t="s">
        <v>43</v>
      </c>
      <c r="S476" t="s">
        <v>43</v>
      </c>
      <c r="T476" t="s">
        <v>42</v>
      </c>
      <c r="U476" t="s">
        <v>42</v>
      </c>
      <c r="V476" t="s">
        <v>42</v>
      </c>
      <c r="W476" t="s">
        <v>43</v>
      </c>
      <c r="X476">
        <v>2</v>
      </c>
      <c r="Y476">
        <v>4</v>
      </c>
      <c r="Z476">
        <v>3</v>
      </c>
      <c r="AA476">
        <v>1</v>
      </c>
      <c r="AB476">
        <v>2</v>
      </c>
      <c r="AC476">
        <v>3</v>
      </c>
      <c r="AD476">
        <v>14</v>
      </c>
      <c r="AE476">
        <v>12</v>
      </c>
      <c r="AF476">
        <v>11</v>
      </c>
      <c r="AG476">
        <v>11</v>
      </c>
    </row>
    <row r="477" spans="1:33" x14ac:dyDescent="0.35">
      <c r="A477" t="s">
        <v>33</v>
      </c>
      <c r="B477" t="s">
        <v>50</v>
      </c>
      <c r="C477">
        <v>15</v>
      </c>
      <c r="D477" t="s">
        <v>35</v>
      </c>
      <c r="E477" t="s">
        <v>36</v>
      </c>
      <c r="F477" t="s">
        <v>44</v>
      </c>
      <c r="G477">
        <v>2</v>
      </c>
      <c r="H477">
        <v>3</v>
      </c>
      <c r="I477" t="s">
        <v>45</v>
      </c>
      <c r="J477" t="s">
        <v>48</v>
      </c>
      <c r="K477" t="s">
        <v>40</v>
      </c>
      <c r="L477" t="s">
        <v>46</v>
      </c>
      <c r="M477">
        <v>1</v>
      </c>
      <c r="N477">
        <v>1</v>
      </c>
      <c r="O477">
        <v>0</v>
      </c>
      <c r="P477" t="s">
        <v>42</v>
      </c>
      <c r="Q477" t="s">
        <v>42</v>
      </c>
      <c r="R477" t="s">
        <v>43</v>
      </c>
      <c r="S477" t="s">
        <v>42</v>
      </c>
      <c r="T477" t="s">
        <v>43</v>
      </c>
      <c r="U477" t="s">
        <v>42</v>
      </c>
      <c r="V477" t="s">
        <v>42</v>
      </c>
      <c r="W477" t="s">
        <v>42</v>
      </c>
      <c r="X477">
        <v>3</v>
      </c>
      <c r="Y477">
        <v>2</v>
      </c>
      <c r="Z477">
        <v>2</v>
      </c>
      <c r="AA477">
        <v>1</v>
      </c>
      <c r="AB477">
        <v>3</v>
      </c>
      <c r="AC477">
        <v>3</v>
      </c>
      <c r="AD477">
        <v>0</v>
      </c>
      <c r="AE477">
        <v>11</v>
      </c>
      <c r="AF477">
        <v>11</v>
      </c>
      <c r="AG477">
        <v>12</v>
      </c>
    </row>
    <row r="478" spans="1:33" x14ac:dyDescent="0.35">
      <c r="A478" t="s">
        <v>33</v>
      </c>
      <c r="B478" t="s">
        <v>50</v>
      </c>
      <c r="C478">
        <v>15</v>
      </c>
      <c r="D478" t="s">
        <v>35</v>
      </c>
      <c r="E478" t="s">
        <v>36</v>
      </c>
      <c r="F478" t="s">
        <v>44</v>
      </c>
      <c r="G478">
        <v>2</v>
      </c>
      <c r="H478">
        <v>3</v>
      </c>
      <c r="I478" t="s">
        <v>45</v>
      </c>
      <c r="J478" t="s">
        <v>45</v>
      </c>
      <c r="K478" t="s">
        <v>49</v>
      </c>
      <c r="L478" t="s">
        <v>41</v>
      </c>
      <c r="M478">
        <v>1</v>
      </c>
      <c r="N478">
        <v>3</v>
      </c>
      <c r="O478">
        <v>0</v>
      </c>
      <c r="P478" t="s">
        <v>42</v>
      </c>
      <c r="Q478" t="s">
        <v>43</v>
      </c>
      <c r="R478" t="s">
        <v>43</v>
      </c>
      <c r="S478" t="s">
        <v>43</v>
      </c>
      <c r="T478" t="s">
        <v>43</v>
      </c>
      <c r="U478" t="s">
        <v>42</v>
      </c>
      <c r="V478" t="s">
        <v>42</v>
      </c>
      <c r="W478" t="s">
        <v>43</v>
      </c>
      <c r="X478">
        <v>5</v>
      </c>
      <c r="Y478">
        <v>3</v>
      </c>
      <c r="Z478">
        <v>2</v>
      </c>
      <c r="AA478">
        <v>1</v>
      </c>
      <c r="AB478">
        <v>2</v>
      </c>
      <c r="AC478">
        <v>5</v>
      </c>
      <c r="AD478">
        <v>2</v>
      </c>
      <c r="AE478">
        <v>10</v>
      </c>
      <c r="AF478">
        <v>9</v>
      </c>
      <c r="AG478">
        <v>9</v>
      </c>
    </row>
    <row r="479" spans="1:33" x14ac:dyDescent="0.35">
      <c r="A479" t="s">
        <v>33</v>
      </c>
      <c r="B479" t="s">
        <v>34</v>
      </c>
      <c r="C479">
        <v>15</v>
      </c>
      <c r="D479" t="s">
        <v>35</v>
      </c>
      <c r="E479" t="s">
        <v>47</v>
      </c>
      <c r="F479" t="s">
        <v>44</v>
      </c>
      <c r="G479">
        <v>3</v>
      </c>
      <c r="H479">
        <v>2</v>
      </c>
      <c r="I479" t="s">
        <v>48</v>
      </c>
      <c r="J479" t="s">
        <v>45</v>
      </c>
      <c r="K479" t="s">
        <v>51</v>
      </c>
      <c r="L479" t="s">
        <v>41</v>
      </c>
      <c r="M479">
        <v>1</v>
      </c>
      <c r="N479">
        <v>2</v>
      </c>
      <c r="O479">
        <v>0</v>
      </c>
      <c r="P479" t="s">
        <v>43</v>
      </c>
      <c r="Q479" t="s">
        <v>42</v>
      </c>
      <c r="R479" t="s">
        <v>43</v>
      </c>
      <c r="S479" t="s">
        <v>43</v>
      </c>
      <c r="T479" t="s">
        <v>42</v>
      </c>
      <c r="U479" t="s">
        <v>42</v>
      </c>
      <c r="V479" t="s">
        <v>42</v>
      </c>
      <c r="W479" t="s">
        <v>43</v>
      </c>
      <c r="X479">
        <v>4</v>
      </c>
      <c r="Y479">
        <v>4</v>
      </c>
      <c r="Z479">
        <v>4</v>
      </c>
      <c r="AA479">
        <v>1</v>
      </c>
      <c r="AB479">
        <v>1</v>
      </c>
      <c r="AC479">
        <v>5</v>
      </c>
      <c r="AD479">
        <v>4</v>
      </c>
      <c r="AE479">
        <v>12</v>
      </c>
      <c r="AF479">
        <v>11</v>
      </c>
      <c r="AG479">
        <v>11</v>
      </c>
    </row>
    <row r="480" spans="1:33" x14ac:dyDescent="0.35">
      <c r="A480" t="s">
        <v>33</v>
      </c>
      <c r="B480" t="s">
        <v>50</v>
      </c>
      <c r="C480">
        <v>15</v>
      </c>
      <c r="D480" t="s">
        <v>35</v>
      </c>
      <c r="E480" t="s">
        <v>47</v>
      </c>
      <c r="F480" t="s">
        <v>44</v>
      </c>
      <c r="G480">
        <v>2</v>
      </c>
      <c r="H480">
        <v>2</v>
      </c>
      <c r="I480" t="s">
        <v>48</v>
      </c>
      <c r="J480" t="s">
        <v>48</v>
      </c>
      <c r="K480" t="s">
        <v>49</v>
      </c>
      <c r="L480" t="s">
        <v>41</v>
      </c>
      <c r="M480">
        <v>2</v>
      </c>
      <c r="N480">
        <v>2</v>
      </c>
      <c r="O480">
        <v>0</v>
      </c>
      <c r="P480" t="s">
        <v>43</v>
      </c>
      <c r="Q480" t="s">
        <v>43</v>
      </c>
      <c r="R480" t="s">
        <v>42</v>
      </c>
      <c r="S480" t="s">
        <v>42</v>
      </c>
      <c r="T480" t="s">
        <v>42</v>
      </c>
      <c r="U480" t="s">
        <v>42</v>
      </c>
      <c r="V480" t="s">
        <v>42</v>
      </c>
      <c r="W480" t="s">
        <v>43</v>
      </c>
      <c r="X480">
        <v>5</v>
      </c>
      <c r="Y480">
        <v>3</v>
      </c>
      <c r="Z480">
        <v>3</v>
      </c>
      <c r="AA480">
        <v>1</v>
      </c>
      <c r="AB480">
        <v>3</v>
      </c>
      <c r="AC480">
        <v>4</v>
      </c>
      <c r="AD480">
        <v>2</v>
      </c>
      <c r="AE480">
        <v>13</v>
      </c>
      <c r="AF480">
        <v>12</v>
      </c>
      <c r="AG480">
        <v>13</v>
      </c>
    </row>
    <row r="481" spans="1:33" x14ac:dyDescent="0.35">
      <c r="A481" t="s">
        <v>33</v>
      </c>
      <c r="B481" t="s">
        <v>34</v>
      </c>
      <c r="C481">
        <v>15</v>
      </c>
      <c r="D481" t="s">
        <v>35</v>
      </c>
      <c r="E481" t="s">
        <v>36</v>
      </c>
      <c r="F481" t="s">
        <v>44</v>
      </c>
      <c r="G481">
        <v>1</v>
      </c>
      <c r="H481">
        <v>1</v>
      </c>
      <c r="I481" t="s">
        <v>45</v>
      </c>
      <c r="J481" t="s">
        <v>45</v>
      </c>
      <c r="K481" t="s">
        <v>49</v>
      </c>
      <c r="L481" t="s">
        <v>46</v>
      </c>
      <c r="M481">
        <v>1</v>
      </c>
      <c r="N481">
        <v>2</v>
      </c>
      <c r="O481">
        <v>0</v>
      </c>
      <c r="P481" t="s">
        <v>43</v>
      </c>
      <c r="Q481" t="s">
        <v>42</v>
      </c>
      <c r="R481" t="s">
        <v>43</v>
      </c>
      <c r="S481" t="s">
        <v>42</v>
      </c>
      <c r="T481" t="s">
        <v>43</v>
      </c>
      <c r="U481" t="s">
        <v>42</v>
      </c>
      <c r="V481" t="s">
        <v>42</v>
      </c>
      <c r="W481" t="s">
        <v>43</v>
      </c>
      <c r="X481">
        <v>4</v>
      </c>
      <c r="Y481">
        <v>3</v>
      </c>
      <c r="Z481">
        <v>2</v>
      </c>
      <c r="AA481">
        <v>2</v>
      </c>
      <c r="AB481">
        <v>3</v>
      </c>
      <c r="AC481">
        <v>4</v>
      </c>
      <c r="AD481">
        <v>2</v>
      </c>
      <c r="AE481">
        <v>13</v>
      </c>
      <c r="AF481">
        <v>12</v>
      </c>
      <c r="AG481">
        <v>12</v>
      </c>
    </row>
    <row r="482" spans="1:33" x14ac:dyDescent="0.35">
      <c r="A482" t="s">
        <v>33</v>
      </c>
      <c r="B482" t="s">
        <v>34</v>
      </c>
      <c r="C482">
        <v>15</v>
      </c>
      <c r="D482" t="s">
        <v>35</v>
      </c>
      <c r="E482" t="s">
        <v>36</v>
      </c>
      <c r="F482" t="s">
        <v>44</v>
      </c>
      <c r="G482">
        <v>4</v>
      </c>
      <c r="H482">
        <v>4</v>
      </c>
      <c r="I482" t="s">
        <v>48</v>
      </c>
      <c r="J482" t="s">
        <v>48</v>
      </c>
      <c r="K482" t="s">
        <v>51</v>
      </c>
      <c r="L482" t="s">
        <v>46</v>
      </c>
      <c r="M482">
        <v>2</v>
      </c>
      <c r="N482">
        <v>2</v>
      </c>
      <c r="O482">
        <v>0</v>
      </c>
      <c r="P482" t="s">
        <v>43</v>
      </c>
      <c r="Q482" t="s">
        <v>43</v>
      </c>
      <c r="R482" t="s">
        <v>43</v>
      </c>
      <c r="S482" t="s">
        <v>43</v>
      </c>
      <c r="T482" t="s">
        <v>42</v>
      </c>
      <c r="U482" t="s">
        <v>42</v>
      </c>
      <c r="V482" t="s">
        <v>42</v>
      </c>
      <c r="W482" t="s">
        <v>42</v>
      </c>
      <c r="X482">
        <v>4</v>
      </c>
      <c r="Y482">
        <v>4</v>
      </c>
      <c r="Z482">
        <v>4</v>
      </c>
      <c r="AA482">
        <v>2</v>
      </c>
      <c r="AB482">
        <v>3</v>
      </c>
      <c r="AC482">
        <v>5</v>
      </c>
      <c r="AD482">
        <v>4</v>
      </c>
      <c r="AE482">
        <v>12</v>
      </c>
      <c r="AF482">
        <v>11</v>
      </c>
      <c r="AG482">
        <v>12</v>
      </c>
    </row>
    <row r="483" spans="1:33" x14ac:dyDescent="0.35">
      <c r="A483" t="s">
        <v>33</v>
      </c>
      <c r="B483" t="s">
        <v>34</v>
      </c>
      <c r="C483">
        <v>16</v>
      </c>
      <c r="D483" t="s">
        <v>35</v>
      </c>
      <c r="E483" t="s">
        <v>47</v>
      </c>
      <c r="F483" t="s">
        <v>44</v>
      </c>
      <c r="G483">
        <v>2</v>
      </c>
      <c r="H483">
        <v>2</v>
      </c>
      <c r="I483" t="s">
        <v>38</v>
      </c>
      <c r="J483" t="s">
        <v>45</v>
      </c>
      <c r="K483" t="s">
        <v>40</v>
      </c>
      <c r="L483" t="s">
        <v>41</v>
      </c>
      <c r="M483">
        <v>1</v>
      </c>
      <c r="N483">
        <v>2</v>
      </c>
      <c r="O483">
        <v>0</v>
      </c>
      <c r="P483" t="s">
        <v>43</v>
      </c>
      <c r="Q483" t="s">
        <v>42</v>
      </c>
      <c r="R483" t="s">
        <v>43</v>
      </c>
      <c r="S483" t="s">
        <v>43</v>
      </c>
      <c r="T483" t="s">
        <v>42</v>
      </c>
      <c r="U483" t="s">
        <v>42</v>
      </c>
      <c r="V483" t="s">
        <v>43</v>
      </c>
      <c r="W483" t="s">
        <v>43</v>
      </c>
      <c r="X483">
        <v>4</v>
      </c>
      <c r="Y483">
        <v>3</v>
      </c>
      <c r="Z483">
        <v>4</v>
      </c>
      <c r="AA483">
        <v>1</v>
      </c>
      <c r="AB483">
        <v>2</v>
      </c>
      <c r="AC483">
        <v>2</v>
      </c>
      <c r="AD483">
        <v>6</v>
      </c>
      <c r="AE483">
        <v>13</v>
      </c>
      <c r="AF483">
        <v>11</v>
      </c>
      <c r="AG483">
        <v>11</v>
      </c>
    </row>
    <row r="484" spans="1:33" x14ac:dyDescent="0.35">
      <c r="A484" t="s">
        <v>33</v>
      </c>
      <c r="B484" t="s">
        <v>34</v>
      </c>
      <c r="C484">
        <v>15</v>
      </c>
      <c r="D484" t="s">
        <v>35</v>
      </c>
      <c r="E484" t="s">
        <v>36</v>
      </c>
      <c r="F484" t="s">
        <v>44</v>
      </c>
      <c r="G484">
        <v>4</v>
      </c>
      <c r="H484">
        <v>2</v>
      </c>
      <c r="I484" t="s">
        <v>45</v>
      </c>
      <c r="J484" t="s">
        <v>45</v>
      </c>
      <c r="K484" t="s">
        <v>51</v>
      </c>
      <c r="L484" t="s">
        <v>41</v>
      </c>
      <c r="M484">
        <v>1</v>
      </c>
      <c r="N484">
        <v>3</v>
      </c>
      <c r="O484">
        <v>0</v>
      </c>
      <c r="P484" t="s">
        <v>43</v>
      </c>
      <c r="Q484" t="s">
        <v>42</v>
      </c>
      <c r="R484" t="s">
        <v>43</v>
      </c>
      <c r="S484" t="s">
        <v>42</v>
      </c>
      <c r="T484" t="s">
        <v>42</v>
      </c>
      <c r="U484" t="s">
        <v>42</v>
      </c>
      <c r="V484" t="s">
        <v>42</v>
      </c>
      <c r="W484" t="s">
        <v>43</v>
      </c>
      <c r="X484">
        <v>5</v>
      </c>
      <c r="Y484">
        <v>3</v>
      </c>
      <c r="Z484">
        <v>3</v>
      </c>
      <c r="AA484">
        <v>1</v>
      </c>
      <c r="AB484">
        <v>3</v>
      </c>
      <c r="AC484">
        <v>1</v>
      </c>
      <c r="AD484">
        <v>4</v>
      </c>
      <c r="AE484">
        <v>15</v>
      </c>
      <c r="AF484">
        <v>15</v>
      </c>
      <c r="AG484">
        <v>15</v>
      </c>
    </row>
    <row r="485" spans="1:33" x14ac:dyDescent="0.35">
      <c r="A485" t="s">
        <v>33</v>
      </c>
      <c r="B485" t="s">
        <v>50</v>
      </c>
      <c r="C485">
        <v>16</v>
      </c>
      <c r="D485" t="s">
        <v>35</v>
      </c>
      <c r="E485" t="s">
        <v>36</v>
      </c>
      <c r="F485" t="s">
        <v>44</v>
      </c>
      <c r="G485">
        <v>2</v>
      </c>
      <c r="H485">
        <v>2</v>
      </c>
      <c r="I485" t="s">
        <v>48</v>
      </c>
      <c r="J485" t="s">
        <v>45</v>
      </c>
      <c r="K485" t="s">
        <v>51</v>
      </c>
      <c r="L485" t="s">
        <v>46</v>
      </c>
      <c r="M485">
        <v>2</v>
      </c>
      <c r="N485">
        <v>2</v>
      </c>
      <c r="O485">
        <v>0</v>
      </c>
      <c r="P485" t="s">
        <v>43</v>
      </c>
      <c r="Q485" t="s">
        <v>43</v>
      </c>
      <c r="R485" t="s">
        <v>43</v>
      </c>
      <c r="S485" t="s">
        <v>42</v>
      </c>
      <c r="T485" t="s">
        <v>43</v>
      </c>
      <c r="U485" t="s">
        <v>42</v>
      </c>
      <c r="V485" t="s">
        <v>42</v>
      </c>
      <c r="W485" t="s">
        <v>43</v>
      </c>
      <c r="X485">
        <v>4</v>
      </c>
      <c r="Y485">
        <v>4</v>
      </c>
      <c r="Z485">
        <v>2</v>
      </c>
      <c r="AA485">
        <v>1</v>
      </c>
      <c r="AB485">
        <v>1</v>
      </c>
      <c r="AC485">
        <v>3</v>
      </c>
      <c r="AD485">
        <v>6</v>
      </c>
      <c r="AE485">
        <v>12</v>
      </c>
      <c r="AF485">
        <v>10</v>
      </c>
      <c r="AG485">
        <v>11</v>
      </c>
    </row>
    <row r="486" spans="1:33" x14ac:dyDescent="0.35">
      <c r="A486" t="s">
        <v>33</v>
      </c>
      <c r="B486" t="s">
        <v>50</v>
      </c>
      <c r="C486">
        <v>16</v>
      </c>
      <c r="D486" t="s">
        <v>35</v>
      </c>
      <c r="E486" t="s">
        <v>47</v>
      </c>
      <c r="F486" t="s">
        <v>37</v>
      </c>
      <c r="G486">
        <v>4</v>
      </c>
      <c r="H486">
        <v>4</v>
      </c>
      <c r="I486" t="s">
        <v>39</v>
      </c>
      <c r="J486" t="s">
        <v>28</v>
      </c>
      <c r="K486" t="s">
        <v>51</v>
      </c>
      <c r="L486" t="s">
        <v>41</v>
      </c>
      <c r="M486">
        <v>1</v>
      </c>
      <c r="N486">
        <v>2</v>
      </c>
      <c r="O486">
        <v>0</v>
      </c>
      <c r="P486" t="s">
        <v>43</v>
      </c>
      <c r="Q486" t="s">
        <v>42</v>
      </c>
      <c r="R486" t="s">
        <v>43</v>
      </c>
      <c r="S486" t="s">
        <v>43</v>
      </c>
      <c r="T486" t="s">
        <v>42</v>
      </c>
      <c r="U486" t="s">
        <v>42</v>
      </c>
      <c r="V486" t="s">
        <v>43</v>
      </c>
      <c r="W486" t="s">
        <v>43</v>
      </c>
      <c r="X486">
        <v>4</v>
      </c>
      <c r="Y486">
        <v>1</v>
      </c>
      <c r="Z486">
        <v>3</v>
      </c>
      <c r="AA486">
        <v>3</v>
      </c>
      <c r="AB486">
        <v>5</v>
      </c>
      <c r="AC486">
        <v>5</v>
      </c>
      <c r="AD486">
        <v>6</v>
      </c>
      <c r="AE486">
        <v>9</v>
      </c>
      <c r="AF486">
        <v>9</v>
      </c>
      <c r="AG486">
        <v>10</v>
      </c>
    </row>
    <row r="487" spans="1:33" x14ac:dyDescent="0.35">
      <c r="A487" t="s">
        <v>33</v>
      </c>
      <c r="B487" t="s">
        <v>34</v>
      </c>
      <c r="C487">
        <v>16</v>
      </c>
      <c r="D487" t="s">
        <v>35</v>
      </c>
      <c r="E487" t="s">
        <v>36</v>
      </c>
      <c r="F487" t="s">
        <v>44</v>
      </c>
      <c r="G487">
        <v>3</v>
      </c>
      <c r="H487">
        <v>3</v>
      </c>
      <c r="I487" t="s">
        <v>45</v>
      </c>
      <c r="J487" t="s">
        <v>45</v>
      </c>
      <c r="K487" t="s">
        <v>49</v>
      </c>
      <c r="L487" t="s">
        <v>41</v>
      </c>
      <c r="M487">
        <v>1</v>
      </c>
      <c r="N487">
        <v>3</v>
      </c>
      <c r="O487">
        <v>0</v>
      </c>
      <c r="P487" t="s">
        <v>43</v>
      </c>
      <c r="Q487" t="s">
        <v>42</v>
      </c>
      <c r="R487" t="s">
        <v>43</v>
      </c>
      <c r="S487" t="s">
        <v>43</v>
      </c>
      <c r="T487" t="s">
        <v>42</v>
      </c>
      <c r="U487" t="s">
        <v>42</v>
      </c>
      <c r="V487" t="s">
        <v>42</v>
      </c>
      <c r="W487" t="s">
        <v>42</v>
      </c>
      <c r="X487">
        <v>4</v>
      </c>
      <c r="Y487">
        <v>3</v>
      </c>
      <c r="Z487">
        <v>3</v>
      </c>
      <c r="AA487">
        <v>1</v>
      </c>
      <c r="AB487">
        <v>3</v>
      </c>
      <c r="AC487">
        <v>4</v>
      </c>
      <c r="AD487">
        <v>2</v>
      </c>
      <c r="AE487">
        <v>9</v>
      </c>
      <c r="AF487">
        <v>11</v>
      </c>
      <c r="AG487">
        <v>11</v>
      </c>
    </row>
    <row r="488" spans="1:33" x14ac:dyDescent="0.35">
      <c r="A488" t="s">
        <v>33</v>
      </c>
      <c r="B488" t="s">
        <v>34</v>
      </c>
      <c r="C488">
        <v>15</v>
      </c>
      <c r="D488" t="s">
        <v>35</v>
      </c>
      <c r="E488" t="s">
        <v>36</v>
      </c>
      <c r="F488" t="s">
        <v>44</v>
      </c>
      <c r="G488">
        <v>4</v>
      </c>
      <c r="H488">
        <v>3</v>
      </c>
      <c r="I488" t="s">
        <v>48</v>
      </c>
      <c r="J488" t="s">
        <v>45</v>
      </c>
      <c r="K488" t="s">
        <v>51</v>
      </c>
      <c r="L488" t="s">
        <v>41</v>
      </c>
      <c r="M488">
        <v>1</v>
      </c>
      <c r="N488">
        <v>1</v>
      </c>
      <c r="O488">
        <v>0</v>
      </c>
      <c r="P488" t="s">
        <v>43</v>
      </c>
      <c r="Q488" t="s">
        <v>43</v>
      </c>
      <c r="R488" t="s">
        <v>43</v>
      </c>
      <c r="S488" t="s">
        <v>42</v>
      </c>
      <c r="T488" t="s">
        <v>42</v>
      </c>
      <c r="U488" t="s">
        <v>42</v>
      </c>
      <c r="V488" t="s">
        <v>42</v>
      </c>
      <c r="W488" t="s">
        <v>43</v>
      </c>
      <c r="X488">
        <v>4</v>
      </c>
      <c r="Y488">
        <v>5</v>
      </c>
      <c r="Z488">
        <v>5</v>
      </c>
      <c r="AA488">
        <v>1</v>
      </c>
      <c r="AB488">
        <v>3</v>
      </c>
      <c r="AC488">
        <v>1</v>
      </c>
      <c r="AD488">
        <v>6</v>
      </c>
      <c r="AE488">
        <v>14</v>
      </c>
      <c r="AF488">
        <v>13</v>
      </c>
      <c r="AG488">
        <v>13</v>
      </c>
    </row>
    <row r="489" spans="1:33" x14ac:dyDescent="0.35">
      <c r="A489" t="s">
        <v>33</v>
      </c>
      <c r="B489" t="s">
        <v>34</v>
      </c>
      <c r="C489">
        <v>16</v>
      </c>
      <c r="D489" t="s">
        <v>35</v>
      </c>
      <c r="E489" t="s">
        <v>47</v>
      </c>
      <c r="F489" t="s">
        <v>44</v>
      </c>
      <c r="G489">
        <v>3</v>
      </c>
      <c r="H489">
        <v>1</v>
      </c>
      <c r="I489" t="s">
        <v>45</v>
      </c>
      <c r="J489" t="s">
        <v>45</v>
      </c>
      <c r="K489" t="s">
        <v>49</v>
      </c>
      <c r="L489" t="s">
        <v>46</v>
      </c>
      <c r="M489">
        <v>1</v>
      </c>
      <c r="N489">
        <v>2</v>
      </c>
      <c r="O489">
        <v>0</v>
      </c>
      <c r="P489" t="s">
        <v>42</v>
      </c>
      <c r="Q489" t="s">
        <v>42</v>
      </c>
      <c r="R489" t="s">
        <v>43</v>
      </c>
      <c r="S489" t="s">
        <v>43</v>
      </c>
      <c r="T489" t="s">
        <v>42</v>
      </c>
      <c r="U489" t="s">
        <v>42</v>
      </c>
      <c r="V489" t="s">
        <v>43</v>
      </c>
      <c r="W489" t="s">
        <v>43</v>
      </c>
      <c r="X489">
        <v>3</v>
      </c>
      <c r="Y489">
        <v>3</v>
      </c>
      <c r="Z489">
        <v>3</v>
      </c>
      <c r="AA489">
        <v>2</v>
      </c>
      <c r="AB489">
        <v>3</v>
      </c>
      <c r="AC489">
        <v>2</v>
      </c>
      <c r="AD489">
        <v>0</v>
      </c>
      <c r="AE489">
        <v>12</v>
      </c>
      <c r="AF489">
        <v>13</v>
      </c>
      <c r="AG489">
        <v>12</v>
      </c>
    </row>
    <row r="490" spans="1:33" x14ac:dyDescent="0.35">
      <c r="A490" t="s">
        <v>33</v>
      </c>
      <c r="B490" t="s">
        <v>34</v>
      </c>
      <c r="C490">
        <v>16</v>
      </c>
      <c r="D490" t="s">
        <v>35</v>
      </c>
      <c r="E490" t="s">
        <v>36</v>
      </c>
      <c r="F490" t="s">
        <v>44</v>
      </c>
      <c r="G490">
        <v>4</v>
      </c>
      <c r="H490">
        <v>2</v>
      </c>
      <c r="I490" t="s">
        <v>39</v>
      </c>
      <c r="J490" t="s">
        <v>48</v>
      </c>
      <c r="K490" t="s">
        <v>49</v>
      </c>
      <c r="L490" t="s">
        <v>41</v>
      </c>
      <c r="M490">
        <v>2</v>
      </c>
      <c r="N490">
        <v>2</v>
      </c>
      <c r="O490">
        <v>0</v>
      </c>
      <c r="P490" t="s">
        <v>43</v>
      </c>
      <c r="Q490" t="s">
        <v>42</v>
      </c>
      <c r="R490" t="s">
        <v>43</v>
      </c>
      <c r="S490" t="s">
        <v>42</v>
      </c>
      <c r="T490" t="s">
        <v>42</v>
      </c>
      <c r="U490" t="s">
        <v>42</v>
      </c>
      <c r="V490" t="s">
        <v>42</v>
      </c>
      <c r="W490" t="s">
        <v>43</v>
      </c>
      <c r="X490">
        <v>5</v>
      </c>
      <c r="Y490">
        <v>3</v>
      </c>
      <c r="Z490">
        <v>3</v>
      </c>
      <c r="AA490">
        <v>1</v>
      </c>
      <c r="AB490">
        <v>1</v>
      </c>
      <c r="AC490">
        <v>1</v>
      </c>
      <c r="AD490">
        <v>2</v>
      </c>
      <c r="AE490">
        <v>13</v>
      </c>
      <c r="AF490">
        <v>14</v>
      </c>
      <c r="AG490">
        <v>14</v>
      </c>
    </row>
    <row r="491" spans="1:33" x14ac:dyDescent="0.35">
      <c r="A491" t="s">
        <v>33</v>
      </c>
      <c r="B491" t="s">
        <v>50</v>
      </c>
      <c r="C491">
        <v>15</v>
      </c>
      <c r="D491" t="s">
        <v>35</v>
      </c>
      <c r="E491" t="s">
        <v>47</v>
      </c>
      <c r="F491" t="s">
        <v>44</v>
      </c>
      <c r="G491">
        <v>2</v>
      </c>
      <c r="H491">
        <v>2</v>
      </c>
      <c r="I491" t="s">
        <v>48</v>
      </c>
      <c r="J491" t="s">
        <v>28</v>
      </c>
      <c r="K491" t="s">
        <v>51</v>
      </c>
      <c r="L491" t="s">
        <v>41</v>
      </c>
      <c r="M491">
        <v>1</v>
      </c>
      <c r="N491">
        <v>4</v>
      </c>
      <c r="O491">
        <v>0</v>
      </c>
      <c r="P491" t="s">
        <v>43</v>
      </c>
      <c r="Q491" t="s">
        <v>42</v>
      </c>
      <c r="R491" t="s">
        <v>43</v>
      </c>
      <c r="S491" t="s">
        <v>42</v>
      </c>
      <c r="T491" t="s">
        <v>42</v>
      </c>
      <c r="U491" t="s">
        <v>42</v>
      </c>
      <c r="V491" t="s">
        <v>42</v>
      </c>
      <c r="W491" t="s">
        <v>43</v>
      </c>
      <c r="X491">
        <v>4</v>
      </c>
      <c r="Y491">
        <v>3</v>
      </c>
      <c r="Z491">
        <v>4</v>
      </c>
      <c r="AA491">
        <v>1</v>
      </c>
      <c r="AB491">
        <v>1</v>
      </c>
      <c r="AC491">
        <v>4</v>
      </c>
      <c r="AD491">
        <v>2</v>
      </c>
      <c r="AE491">
        <v>11</v>
      </c>
      <c r="AF491">
        <v>12</v>
      </c>
      <c r="AG491">
        <v>12</v>
      </c>
    </row>
    <row r="492" spans="1:33" x14ac:dyDescent="0.35">
      <c r="A492" t="s">
        <v>33</v>
      </c>
      <c r="B492" t="s">
        <v>34</v>
      </c>
      <c r="C492">
        <v>15</v>
      </c>
      <c r="D492" t="s">
        <v>52</v>
      </c>
      <c r="E492" t="s">
        <v>36</v>
      </c>
      <c r="F492" t="s">
        <v>44</v>
      </c>
      <c r="G492">
        <v>1</v>
      </c>
      <c r="H492">
        <v>1</v>
      </c>
      <c r="I492" t="s">
        <v>38</v>
      </c>
      <c r="J492" t="s">
        <v>45</v>
      </c>
      <c r="K492" t="s">
        <v>49</v>
      </c>
      <c r="L492" t="s">
        <v>41</v>
      </c>
      <c r="M492">
        <v>2</v>
      </c>
      <c r="N492">
        <v>4</v>
      </c>
      <c r="O492">
        <v>0</v>
      </c>
      <c r="P492" t="s">
        <v>42</v>
      </c>
      <c r="Q492" t="s">
        <v>42</v>
      </c>
      <c r="R492" t="s">
        <v>42</v>
      </c>
      <c r="S492" t="s">
        <v>42</v>
      </c>
      <c r="T492" t="s">
        <v>42</v>
      </c>
      <c r="U492" t="s">
        <v>42</v>
      </c>
      <c r="V492" t="s">
        <v>42</v>
      </c>
      <c r="W492" t="s">
        <v>43</v>
      </c>
      <c r="X492">
        <v>3</v>
      </c>
      <c r="Y492">
        <v>1</v>
      </c>
      <c r="Z492">
        <v>2</v>
      </c>
      <c r="AA492">
        <v>1</v>
      </c>
      <c r="AB492">
        <v>1</v>
      </c>
      <c r="AC492">
        <v>1</v>
      </c>
      <c r="AD492">
        <v>4</v>
      </c>
      <c r="AE492">
        <v>13</v>
      </c>
      <c r="AF492">
        <v>13</v>
      </c>
      <c r="AG492">
        <v>13</v>
      </c>
    </row>
    <row r="493" spans="1:33" x14ac:dyDescent="0.35">
      <c r="A493" t="s">
        <v>33</v>
      </c>
      <c r="B493" t="s">
        <v>50</v>
      </c>
      <c r="C493">
        <v>16</v>
      </c>
      <c r="D493" t="s">
        <v>52</v>
      </c>
      <c r="E493" t="s">
        <v>36</v>
      </c>
      <c r="F493" t="s">
        <v>44</v>
      </c>
      <c r="G493">
        <v>4</v>
      </c>
      <c r="H493">
        <v>3</v>
      </c>
      <c r="I493" t="s">
        <v>48</v>
      </c>
      <c r="J493" t="s">
        <v>45</v>
      </c>
      <c r="K493" t="s">
        <v>51</v>
      </c>
      <c r="L493" t="s">
        <v>41</v>
      </c>
      <c r="M493">
        <v>2</v>
      </c>
      <c r="N493">
        <v>1</v>
      </c>
      <c r="O493">
        <v>0</v>
      </c>
      <c r="P493" t="s">
        <v>42</v>
      </c>
      <c r="Q493" t="s">
        <v>42</v>
      </c>
      <c r="R493" t="s">
        <v>42</v>
      </c>
      <c r="S493" t="s">
        <v>42</v>
      </c>
      <c r="T493" t="s">
        <v>43</v>
      </c>
      <c r="U493" t="s">
        <v>42</v>
      </c>
      <c r="V493" t="s">
        <v>42</v>
      </c>
      <c r="W493" t="s">
        <v>43</v>
      </c>
      <c r="X493">
        <v>3</v>
      </c>
      <c r="Y493">
        <v>3</v>
      </c>
      <c r="Z493">
        <v>3</v>
      </c>
      <c r="AA493">
        <v>1</v>
      </c>
      <c r="AB493">
        <v>1</v>
      </c>
      <c r="AC493">
        <v>4</v>
      </c>
      <c r="AD493">
        <v>6</v>
      </c>
      <c r="AE493">
        <v>9</v>
      </c>
      <c r="AF493">
        <v>11</v>
      </c>
      <c r="AG493">
        <v>11</v>
      </c>
    </row>
    <row r="494" spans="1:33" x14ac:dyDescent="0.35">
      <c r="A494" t="s">
        <v>33</v>
      </c>
      <c r="B494" t="s">
        <v>34</v>
      </c>
      <c r="C494">
        <v>16</v>
      </c>
      <c r="D494" t="s">
        <v>35</v>
      </c>
      <c r="E494" t="s">
        <v>36</v>
      </c>
      <c r="F494" t="s">
        <v>44</v>
      </c>
      <c r="G494">
        <v>2</v>
      </c>
      <c r="H494">
        <v>1</v>
      </c>
      <c r="I494" t="s">
        <v>45</v>
      </c>
      <c r="J494" t="s">
        <v>45</v>
      </c>
      <c r="K494" t="s">
        <v>40</v>
      </c>
      <c r="L494" t="s">
        <v>41</v>
      </c>
      <c r="M494">
        <v>1</v>
      </c>
      <c r="N494">
        <v>2</v>
      </c>
      <c r="O494">
        <v>0</v>
      </c>
      <c r="P494" t="s">
        <v>43</v>
      </c>
      <c r="Q494" t="s">
        <v>42</v>
      </c>
      <c r="R494" t="s">
        <v>43</v>
      </c>
      <c r="S494" t="s">
        <v>43</v>
      </c>
      <c r="T494" t="s">
        <v>42</v>
      </c>
      <c r="U494" t="s">
        <v>42</v>
      </c>
      <c r="V494" t="s">
        <v>43</v>
      </c>
      <c r="W494" t="s">
        <v>42</v>
      </c>
      <c r="X494">
        <v>4</v>
      </c>
      <c r="Y494">
        <v>3</v>
      </c>
      <c r="Z494">
        <v>5</v>
      </c>
      <c r="AA494">
        <v>1</v>
      </c>
      <c r="AB494">
        <v>1</v>
      </c>
      <c r="AC494">
        <v>5</v>
      </c>
      <c r="AD494">
        <v>0</v>
      </c>
      <c r="AE494">
        <v>13</v>
      </c>
      <c r="AF494">
        <v>12</v>
      </c>
      <c r="AG494">
        <v>12</v>
      </c>
    </row>
    <row r="495" spans="1:33" x14ac:dyDescent="0.35">
      <c r="A495" t="s">
        <v>33</v>
      </c>
      <c r="B495" t="s">
        <v>34</v>
      </c>
      <c r="C495">
        <v>16</v>
      </c>
      <c r="D495" t="s">
        <v>35</v>
      </c>
      <c r="E495" t="s">
        <v>36</v>
      </c>
      <c r="F495" t="s">
        <v>44</v>
      </c>
      <c r="G495">
        <v>4</v>
      </c>
      <c r="H495">
        <v>4</v>
      </c>
      <c r="I495" t="s">
        <v>45</v>
      </c>
      <c r="J495" t="s">
        <v>45</v>
      </c>
      <c r="K495" t="s">
        <v>51</v>
      </c>
      <c r="L495" t="s">
        <v>41</v>
      </c>
      <c r="M495">
        <v>1</v>
      </c>
      <c r="N495">
        <v>1</v>
      </c>
      <c r="O495">
        <v>0</v>
      </c>
      <c r="P495" t="s">
        <v>43</v>
      </c>
      <c r="Q495" t="s">
        <v>43</v>
      </c>
      <c r="R495" t="s">
        <v>43</v>
      </c>
      <c r="S495" t="s">
        <v>42</v>
      </c>
      <c r="T495" t="s">
        <v>43</v>
      </c>
      <c r="U495" t="s">
        <v>42</v>
      </c>
      <c r="V495" t="s">
        <v>42</v>
      </c>
      <c r="W495" t="s">
        <v>43</v>
      </c>
      <c r="X495">
        <v>5</v>
      </c>
      <c r="Y495">
        <v>3</v>
      </c>
      <c r="Z495">
        <v>4</v>
      </c>
      <c r="AA495">
        <v>1</v>
      </c>
      <c r="AB495">
        <v>2</v>
      </c>
      <c r="AC495">
        <v>1</v>
      </c>
      <c r="AD495">
        <v>4</v>
      </c>
      <c r="AE495">
        <v>12</v>
      </c>
      <c r="AF495">
        <v>13</v>
      </c>
      <c r="AG495">
        <v>13</v>
      </c>
    </row>
    <row r="496" spans="1:33" x14ac:dyDescent="0.35">
      <c r="A496" t="s">
        <v>33</v>
      </c>
      <c r="B496" t="s">
        <v>34</v>
      </c>
      <c r="C496">
        <v>16</v>
      </c>
      <c r="D496" t="s">
        <v>35</v>
      </c>
      <c r="E496" t="s">
        <v>36</v>
      </c>
      <c r="F496" t="s">
        <v>44</v>
      </c>
      <c r="G496">
        <v>4</v>
      </c>
      <c r="H496">
        <v>3</v>
      </c>
      <c r="I496" t="s">
        <v>45</v>
      </c>
      <c r="J496" t="s">
        <v>38</v>
      </c>
      <c r="K496" t="s">
        <v>40</v>
      </c>
      <c r="L496" t="s">
        <v>41</v>
      </c>
      <c r="M496">
        <v>1</v>
      </c>
      <c r="N496">
        <v>3</v>
      </c>
      <c r="O496">
        <v>0</v>
      </c>
      <c r="P496" t="s">
        <v>42</v>
      </c>
      <c r="Q496" t="s">
        <v>42</v>
      </c>
      <c r="R496" t="s">
        <v>43</v>
      </c>
      <c r="S496" t="s">
        <v>43</v>
      </c>
      <c r="T496" t="s">
        <v>42</v>
      </c>
      <c r="U496" t="s">
        <v>42</v>
      </c>
      <c r="V496" t="s">
        <v>42</v>
      </c>
      <c r="W496" t="s">
        <v>43</v>
      </c>
      <c r="X496">
        <v>5</v>
      </c>
      <c r="Y496">
        <v>3</v>
      </c>
      <c r="Z496">
        <v>5</v>
      </c>
      <c r="AA496">
        <v>1</v>
      </c>
      <c r="AB496">
        <v>1</v>
      </c>
      <c r="AC496">
        <v>3</v>
      </c>
      <c r="AD496">
        <v>2</v>
      </c>
      <c r="AE496">
        <v>12</v>
      </c>
      <c r="AF496">
        <v>13</v>
      </c>
      <c r="AG496">
        <v>13</v>
      </c>
    </row>
    <row r="497" spans="1:33" x14ac:dyDescent="0.35">
      <c r="A497" t="s">
        <v>33</v>
      </c>
      <c r="B497" t="s">
        <v>50</v>
      </c>
      <c r="C497">
        <v>16</v>
      </c>
      <c r="D497" t="s">
        <v>35</v>
      </c>
      <c r="E497" t="s">
        <v>36</v>
      </c>
      <c r="F497" t="s">
        <v>44</v>
      </c>
      <c r="G497">
        <v>4</v>
      </c>
      <c r="H497">
        <v>4</v>
      </c>
      <c r="I497" t="s">
        <v>48</v>
      </c>
      <c r="J497" t="s">
        <v>48</v>
      </c>
      <c r="K497" t="s">
        <v>45</v>
      </c>
      <c r="L497" t="s">
        <v>41</v>
      </c>
      <c r="M497">
        <v>1</v>
      </c>
      <c r="N497">
        <v>1</v>
      </c>
      <c r="O497">
        <v>0</v>
      </c>
      <c r="P497" t="s">
        <v>42</v>
      </c>
      <c r="Q497" t="s">
        <v>42</v>
      </c>
      <c r="R497" t="s">
        <v>43</v>
      </c>
      <c r="S497" t="s">
        <v>42</v>
      </c>
      <c r="T497" t="s">
        <v>42</v>
      </c>
      <c r="U497" t="s">
        <v>42</v>
      </c>
      <c r="V497" t="s">
        <v>42</v>
      </c>
      <c r="W497" t="s">
        <v>43</v>
      </c>
      <c r="X497">
        <v>4</v>
      </c>
      <c r="Y497">
        <v>5</v>
      </c>
      <c r="Z497">
        <v>5</v>
      </c>
      <c r="AA497">
        <v>5</v>
      </c>
      <c r="AB497">
        <v>5</v>
      </c>
      <c r="AC497">
        <v>4</v>
      </c>
      <c r="AD497">
        <v>12</v>
      </c>
      <c r="AE497">
        <v>9</v>
      </c>
      <c r="AF497">
        <v>9</v>
      </c>
      <c r="AG497">
        <v>8</v>
      </c>
    </row>
    <row r="498" spans="1:33" x14ac:dyDescent="0.35">
      <c r="A498" t="s">
        <v>33</v>
      </c>
      <c r="B498" t="s">
        <v>50</v>
      </c>
      <c r="C498">
        <v>16</v>
      </c>
      <c r="D498" t="s">
        <v>35</v>
      </c>
      <c r="E498" t="s">
        <v>36</v>
      </c>
      <c r="F498" t="s">
        <v>44</v>
      </c>
      <c r="G498">
        <v>4</v>
      </c>
      <c r="H498">
        <v>4</v>
      </c>
      <c r="I498" t="s">
        <v>48</v>
      </c>
      <c r="J498" t="s">
        <v>39</v>
      </c>
      <c r="K498" t="s">
        <v>45</v>
      </c>
      <c r="L498" t="s">
        <v>46</v>
      </c>
      <c r="M498">
        <v>1</v>
      </c>
      <c r="N498">
        <v>3</v>
      </c>
      <c r="O498">
        <v>0</v>
      </c>
      <c r="P498" t="s">
        <v>43</v>
      </c>
      <c r="Q498" t="s">
        <v>42</v>
      </c>
      <c r="R498" t="s">
        <v>43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  <c r="X498">
        <v>4</v>
      </c>
      <c r="Y498">
        <v>4</v>
      </c>
      <c r="Z498">
        <v>3</v>
      </c>
      <c r="AA498">
        <v>1</v>
      </c>
      <c r="AB498">
        <v>1</v>
      </c>
      <c r="AC498">
        <v>4</v>
      </c>
      <c r="AD498">
        <v>0</v>
      </c>
      <c r="AE498">
        <v>16</v>
      </c>
      <c r="AF498">
        <v>16</v>
      </c>
      <c r="AG498">
        <v>16</v>
      </c>
    </row>
    <row r="499" spans="1:33" x14ac:dyDescent="0.35">
      <c r="A499" t="s">
        <v>33</v>
      </c>
      <c r="B499" t="s">
        <v>50</v>
      </c>
      <c r="C499">
        <v>15</v>
      </c>
      <c r="D499" t="s">
        <v>35</v>
      </c>
      <c r="E499" t="s">
        <v>36</v>
      </c>
      <c r="F499" t="s">
        <v>44</v>
      </c>
      <c r="G499">
        <v>4</v>
      </c>
      <c r="H499">
        <v>4</v>
      </c>
      <c r="I499" t="s">
        <v>48</v>
      </c>
      <c r="J499" t="s">
        <v>45</v>
      </c>
      <c r="K499" t="s">
        <v>40</v>
      </c>
      <c r="L499" t="s">
        <v>41</v>
      </c>
      <c r="M499">
        <v>1</v>
      </c>
      <c r="N499">
        <v>1</v>
      </c>
      <c r="O499">
        <v>0</v>
      </c>
      <c r="P499" t="s">
        <v>43</v>
      </c>
      <c r="Q499" t="s">
        <v>42</v>
      </c>
      <c r="R499" t="s">
        <v>42</v>
      </c>
      <c r="S499" t="s">
        <v>42</v>
      </c>
      <c r="T499" t="s">
        <v>43</v>
      </c>
      <c r="U499" t="s">
        <v>42</v>
      </c>
      <c r="V499" t="s">
        <v>42</v>
      </c>
      <c r="W499" t="s">
        <v>43</v>
      </c>
      <c r="X499">
        <v>5</v>
      </c>
      <c r="Y499">
        <v>3</v>
      </c>
      <c r="Z499">
        <v>3</v>
      </c>
      <c r="AA499">
        <v>1</v>
      </c>
      <c r="AB499">
        <v>1</v>
      </c>
      <c r="AC499">
        <v>5</v>
      </c>
      <c r="AD499">
        <v>2</v>
      </c>
      <c r="AE499">
        <v>12</v>
      </c>
      <c r="AF499">
        <v>13</v>
      </c>
      <c r="AG499">
        <v>12</v>
      </c>
    </row>
    <row r="500" spans="1:33" x14ac:dyDescent="0.35">
      <c r="A500" t="s">
        <v>33</v>
      </c>
      <c r="B500" t="s">
        <v>34</v>
      </c>
      <c r="C500">
        <v>15</v>
      </c>
      <c r="D500" t="s">
        <v>35</v>
      </c>
      <c r="E500" t="s">
        <v>36</v>
      </c>
      <c r="F500" t="s">
        <v>44</v>
      </c>
      <c r="G500">
        <v>3</v>
      </c>
      <c r="H500">
        <v>2</v>
      </c>
      <c r="I500" t="s">
        <v>48</v>
      </c>
      <c r="J500" t="s">
        <v>45</v>
      </c>
      <c r="K500" t="s">
        <v>49</v>
      </c>
      <c r="L500" t="s">
        <v>41</v>
      </c>
      <c r="M500">
        <v>2</v>
      </c>
      <c r="N500">
        <v>2</v>
      </c>
      <c r="O500">
        <v>0</v>
      </c>
      <c r="P500" t="s">
        <v>42</v>
      </c>
      <c r="Q500" t="s">
        <v>42</v>
      </c>
      <c r="R500" t="s">
        <v>43</v>
      </c>
      <c r="S500" t="s">
        <v>43</v>
      </c>
      <c r="T500" t="s">
        <v>42</v>
      </c>
      <c r="U500" t="s">
        <v>42</v>
      </c>
      <c r="V500" t="s">
        <v>42</v>
      </c>
      <c r="W500" t="s">
        <v>43</v>
      </c>
      <c r="X500">
        <v>4</v>
      </c>
      <c r="Y500">
        <v>3</v>
      </c>
      <c r="Z500">
        <v>5</v>
      </c>
      <c r="AA500">
        <v>1</v>
      </c>
      <c r="AB500">
        <v>1</v>
      </c>
      <c r="AC500">
        <v>2</v>
      </c>
      <c r="AD500">
        <v>16</v>
      </c>
      <c r="AE500">
        <v>11</v>
      </c>
      <c r="AF500">
        <v>10</v>
      </c>
      <c r="AG500">
        <v>10</v>
      </c>
    </row>
    <row r="501" spans="1:33" x14ac:dyDescent="0.35">
      <c r="A501" t="s">
        <v>33</v>
      </c>
      <c r="B501" t="s">
        <v>50</v>
      </c>
      <c r="C501">
        <v>15</v>
      </c>
      <c r="D501" t="s">
        <v>35</v>
      </c>
      <c r="E501" t="s">
        <v>36</v>
      </c>
      <c r="F501" t="s">
        <v>37</v>
      </c>
      <c r="G501">
        <v>3</v>
      </c>
      <c r="H501">
        <v>4</v>
      </c>
      <c r="I501" t="s">
        <v>48</v>
      </c>
      <c r="J501" t="s">
        <v>45</v>
      </c>
      <c r="K501" t="s">
        <v>40</v>
      </c>
      <c r="L501" t="s">
        <v>41</v>
      </c>
      <c r="M501">
        <v>1</v>
      </c>
      <c r="N501">
        <v>2</v>
      </c>
      <c r="O501">
        <v>0</v>
      </c>
      <c r="P501" t="s">
        <v>43</v>
      </c>
      <c r="Q501" t="s">
        <v>42</v>
      </c>
      <c r="R501" t="s">
        <v>43</v>
      </c>
      <c r="S501" t="s">
        <v>42</v>
      </c>
      <c r="T501" t="s">
        <v>42</v>
      </c>
      <c r="U501" t="s">
        <v>42</v>
      </c>
      <c r="V501" t="s">
        <v>42</v>
      </c>
      <c r="W501" t="s">
        <v>43</v>
      </c>
      <c r="X501">
        <v>5</v>
      </c>
      <c r="Y501">
        <v>4</v>
      </c>
      <c r="Z501">
        <v>4</v>
      </c>
      <c r="AA501">
        <v>1</v>
      </c>
      <c r="AB501">
        <v>1</v>
      </c>
      <c r="AC501">
        <v>1</v>
      </c>
      <c r="AD501">
        <v>0</v>
      </c>
      <c r="AE501">
        <v>16</v>
      </c>
      <c r="AF501">
        <v>16</v>
      </c>
      <c r="AG501">
        <v>16</v>
      </c>
    </row>
    <row r="502" spans="1:33" x14ac:dyDescent="0.35">
      <c r="A502" t="s">
        <v>33</v>
      </c>
      <c r="B502" t="s">
        <v>34</v>
      </c>
      <c r="C502">
        <v>15</v>
      </c>
      <c r="D502" t="s">
        <v>35</v>
      </c>
      <c r="E502" t="s">
        <v>36</v>
      </c>
      <c r="F502" t="s">
        <v>37</v>
      </c>
      <c r="G502">
        <v>3</v>
      </c>
      <c r="H502">
        <v>3</v>
      </c>
      <c r="I502" t="s">
        <v>45</v>
      </c>
      <c r="J502" t="s">
        <v>28</v>
      </c>
      <c r="K502" t="s">
        <v>51</v>
      </c>
      <c r="L502" t="s">
        <v>46</v>
      </c>
      <c r="M502">
        <v>1</v>
      </c>
      <c r="N502">
        <v>4</v>
      </c>
      <c r="O502">
        <v>0</v>
      </c>
      <c r="P502" t="s">
        <v>42</v>
      </c>
      <c r="Q502" t="s">
        <v>43</v>
      </c>
      <c r="R502" t="s">
        <v>43</v>
      </c>
      <c r="S502" t="s">
        <v>43</v>
      </c>
      <c r="T502" t="s">
        <v>42</v>
      </c>
      <c r="U502" t="s">
        <v>42</v>
      </c>
      <c r="V502" t="s">
        <v>43</v>
      </c>
      <c r="W502" t="s">
        <v>43</v>
      </c>
      <c r="X502">
        <v>4</v>
      </c>
      <c r="Y502">
        <v>3</v>
      </c>
      <c r="Z502">
        <v>3</v>
      </c>
      <c r="AA502">
        <v>1</v>
      </c>
      <c r="AB502">
        <v>1</v>
      </c>
      <c r="AC502">
        <v>4</v>
      </c>
      <c r="AD502">
        <v>10</v>
      </c>
      <c r="AE502">
        <v>10</v>
      </c>
      <c r="AF502">
        <v>10</v>
      </c>
      <c r="AG502">
        <v>10</v>
      </c>
    </row>
    <row r="503" spans="1:33" x14ac:dyDescent="0.35">
      <c r="A503" t="s">
        <v>33</v>
      </c>
      <c r="B503" t="s">
        <v>34</v>
      </c>
      <c r="C503">
        <v>15</v>
      </c>
      <c r="D503" t="s">
        <v>35</v>
      </c>
      <c r="E503" t="s">
        <v>36</v>
      </c>
      <c r="F503" t="s">
        <v>44</v>
      </c>
      <c r="G503">
        <v>2</v>
      </c>
      <c r="H503">
        <v>2</v>
      </c>
      <c r="I503" t="s">
        <v>45</v>
      </c>
      <c r="J503" t="s">
        <v>45</v>
      </c>
      <c r="K503" t="s">
        <v>40</v>
      </c>
      <c r="L503" t="s">
        <v>41</v>
      </c>
      <c r="M503">
        <v>1</v>
      </c>
      <c r="N503">
        <v>4</v>
      </c>
      <c r="O503">
        <v>0</v>
      </c>
      <c r="P503" t="s">
        <v>42</v>
      </c>
      <c r="Q503" t="s">
        <v>42</v>
      </c>
      <c r="R503" t="s">
        <v>43</v>
      </c>
      <c r="S503" t="s">
        <v>43</v>
      </c>
      <c r="T503" t="s">
        <v>42</v>
      </c>
      <c r="U503" t="s">
        <v>42</v>
      </c>
      <c r="V503" t="s">
        <v>42</v>
      </c>
      <c r="W503" t="s">
        <v>43</v>
      </c>
      <c r="X503">
        <v>5</v>
      </c>
      <c r="Y503">
        <v>1</v>
      </c>
      <c r="Z503">
        <v>2</v>
      </c>
      <c r="AA503">
        <v>1</v>
      </c>
      <c r="AB503">
        <v>1</v>
      </c>
      <c r="AC503">
        <v>3</v>
      </c>
      <c r="AD503">
        <v>4</v>
      </c>
      <c r="AE503">
        <v>10</v>
      </c>
      <c r="AF503">
        <v>10</v>
      </c>
      <c r="AG503">
        <v>10</v>
      </c>
    </row>
    <row r="504" spans="1:33" x14ac:dyDescent="0.35">
      <c r="A504" t="s">
        <v>33</v>
      </c>
      <c r="B504" t="s">
        <v>50</v>
      </c>
      <c r="C504">
        <v>16</v>
      </c>
      <c r="D504" t="s">
        <v>35</v>
      </c>
      <c r="E504" t="s">
        <v>36</v>
      </c>
      <c r="F504" t="s">
        <v>44</v>
      </c>
      <c r="G504">
        <v>3</v>
      </c>
      <c r="H504">
        <v>3</v>
      </c>
      <c r="I504" t="s">
        <v>48</v>
      </c>
      <c r="J504" t="s">
        <v>45</v>
      </c>
      <c r="K504" t="s">
        <v>49</v>
      </c>
      <c r="L504" t="s">
        <v>46</v>
      </c>
      <c r="M504">
        <v>1</v>
      </c>
      <c r="N504">
        <v>3</v>
      </c>
      <c r="O504">
        <v>0</v>
      </c>
      <c r="P504" t="s">
        <v>43</v>
      </c>
      <c r="Q504" t="s">
        <v>42</v>
      </c>
      <c r="R504" t="s">
        <v>43</v>
      </c>
      <c r="S504" t="s">
        <v>42</v>
      </c>
      <c r="T504" t="s">
        <v>42</v>
      </c>
      <c r="U504" t="s">
        <v>42</v>
      </c>
      <c r="V504" t="s">
        <v>42</v>
      </c>
      <c r="W504" t="s">
        <v>43</v>
      </c>
      <c r="X504">
        <v>5</v>
      </c>
      <c r="Y504">
        <v>3</v>
      </c>
      <c r="Z504">
        <v>3</v>
      </c>
      <c r="AA504">
        <v>1</v>
      </c>
      <c r="AB504">
        <v>1</v>
      </c>
      <c r="AC504">
        <v>5</v>
      </c>
      <c r="AD504">
        <v>4</v>
      </c>
      <c r="AE504">
        <v>13</v>
      </c>
      <c r="AF504">
        <v>14</v>
      </c>
      <c r="AG504">
        <v>14</v>
      </c>
    </row>
    <row r="505" spans="1:33" x14ac:dyDescent="0.35">
      <c r="A505" t="s">
        <v>33</v>
      </c>
      <c r="B505" t="s">
        <v>50</v>
      </c>
      <c r="C505">
        <v>15</v>
      </c>
      <c r="D505" t="s">
        <v>52</v>
      </c>
      <c r="E505" t="s">
        <v>36</v>
      </c>
      <c r="F505" t="s">
        <v>44</v>
      </c>
      <c r="G505">
        <v>4</v>
      </c>
      <c r="H505">
        <v>4</v>
      </c>
      <c r="I505" t="s">
        <v>45</v>
      </c>
      <c r="J505" t="s">
        <v>45</v>
      </c>
      <c r="K505" t="s">
        <v>49</v>
      </c>
      <c r="L505" t="s">
        <v>46</v>
      </c>
      <c r="M505">
        <v>4</v>
      </c>
      <c r="N505">
        <v>4</v>
      </c>
      <c r="O505">
        <v>0</v>
      </c>
      <c r="P505" t="s">
        <v>43</v>
      </c>
      <c r="Q505" t="s">
        <v>42</v>
      </c>
      <c r="R505" t="s">
        <v>43</v>
      </c>
      <c r="S505" t="s">
        <v>42</v>
      </c>
      <c r="T505" t="s">
        <v>42</v>
      </c>
      <c r="U505" t="s">
        <v>42</v>
      </c>
      <c r="V505" t="s">
        <v>42</v>
      </c>
      <c r="W505" t="s">
        <v>42</v>
      </c>
      <c r="X505">
        <v>1</v>
      </c>
      <c r="Y505">
        <v>3</v>
      </c>
      <c r="Z505">
        <v>5</v>
      </c>
      <c r="AA505">
        <v>3</v>
      </c>
      <c r="AB505">
        <v>5</v>
      </c>
      <c r="AC505">
        <v>1</v>
      </c>
      <c r="AD505">
        <v>8</v>
      </c>
      <c r="AE505">
        <v>12</v>
      </c>
      <c r="AF505">
        <v>10</v>
      </c>
      <c r="AG505">
        <v>11</v>
      </c>
    </row>
    <row r="506" spans="1:33" x14ac:dyDescent="0.35">
      <c r="A506" t="s">
        <v>33</v>
      </c>
      <c r="B506" t="s">
        <v>34</v>
      </c>
      <c r="C506">
        <v>16</v>
      </c>
      <c r="D506" t="s">
        <v>35</v>
      </c>
      <c r="E506" t="s">
        <v>47</v>
      </c>
      <c r="F506" t="s">
        <v>44</v>
      </c>
      <c r="G506">
        <v>4</v>
      </c>
      <c r="H506">
        <v>4</v>
      </c>
      <c r="I506" t="s">
        <v>28</v>
      </c>
      <c r="J506" t="s">
        <v>28</v>
      </c>
      <c r="K506" t="s">
        <v>45</v>
      </c>
      <c r="L506" t="s">
        <v>41</v>
      </c>
      <c r="M506">
        <v>1</v>
      </c>
      <c r="N506">
        <v>3</v>
      </c>
      <c r="O506">
        <v>0</v>
      </c>
      <c r="P506" t="s">
        <v>43</v>
      </c>
      <c r="Q506" t="s">
        <v>42</v>
      </c>
      <c r="R506" t="s">
        <v>43</v>
      </c>
      <c r="S506" t="s">
        <v>42</v>
      </c>
      <c r="T506" t="s">
        <v>42</v>
      </c>
      <c r="U506" t="s">
        <v>42</v>
      </c>
      <c r="V506" t="s">
        <v>42</v>
      </c>
      <c r="W506" t="s">
        <v>42</v>
      </c>
      <c r="X506">
        <v>5</v>
      </c>
      <c r="Y506">
        <v>4</v>
      </c>
      <c r="Z506">
        <v>5</v>
      </c>
      <c r="AA506">
        <v>1</v>
      </c>
      <c r="AB506">
        <v>1</v>
      </c>
      <c r="AC506">
        <v>4</v>
      </c>
      <c r="AD506">
        <v>2</v>
      </c>
      <c r="AE506">
        <v>15</v>
      </c>
      <c r="AF506">
        <v>15</v>
      </c>
      <c r="AG506">
        <v>14</v>
      </c>
    </row>
    <row r="507" spans="1:33" x14ac:dyDescent="0.35">
      <c r="A507" t="s">
        <v>33</v>
      </c>
      <c r="B507" t="s">
        <v>50</v>
      </c>
      <c r="C507">
        <v>15</v>
      </c>
      <c r="D507" t="s">
        <v>35</v>
      </c>
      <c r="E507" t="s">
        <v>47</v>
      </c>
      <c r="F507" t="s">
        <v>37</v>
      </c>
      <c r="G507">
        <v>4</v>
      </c>
      <c r="H507">
        <v>4</v>
      </c>
      <c r="I507" t="s">
        <v>39</v>
      </c>
      <c r="J507" t="s">
        <v>39</v>
      </c>
      <c r="K507" t="s">
        <v>40</v>
      </c>
      <c r="L507" t="s">
        <v>41</v>
      </c>
      <c r="M507">
        <v>1</v>
      </c>
      <c r="N507">
        <v>1</v>
      </c>
      <c r="O507">
        <v>0</v>
      </c>
      <c r="P507" t="s">
        <v>43</v>
      </c>
      <c r="Q507" t="s">
        <v>43</v>
      </c>
      <c r="R507" t="s">
        <v>43</v>
      </c>
      <c r="S507" t="s">
        <v>42</v>
      </c>
      <c r="T507" t="s">
        <v>42</v>
      </c>
      <c r="U507" t="s">
        <v>42</v>
      </c>
      <c r="V507" t="s">
        <v>42</v>
      </c>
      <c r="W507" t="s">
        <v>43</v>
      </c>
      <c r="X507">
        <v>5</v>
      </c>
      <c r="Y507">
        <v>5</v>
      </c>
      <c r="Z507">
        <v>3</v>
      </c>
      <c r="AA507">
        <v>1</v>
      </c>
      <c r="AB507">
        <v>1</v>
      </c>
      <c r="AC507">
        <v>4</v>
      </c>
      <c r="AD507">
        <v>4</v>
      </c>
      <c r="AE507">
        <v>13</v>
      </c>
      <c r="AF507">
        <v>14</v>
      </c>
      <c r="AG507">
        <v>14</v>
      </c>
    </row>
    <row r="508" spans="1:33" x14ac:dyDescent="0.35">
      <c r="A508" t="s">
        <v>33</v>
      </c>
      <c r="B508" t="s">
        <v>34</v>
      </c>
      <c r="C508">
        <v>16</v>
      </c>
      <c r="D508" t="s">
        <v>52</v>
      </c>
      <c r="E508" t="s">
        <v>36</v>
      </c>
      <c r="F508" t="s">
        <v>44</v>
      </c>
      <c r="G508">
        <v>3</v>
      </c>
      <c r="H508">
        <v>3</v>
      </c>
      <c r="I508" t="s">
        <v>48</v>
      </c>
      <c r="J508" t="s">
        <v>45</v>
      </c>
      <c r="K508" t="s">
        <v>51</v>
      </c>
      <c r="L508" t="s">
        <v>46</v>
      </c>
      <c r="M508">
        <v>1</v>
      </c>
      <c r="N508">
        <v>3</v>
      </c>
      <c r="O508">
        <v>0</v>
      </c>
      <c r="P508" t="s">
        <v>42</v>
      </c>
      <c r="Q508" t="s">
        <v>42</v>
      </c>
      <c r="R508" t="s">
        <v>43</v>
      </c>
      <c r="S508" t="s">
        <v>42</v>
      </c>
      <c r="T508" t="s">
        <v>42</v>
      </c>
      <c r="U508" t="s">
        <v>42</v>
      </c>
      <c r="V508" t="s">
        <v>42</v>
      </c>
      <c r="W508" t="s">
        <v>43</v>
      </c>
      <c r="X508">
        <v>4</v>
      </c>
      <c r="Y508">
        <v>1</v>
      </c>
      <c r="Z508">
        <v>2</v>
      </c>
      <c r="AA508">
        <v>1</v>
      </c>
      <c r="AB508">
        <v>1</v>
      </c>
      <c r="AC508">
        <v>2</v>
      </c>
      <c r="AD508">
        <v>4</v>
      </c>
      <c r="AE508">
        <v>11</v>
      </c>
      <c r="AF508">
        <v>11</v>
      </c>
      <c r="AG508">
        <v>11</v>
      </c>
    </row>
    <row r="509" spans="1:33" x14ac:dyDescent="0.35">
      <c r="A509" t="s">
        <v>33</v>
      </c>
      <c r="B509" t="s">
        <v>34</v>
      </c>
      <c r="C509">
        <v>16</v>
      </c>
      <c r="D509" t="s">
        <v>35</v>
      </c>
      <c r="E509" t="s">
        <v>36</v>
      </c>
      <c r="F509" t="s">
        <v>44</v>
      </c>
      <c r="G509">
        <v>2</v>
      </c>
      <c r="H509">
        <v>2</v>
      </c>
      <c r="I509" t="s">
        <v>38</v>
      </c>
      <c r="J509" t="s">
        <v>45</v>
      </c>
      <c r="K509" t="s">
        <v>49</v>
      </c>
      <c r="L509" t="s">
        <v>41</v>
      </c>
      <c r="M509">
        <v>1</v>
      </c>
      <c r="N509">
        <v>2</v>
      </c>
      <c r="O509">
        <v>1</v>
      </c>
      <c r="P509" t="s">
        <v>42</v>
      </c>
      <c r="Q509" t="s">
        <v>43</v>
      </c>
      <c r="R509" t="s">
        <v>43</v>
      </c>
      <c r="S509" t="s">
        <v>42</v>
      </c>
      <c r="T509" t="s">
        <v>42</v>
      </c>
      <c r="U509" t="s">
        <v>42</v>
      </c>
      <c r="V509" t="s">
        <v>42</v>
      </c>
      <c r="W509" t="s">
        <v>43</v>
      </c>
      <c r="X509">
        <v>3</v>
      </c>
      <c r="Y509">
        <v>1</v>
      </c>
      <c r="Z509">
        <v>2</v>
      </c>
      <c r="AA509">
        <v>1</v>
      </c>
      <c r="AB509">
        <v>1</v>
      </c>
      <c r="AC509">
        <v>5</v>
      </c>
      <c r="AD509">
        <v>12</v>
      </c>
      <c r="AE509">
        <v>8</v>
      </c>
      <c r="AF509">
        <v>10</v>
      </c>
      <c r="AG509">
        <v>10</v>
      </c>
    </row>
    <row r="510" spans="1:33" x14ac:dyDescent="0.35">
      <c r="A510" t="s">
        <v>33</v>
      </c>
      <c r="B510" t="s">
        <v>50</v>
      </c>
      <c r="C510">
        <v>15</v>
      </c>
      <c r="D510" t="s">
        <v>35</v>
      </c>
      <c r="E510" t="s">
        <v>47</v>
      </c>
      <c r="F510" t="s">
        <v>44</v>
      </c>
      <c r="G510">
        <v>4</v>
      </c>
      <c r="H510">
        <v>2</v>
      </c>
      <c r="I510" t="s">
        <v>39</v>
      </c>
      <c r="J510" t="s">
        <v>45</v>
      </c>
      <c r="K510" t="s">
        <v>40</v>
      </c>
      <c r="L510" t="s">
        <v>41</v>
      </c>
      <c r="M510">
        <v>1</v>
      </c>
      <c r="N510">
        <v>1</v>
      </c>
      <c r="O510">
        <v>0</v>
      </c>
      <c r="P510" t="s">
        <v>43</v>
      </c>
      <c r="Q510" t="s">
        <v>43</v>
      </c>
      <c r="R510" t="s">
        <v>43</v>
      </c>
      <c r="S510" t="s">
        <v>43</v>
      </c>
      <c r="T510" t="s">
        <v>42</v>
      </c>
      <c r="U510" t="s">
        <v>42</v>
      </c>
      <c r="V510" t="s">
        <v>42</v>
      </c>
      <c r="W510" t="s">
        <v>43</v>
      </c>
      <c r="X510">
        <v>3</v>
      </c>
      <c r="Y510">
        <v>5</v>
      </c>
      <c r="Z510">
        <v>2</v>
      </c>
      <c r="AA510">
        <v>1</v>
      </c>
      <c r="AB510">
        <v>1</v>
      </c>
      <c r="AC510">
        <v>3</v>
      </c>
      <c r="AD510">
        <v>10</v>
      </c>
      <c r="AE510">
        <v>18</v>
      </c>
      <c r="AF510">
        <v>17</v>
      </c>
      <c r="AG510">
        <v>18</v>
      </c>
    </row>
    <row r="511" spans="1:33" x14ac:dyDescent="0.35">
      <c r="A511" t="s">
        <v>33</v>
      </c>
      <c r="B511" t="s">
        <v>50</v>
      </c>
      <c r="C511">
        <v>15</v>
      </c>
      <c r="D511" t="s">
        <v>52</v>
      </c>
      <c r="E511" t="s">
        <v>36</v>
      </c>
      <c r="F511" t="s">
        <v>44</v>
      </c>
      <c r="G511">
        <v>2</v>
      </c>
      <c r="H511">
        <v>1</v>
      </c>
      <c r="I511" t="s">
        <v>28</v>
      </c>
      <c r="J511" t="s">
        <v>48</v>
      </c>
      <c r="K511" t="s">
        <v>51</v>
      </c>
      <c r="L511" t="s">
        <v>41</v>
      </c>
      <c r="M511">
        <v>1</v>
      </c>
      <c r="N511">
        <v>2</v>
      </c>
      <c r="O511">
        <v>0</v>
      </c>
      <c r="P511" t="s">
        <v>43</v>
      </c>
      <c r="Q511" t="s">
        <v>43</v>
      </c>
      <c r="R511" t="s">
        <v>43</v>
      </c>
      <c r="S511" t="s">
        <v>42</v>
      </c>
      <c r="T511" t="s">
        <v>42</v>
      </c>
      <c r="U511" t="s">
        <v>42</v>
      </c>
      <c r="V511" t="s">
        <v>42</v>
      </c>
      <c r="W511" t="s">
        <v>42</v>
      </c>
      <c r="X511">
        <v>5</v>
      </c>
      <c r="Y511">
        <v>4</v>
      </c>
      <c r="Z511">
        <v>2</v>
      </c>
      <c r="AA511">
        <v>1</v>
      </c>
      <c r="AB511">
        <v>1</v>
      </c>
      <c r="AC511">
        <v>5</v>
      </c>
      <c r="AD511">
        <v>4</v>
      </c>
      <c r="AE511">
        <v>10</v>
      </c>
      <c r="AF511">
        <v>9</v>
      </c>
      <c r="AG511">
        <v>10</v>
      </c>
    </row>
    <row r="512" spans="1:33" x14ac:dyDescent="0.35">
      <c r="A512" t="s">
        <v>33</v>
      </c>
      <c r="B512" t="s">
        <v>50</v>
      </c>
      <c r="C512">
        <v>16</v>
      </c>
      <c r="D512" t="s">
        <v>35</v>
      </c>
      <c r="E512" t="s">
        <v>36</v>
      </c>
      <c r="F512" t="s">
        <v>44</v>
      </c>
      <c r="G512">
        <v>4</v>
      </c>
      <c r="H512">
        <v>4</v>
      </c>
      <c r="I512" t="s">
        <v>39</v>
      </c>
      <c r="J512" t="s">
        <v>39</v>
      </c>
      <c r="K512" t="s">
        <v>40</v>
      </c>
      <c r="L512" t="s">
        <v>46</v>
      </c>
      <c r="M512">
        <v>1</v>
      </c>
      <c r="N512">
        <v>2</v>
      </c>
      <c r="O512">
        <v>0</v>
      </c>
      <c r="P512" t="s">
        <v>43</v>
      </c>
      <c r="Q512" t="s">
        <v>42</v>
      </c>
      <c r="R512" t="s">
        <v>43</v>
      </c>
      <c r="S512" t="s">
        <v>42</v>
      </c>
      <c r="T512" t="s">
        <v>42</v>
      </c>
      <c r="U512" t="s">
        <v>42</v>
      </c>
      <c r="V512" t="s">
        <v>42</v>
      </c>
      <c r="W512" t="s">
        <v>43</v>
      </c>
      <c r="X512">
        <v>5</v>
      </c>
      <c r="Y512">
        <v>4</v>
      </c>
      <c r="Z512">
        <v>4</v>
      </c>
      <c r="AA512">
        <v>1</v>
      </c>
      <c r="AB512">
        <v>2</v>
      </c>
      <c r="AC512">
        <v>5</v>
      </c>
      <c r="AD512">
        <v>6</v>
      </c>
      <c r="AE512">
        <v>16</v>
      </c>
      <c r="AF512">
        <v>14</v>
      </c>
      <c r="AG512">
        <v>14</v>
      </c>
    </row>
    <row r="513" spans="1:33" x14ac:dyDescent="0.35">
      <c r="A513" t="s">
        <v>33</v>
      </c>
      <c r="B513" t="s">
        <v>50</v>
      </c>
      <c r="C513">
        <v>15</v>
      </c>
      <c r="D513" t="s">
        <v>35</v>
      </c>
      <c r="E513" t="s">
        <v>36</v>
      </c>
      <c r="F513" t="s">
        <v>44</v>
      </c>
      <c r="G513">
        <v>4</v>
      </c>
      <c r="H513">
        <v>4</v>
      </c>
      <c r="I513" t="s">
        <v>45</v>
      </c>
      <c r="J513" t="s">
        <v>39</v>
      </c>
      <c r="K513" t="s">
        <v>51</v>
      </c>
      <c r="L513" t="s">
        <v>46</v>
      </c>
      <c r="M513">
        <v>2</v>
      </c>
      <c r="N513">
        <v>2</v>
      </c>
      <c r="O513">
        <v>0</v>
      </c>
      <c r="P513" t="s">
        <v>43</v>
      </c>
      <c r="Q513" t="s">
        <v>42</v>
      </c>
      <c r="R513" t="s">
        <v>43</v>
      </c>
      <c r="S513" t="s">
        <v>42</v>
      </c>
      <c r="T513" t="s">
        <v>42</v>
      </c>
      <c r="U513" t="s">
        <v>42</v>
      </c>
      <c r="V513" t="s">
        <v>43</v>
      </c>
      <c r="W513" t="s">
        <v>43</v>
      </c>
      <c r="X513">
        <v>4</v>
      </c>
      <c r="Y513">
        <v>4</v>
      </c>
      <c r="Z513">
        <v>3</v>
      </c>
      <c r="AA513">
        <v>1</v>
      </c>
      <c r="AB513">
        <v>1</v>
      </c>
      <c r="AC513">
        <v>2</v>
      </c>
      <c r="AD513">
        <v>4</v>
      </c>
      <c r="AE513">
        <v>16</v>
      </c>
      <c r="AF513">
        <v>15</v>
      </c>
      <c r="AG513">
        <v>16</v>
      </c>
    </row>
    <row r="514" spans="1:33" x14ac:dyDescent="0.35">
      <c r="A514" t="s">
        <v>33</v>
      </c>
      <c r="B514" t="s">
        <v>50</v>
      </c>
      <c r="C514">
        <v>16</v>
      </c>
      <c r="D514" t="s">
        <v>35</v>
      </c>
      <c r="E514" t="s">
        <v>36</v>
      </c>
      <c r="F514" t="s">
        <v>44</v>
      </c>
      <c r="G514">
        <v>3</v>
      </c>
      <c r="H514">
        <v>3</v>
      </c>
      <c r="I514" t="s">
        <v>45</v>
      </c>
      <c r="J514" t="s">
        <v>48</v>
      </c>
      <c r="K514" t="s">
        <v>49</v>
      </c>
      <c r="L514" t="s">
        <v>46</v>
      </c>
      <c r="M514">
        <v>2</v>
      </c>
      <c r="N514">
        <v>1</v>
      </c>
      <c r="O514">
        <v>0</v>
      </c>
      <c r="P514" t="s">
        <v>43</v>
      </c>
      <c r="Q514" t="s">
        <v>43</v>
      </c>
      <c r="R514" t="s">
        <v>43</v>
      </c>
      <c r="S514" t="s">
        <v>42</v>
      </c>
      <c r="T514" t="s">
        <v>42</v>
      </c>
      <c r="U514" t="s">
        <v>42</v>
      </c>
      <c r="V514" t="s">
        <v>42</v>
      </c>
      <c r="W514" t="s">
        <v>43</v>
      </c>
      <c r="X514">
        <v>5</v>
      </c>
      <c r="Y514">
        <v>4</v>
      </c>
      <c r="Z514">
        <v>2</v>
      </c>
      <c r="AA514">
        <v>1</v>
      </c>
      <c r="AB514">
        <v>1</v>
      </c>
      <c r="AC514">
        <v>5</v>
      </c>
      <c r="AD514">
        <v>6</v>
      </c>
      <c r="AE514">
        <v>14</v>
      </c>
      <c r="AF514">
        <v>14</v>
      </c>
      <c r="AG514">
        <v>15</v>
      </c>
    </row>
    <row r="515" spans="1:33" x14ac:dyDescent="0.35">
      <c r="A515" t="s">
        <v>33</v>
      </c>
      <c r="B515" t="s">
        <v>50</v>
      </c>
      <c r="C515">
        <v>17</v>
      </c>
      <c r="D515" t="s">
        <v>52</v>
      </c>
      <c r="E515" t="s">
        <v>36</v>
      </c>
      <c r="F515" t="s">
        <v>44</v>
      </c>
      <c r="G515">
        <v>1</v>
      </c>
      <c r="H515">
        <v>3</v>
      </c>
      <c r="I515" t="s">
        <v>45</v>
      </c>
      <c r="J515" t="s">
        <v>45</v>
      </c>
      <c r="K515" t="s">
        <v>40</v>
      </c>
      <c r="L515" t="s">
        <v>46</v>
      </c>
      <c r="M515">
        <v>3</v>
      </c>
      <c r="N515">
        <v>2</v>
      </c>
      <c r="O515">
        <v>1</v>
      </c>
      <c r="P515" t="s">
        <v>43</v>
      </c>
      <c r="Q515" t="s">
        <v>42</v>
      </c>
      <c r="R515" t="s">
        <v>43</v>
      </c>
      <c r="S515" t="s">
        <v>42</v>
      </c>
      <c r="T515" t="s">
        <v>42</v>
      </c>
      <c r="U515" t="s">
        <v>42</v>
      </c>
      <c r="V515" t="s">
        <v>42</v>
      </c>
      <c r="W515" t="s">
        <v>43</v>
      </c>
      <c r="X515">
        <v>5</v>
      </c>
      <c r="Y515">
        <v>2</v>
      </c>
      <c r="Z515">
        <v>4</v>
      </c>
      <c r="AA515">
        <v>1</v>
      </c>
      <c r="AB515">
        <v>4</v>
      </c>
      <c r="AC515">
        <v>5</v>
      </c>
      <c r="AD515">
        <v>14</v>
      </c>
      <c r="AE515">
        <v>12</v>
      </c>
      <c r="AF515">
        <v>11</v>
      </c>
      <c r="AG515">
        <v>11</v>
      </c>
    </row>
    <row r="516" spans="1:33" x14ac:dyDescent="0.35">
      <c r="A516" t="s">
        <v>33</v>
      </c>
      <c r="B516" t="s">
        <v>50</v>
      </c>
      <c r="C516">
        <v>15</v>
      </c>
      <c r="D516" t="s">
        <v>35</v>
      </c>
      <c r="E516" t="s">
        <v>36</v>
      </c>
      <c r="F516" t="s">
        <v>44</v>
      </c>
      <c r="G516">
        <v>3</v>
      </c>
      <c r="H516">
        <v>4</v>
      </c>
      <c r="I516" t="s">
        <v>45</v>
      </c>
      <c r="J516" t="s">
        <v>45</v>
      </c>
      <c r="K516" t="s">
        <v>51</v>
      </c>
      <c r="L516" t="s">
        <v>46</v>
      </c>
      <c r="M516">
        <v>1</v>
      </c>
      <c r="N516">
        <v>1</v>
      </c>
      <c r="O516">
        <v>0</v>
      </c>
      <c r="P516" t="s">
        <v>43</v>
      </c>
      <c r="Q516" t="s">
        <v>43</v>
      </c>
      <c r="R516" t="s">
        <v>43</v>
      </c>
      <c r="S516" t="s">
        <v>43</v>
      </c>
      <c r="T516" t="s">
        <v>42</v>
      </c>
      <c r="U516" t="s">
        <v>42</v>
      </c>
      <c r="V516" t="s">
        <v>42</v>
      </c>
      <c r="W516" t="s">
        <v>43</v>
      </c>
      <c r="X516">
        <v>3</v>
      </c>
      <c r="Y516">
        <v>4</v>
      </c>
      <c r="Z516">
        <v>3</v>
      </c>
      <c r="AA516">
        <v>1</v>
      </c>
      <c r="AB516">
        <v>2</v>
      </c>
      <c r="AC516">
        <v>4</v>
      </c>
      <c r="AD516">
        <v>2</v>
      </c>
      <c r="AE516">
        <v>14</v>
      </c>
      <c r="AF516">
        <v>13</v>
      </c>
      <c r="AG516">
        <v>14</v>
      </c>
    </row>
    <row r="517" spans="1:33" x14ac:dyDescent="0.35">
      <c r="A517" t="s">
        <v>33</v>
      </c>
      <c r="B517" t="s">
        <v>34</v>
      </c>
      <c r="C517">
        <v>15</v>
      </c>
      <c r="D517" t="s">
        <v>35</v>
      </c>
      <c r="E517" t="s">
        <v>36</v>
      </c>
      <c r="F517" t="s">
        <v>44</v>
      </c>
      <c r="G517">
        <v>1</v>
      </c>
      <c r="H517">
        <v>2</v>
      </c>
      <c r="I517" t="s">
        <v>38</v>
      </c>
      <c r="J517" t="s">
        <v>48</v>
      </c>
      <c r="K517" t="s">
        <v>40</v>
      </c>
      <c r="L517" t="s">
        <v>41</v>
      </c>
      <c r="M517">
        <v>1</v>
      </c>
      <c r="N517">
        <v>2</v>
      </c>
      <c r="O517">
        <v>0</v>
      </c>
      <c r="P517" t="s">
        <v>43</v>
      </c>
      <c r="Q517" t="s">
        <v>43</v>
      </c>
      <c r="R517" t="s">
        <v>43</v>
      </c>
      <c r="S517" t="s">
        <v>43</v>
      </c>
      <c r="T517" t="s">
        <v>43</v>
      </c>
      <c r="U517" t="s">
        <v>42</v>
      </c>
      <c r="V517" t="s">
        <v>42</v>
      </c>
      <c r="W517" t="s">
        <v>43</v>
      </c>
      <c r="X517">
        <v>3</v>
      </c>
      <c r="Y517">
        <v>2</v>
      </c>
      <c r="Z517">
        <v>3</v>
      </c>
      <c r="AA517">
        <v>1</v>
      </c>
      <c r="AB517">
        <v>2</v>
      </c>
      <c r="AC517">
        <v>1</v>
      </c>
      <c r="AD517">
        <v>0</v>
      </c>
      <c r="AE517">
        <v>14</v>
      </c>
      <c r="AF517">
        <v>14</v>
      </c>
      <c r="AG517">
        <v>14</v>
      </c>
    </row>
    <row r="518" spans="1:33" x14ac:dyDescent="0.35">
      <c r="A518" t="s">
        <v>33</v>
      </c>
      <c r="B518" t="s">
        <v>50</v>
      </c>
      <c r="C518">
        <v>15</v>
      </c>
      <c r="D518" t="s">
        <v>35</v>
      </c>
      <c r="E518" t="s">
        <v>36</v>
      </c>
      <c r="F518" t="s">
        <v>44</v>
      </c>
      <c r="G518">
        <v>2</v>
      </c>
      <c r="H518">
        <v>2</v>
      </c>
      <c r="I518" t="s">
        <v>48</v>
      </c>
      <c r="J518" t="s">
        <v>48</v>
      </c>
      <c r="K518" t="s">
        <v>49</v>
      </c>
      <c r="L518" t="s">
        <v>46</v>
      </c>
      <c r="M518">
        <v>1</v>
      </c>
      <c r="N518">
        <v>4</v>
      </c>
      <c r="O518">
        <v>0</v>
      </c>
      <c r="P518" t="s">
        <v>43</v>
      </c>
      <c r="Q518" t="s">
        <v>42</v>
      </c>
      <c r="R518" t="s">
        <v>43</v>
      </c>
      <c r="S518" t="s">
        <v>42</v>
      </c>
      <c r="T518" t="s">
        <v>42</v>
      </c>
      <c r="U518" t="s">
        <v>42</v>
      </c>
      <c r="V518" t="s">
        <v>42</v>
      </c>
      <c r="W518" t="s">
        <v>43</v>
      </c>
      <c r="X518">
        <v>5</v>
      </c>
      <c r="Y518">
        <v>5</v>
      </c>
      <c r="Z518">
        <v>4</v>
      </c>
      <c r="AA518">
        <v>1</v>
      </c>
      <c r="AB518">
        <v>2</v>
      </c>
      <c r="AC518">
        <v>5</v>
      </c>
      <c r="AD518">
        <v>6</v>
      </c>
      <c r="AE518">
        <v>14</v>
      </c>
      <c r="AF518">
        <v>13</v>
      </c>
      <c r="AG518">
        <v>13</v>
      </c>
    </row>
    <row r="519" spans="1:33" x14ac:dyDescent="0.35">
      <c r="A519" t="s">
        <v>33</v>
      </c>
      <c r="B519" t="s">
        <v>34</v>
      </c>
      <c r="C519">
        <v>16</v>
      </c>
      <c r="D519" t="s">
        <v>35</v>
      </c>
      <c r="E519" t="s">
        <v>47</v>
      </c>
      <c r="F519" t="s">
        <v>44</v>
      </c>
      <c r="G519">
        <v>2</v>
      </c>
      <c r="H519">
        <v>4</v>
      </c>
      <c r="I519" t="s">
        <v>45</v>
      </c>
      <c r="J519" t="s">
        <v>28</v>
      </c>
      <c r="K519" t="s">
        <v>40</v>
      </c>
      <c r="L519" t="s">
        <v>46</v>
      </c>
      <c r="M519">
        <v>2</v>
      </c>
      <c r="N519">
        <v>2</v>
      </c>
      <c r="O519">
        <v>0</v>
      </c>
      <c r="P519" t="s">
        <v>43</v>
      </c>
      <c r="Q519" t="s">
        <v>42</v>
      </c>
      <c r="R519" t="s">
        <v>43</v>
      </c>
      <c r="S519" t="s">
        <v>42</v>
      </c>
      <c r="T519" t="s">
        <v>42</v>
      </c>
      <c r="U519" t="s">
        <v>42</v>
      </c>
      <c r="V519" t="s">
        <v>42</v>
      </c>
      <c r="W519" t="s">
        <v>42</v>
      </c>
      <c r="X519">
        <v>4</v>
      </c>
      <c r="Y519">
        <v>2</v>
      </c>
      <c r="Z519">
        <v>2</v>
      </c>
      <c r="AA519">
        <v>1</v>
      </c>
      <c r="AB519">
        <v>2</v>
      </c>
      <c r="AC519">
        <v>5</v>
      </c>
      <c r="AD519">
        <v>2</v>
      </c>
      <c r="AE519">
        <v>14</v>
      </c>
      <c r="AF519">
        <v>12</v>
      </c>
      <c r="AG519">
        <v>13</v>
      </c>
    </row>
    <row r="520" spans="1:33" x14ac:dyDescent="0.35">
      <c r="A520" t="s">
        <v>33</v>
      </c>
      <c r="B520" t="s">
        <v>50</v>
      </c>
      <c r="C520">
        <v>16</v>
      </c>
      <c r="D520" t="s">
        <v>35</v>
      </c>
      <c r="E520" t="s">
        <v>36</v>
      </c>
      <c r="F520" t="s">
        <v>44</v>
      </c>
      <c r="G520">
        <v>4</v>
      </c>
      <c r="H520">
        <v>4</v>
      </c>
      <c r="I520" t="s">
        <v>28</v>
      </c>
      <c r="J520" t="s">
        <v>45</v>
      </c>
      <c r="K520" t="s">
        <v>40</v>
      </c>
      <c r="L520" t="s">
        <v>41</v>
      </c>
      <c r="M520">
        <v>1</v>
      </c>
      <c r="N520">
        <v>1</v>
      </c>
      <c r="O520">
        <v>0</v>
      </c>
      <c r="P520" t="s">
        <v>43</v>
      </c>
      <c r="Q520" t="s">
        <v>42</v>
      </c>
      <c r="R520" t="s">
        <v>43</v>
      </c>
      <c r="S520" t="s">
        <v>42</v>
      </c>
      <c r="T520" t="s">
        <v>42</v>
      </c>
      <c r="U520" t="s">
        <v>42</v>
      </c>
      <c r="V520" t="s">
        <v>42</v>
      </c>
      <c r="W520" t="s">
        <v>43</v>
      </c>
      <c r="X520">
        <v>3</v>
      </c>
      <c r="Y520">
        <v>4</v>
      </c>
      <c r="Z520">
        <v>4</v>
      </c>
      <c r="AA520">
        <v>1</v>
      </c>
      <c r="AB520">
        <v>4</v>
      </c>
      <c r="AC520">
        <v>5</v>
      </c>
      <c r="AD520">
        <v>4</v>
      </c>
      <c r="AE520">
        <v>12</v>
      </c>
      <c r="AF520">
        <v>13</v>
      </c>
      <c r="AG520">
        <v>13</v>
      </c>
    </row>
    <row r="521" spans="1:33" x14ac:dyDescent="0.35">
      <c r="A521" t="s">
        <v>33</v>
      </c>
      <c r="B521" t="s">
        <v>34</v>
      </c>
      <c r="C521">
        <v>16</v>
      </c>
      <c r="D521" t="s">
        <v>35</v>
      </c>
      <c r="E521" t="s">
        <v>36</v>
      </c>
      <c r="F521" t="s">
        <v>44</v>
      </c>
      <c r="G521">
        <v>2</v>
      </c>
      <c r="H521">
        <v>2</v>
      </c>
      <c r="I521" t="s">
        <v>45</v>
      </c>
      <c r="J521" t="s">
        <v>45</v>
      </c>
      <c r="K521" t="s">
        <v>49</v>
      </c>
      <c r="L521" t="s">
        <v>41</v>
      </c>
      <c r="M521">
        <v>1</v>
      </c>
      <c r="N521">
        <v>2</v>
      </c>
      <c r="O521">
        <v>0</v>
      </c>
      <c r="P521" t="s">
        <v>43</v>
      </c>
      <c r="Q521" t="s">
        <v>43</v>
      </c>
      <c r="R521" t="s">
        <v>43</v>
      </c>
      <c r="S521" t="s">
        <v>43</v>
      </c>
      <c r="T521" t="s">
        <v>42</v>
      </c>
      <c r="U521" t="s">
        <v>42</v>
      </c>
      <c r="V521" t="s">
        <v>42</v>
      </c>
      <c r="W521" t="s">
        <v>42</v>
      </c>
      <c r="X521">
        <v>5</v>
      </c>
      <c r="Y521">
        <v>4</v>
      </c>
      <c r="Z521">
        <v>4</v>
      </c>
      <c r="AA521">
        <v>1</v>
      </c>
      <c r="AB521">
        <v>1</v>
      </c>
      <c r="AC521">
        <v>5</v>
      </c>
      <c r="AD521">
        <v>0</v>
      </c>
      <c r="AE521">
        <v>12</v>
      </c>
      <c r="AF521">
        <v>11</v>
      </c>
      <c r="AG521">
        <v>11</v>
      </c>
    </row>
    <row r="522" spans="1:33" x14ac:dyDescent="0.35">
      <c r="A522" t="s">
        <v>33</v>
      </c>
      <c r="B522" t="s">
        <v>50</v>
      </c>
      <c r="C522">
        <v>15</v>
      </c>
      <c r="D522" t="s">
        <v>35</v>
      </c>
      <c r="E522" t="s">
        <v>36</v>
      </c>
      <c r="F522" t="s">
        <v>44</v>
      </c>
      <c r="G522">
        <v>3</v>
      </c>
      <c r="H522">
        <v>4</v>
      </c>
      <c r="I522" t="s">
        <v>48</v>
      </c>
      <c r="J522" t="s">
        <v>48</v>
      </c>
      <c r="K522" t="s">
        <v>49</v>
      </c>
      <c r="L522" t="s">
        <v>46</v>
      </c>
      <c r="M522">
        <v>1</v>
      </c>
      <c r="N522">
        <v>1</v>
      </c>
      <c r="O522">
        <v>0</v>
      </c>
      <c r="P522" t="s">
        <v>42</v>
      </c>
      <c r="Q522" t="s">
        <v>43</v>
      </c>
      <c r="R522" t="s">
        <v>43</v>
      </c>
      <c r="S522" t="s">
        <v>43</v>
      </c>
      <c r="T522" t="s">
        <v>42</v>
      </c>
      <c r="U522" t="s">
        <v>42</v>
      </c>
      <c r="V522" t="s">
        <v>42</v>
      </c>
      <c r="W522" t="s">
        <v>43</v>
      </c>
      <c r="X522">
        <v>5</v>
      </c>
      <c r="Y522">
        <v>5</v>
      </c>
      <c r="Z522">
        <v>5</v>
      </c>
      <c r="AA522">
        <v>3</v>
      </c>
      <c r="AB522">
        <v>2</v>
      </c>
      <c r="AC522">
        <v>5</v>
      </c>
      <c r="AD522">
        <v>2</v>
      </c>
      <c r="AE522">
        <v>9</v>
      </c>
      <c r="AF522">
        <v>9</v>
      </c>
      <c r="AG522">
        <v>9</v>
      </c>
    </row>
    <row r="523" spans="1:33" x14ac:dyDescent="0.35">
      <c r="A523" t="s">
        <v>33</v>
      </c>
      <c r="B523" t="s">
        <v>34</v>
      </c>
      <c r="C523">
        <v>15</v>
      </c>
      <c r="D523" t="s">
        <v>35</v>
      </c>
      <c r="E523" t="s">
        <v>47</v>
      </c>
      <c r="F523" t="s">
        <v>37</v>
      </c>
      <c r="G523">
        <v>3</v>
      </c>
      <c r="H523">
        <v>4</v>
      </c>
      <c r="I523" t="s">
        <v>45</v>
      </c>
      <c r="J523" t="s">
        <v>45</v>
      </c>
      <c r="K523" t="s">
        <v>49</v>
      </c>
      <c r="L523" t="s">
        <v>41</v>
      </c>
      <c r="M523">
        <v>1</v>
      </c>
      <c r="N523">
        <v>2</v>
      </c>
      <c r="O523">
        <v>0</v>
      </c>
      <c r="P523" t="s">
        <v>42</v>
      </c>
      <c r="Q523" t="s">
        <v>43</v>
      </c>
      <c r="R523" t="s">
        <v>43</v>
      </c>
      <c r="S523" t="s">
        <v>42</v>
      </c>
      <c r="T523" t="s">
        <v>42</v>
      </c>
      <c r="U523" t="s">
        <v>42</v>
      </c>
      <c r="V523" t="s">
        <v>42</v>
      </c>
      <c r="W523" t="s">
        <v>42</v>
      </c>
      <c r="X523">
        <v>5</v>
      </c>
      <c r="Y523">
        <v>3</v>
      </c>
      <c r="Z523">
        <v>2</v>
      </c>
      <c r="AA523">
        <v>1</v>
      </c>
      <c r="AB523">
        <v>1</v>
      </c>
      <c r="AC523">
        <v>1</v>
      </c>
      <c r="AD523">
        <v>0</v>
      </c>
      <c r="AE523">
        <v>10</v>
      </c>
      <c r="AF523">
        <v>11</v>
      </c>
      <c r="AG523">
        <v>11</v>
      </c>
    </row>
    <row r="524" spans="1:33" x14ac:dyDescent="0.35">
      <c r="A524" t="s">
        <v>33</v>
      </c>
      <c r="B524" t="s">
        <v>34</v>
      </c>
      <c r="C524">
        <v>19</v>
      </c>
      <c r="D524" t="s">
        <v>35</v>
      </c>
      <c r="E524" t="s">
        <v>36</v>
      </c>
      <c r="F524" t="s">
        <v>44</v>
      </c>
      <c r="G524">
        <v>0</v>
      </c>
      <c r="H524">
        <v>1</v>
      </c>
      <c r="I524" t="s">
        <v>38</v>
      </c>
      <c r="J524" t="s">
        <v>45</v>
      </c>
      <c r="K524" t="s">
        <v>40</v>
      </c>
      <c r="L524" t="s">
        <v>45</v>
      </c>
      <c r="M524">
        <v>1</v>
      </c>
      <c r="N524">
        <v>2</v>
      </c>
      <c r="O524">
        <v>2</v>
      </c>
      <c r="P524" t="s">
        <v>43</v>
      </c>
      <c r="Q524" t="s">
        <v>42</v>
      </c>
      <c r="R524" t="s">
        <v>43</v>
      </c>
      <c r="S524" t="s">
        <v>43</v>
      </c>
      <c r="T524" t="s">
        <v>43</v>
      </c>
      <c r="U524" t="s">
        <v>43</v>
      </c>
      <c r="V524" t="s">
        <v>43</v>
      </c>
      <c r="W524" t="s">
        <v>43</v>
      </c>
      <c r="X524">
        <v>3</v>
      </c>
      <c r="Y524">
        <v>4</v>
      </c>
      <c r="Z524">
        <v>2</v>
      </c>
      <c r="AA524">
        <v>1</v>
      </c>
      <c r="AB524">
        <v>1</v>
      </c>
      <c r="AC524">
        <v>5</v>
      </c>
      <c r="AD524">
        <v>0</v>
      </c>
      <c r="AE524">
        <v>9</v>
      </c>
      <c r="AF524">
        <v>10</v>
      </c>
      <c r="AG524">
        <v>11</v>
      </c>
    </row>
    <row r="525" spans="1:33" x14ac:dyDescent="0.35">
      <c r="A525" t="s">
        <v>33</v>
      </c>
      <c r="B525" t="s">
        <v>50</v>
      </c>
      <c r="C525">
        <v>16</v>
      </c>
      <c r="D525" t="s">
        <v>52</v>
      </c>
      <c r="E525" t="s">
        <v>36</v>
      </c>
      <c r="F525" t="s">
        <v>44</v>
      </c>
      <c r="G525">
        <v>4</v>
      </c>
      <c r="H525">
        <v>4</v>
      </c>
      <c r="I525" t="s">
        <v>39</v>
      </c>
      <c r="J525" t="s">
        <v>39</v>
      </c>
      <c r="K525" t="s">
        <v>40</v>
      </c>
      <c r="L525" t="s">
        <v>41</v>
      </c>
      <c r="M525">
        <v>1</v>
      </c>
      <c r="N525">
        <v>1</v>
      </c>
      <c r="O525">
        <v>0</v>
      </c>
      <c r="P525" t="s">
        <v>43</v>
      </c>
      <c r="Q525" t="s">
        <v>43</v>
      </c>
      <c r="R525" t="s">
        <v>43</v>
      </c>
      <c r="S525" t="s">
        <v>42</v>
      </c>
      <c r="T525" t="s">
        <v>42</v>
      </c>
      <c r="U525" t="s">
        <v>42</v>
      </c>
      <c r="V525" t="s">
        <v>42</v>
      </c>
      <c r="W525" t="s">
        <v>43</v>
      </c>
      <c r="X525">
        <v>3</v>
      </c>
      <c r="Y525">
        <v>5</v>
      </c>
      <c r="Z525">
        <v>5</v>
      </c>
      <c r="AA525">
        <v>2</v>
      </c>
      <c r="AB525">
        <v>5</v>
      </c>
      <c r="AC525">
        <v>4</v>
      </c>
      <c r="AD525">
        <v>8</v>
      </c>
      <c r="AE525">
        <v>14</v>
      </c>
      <c r="AF525">
        <v>14</v>
      </c>
      <c r="AG525">
        <v>15</v>
      </c>
    </row>
    <row r="526" spans="1:33" x14ac:dyDescent="0.35">
      <c r="A526" t="s">
        <v>33</v>
      </c>
      <c r="B526" t="s">
        <v>50</v>
      </c>
      <c r="C526">
        <v>16</v>
      </c>
      <c r="D526" t="s">
        <v>35</v>
      </c>
      <c r="E526" t="s">
        <v>36</v>
      </c>
      <c r="F526" t="s">
        <v>44</v>
      </c>
      <c r="G526">
        <v>2</v>
      </c>
      <c r="H526">
        <v>3</v>
      </c>
      <c r="I526" t="s">
        <v>45</v>
      </c>
      <c r="J526" t="s">
        <v>45</v>
      </c>
      <c r="K526" t="s">
        <v>40</v>
      </c>
      <c r="L526" t="s">
        <v>41</v>
      </c>
      <c r="M526">
        <v>2</v>
      </c>
      <c r="N526">
        <v>3</v>
      </c>
      <c r="O526">
        <v>0</v>
      </c>
      <c r="P526" t="s">
        <v>43</v>
      </c>
      <c r="Q526" t="s">
        <v>42</v>
      </c>
      <c r="R526" t="s">
        <v>43</v>
      </c>
      <c r="S526" t="s">
        <v>43</v>
      </c>
      <c r="T526" t="s">
        <v>43</v>
      </c>
      <c r="U526" t="s">
        <v>42</v>
      </c>
      <c r="V526" t="s">
        <v>42</v>
      </c>
      <c r="W526" t="s">
        <v>42</v>
      </c>
      <c r="X526">
        <v>3</v>
      </c>
      <c r="Y526">
        <v>2</v>
      </c>
      <c r="Z526">
        <v>3</v>
      </c>
      <c r="AA526">
        <v>2</v>
      </c>
      <c r="AB526">
        <v>2</v>
      </c>
      <c r="AC526">
        <v>1</v>
      </c>
      <c r="AD526">
        <v>4</v>
      </c>
      <c r="AE526">
        <v>13</v>
      </c>
      <c r="AF526">
        <v>12</v>
      </c>
      <c r="AG526">
        <v>13</v>
      </c>
    </row>
    <row r="527" spans="1:33" x14ac:dyDescent="0.35">
      <c r="A527" t="s">
        <v>33</v>
      </c>
      <c r="B527" t="s">
        <v>34</v>
      </c>
      <c r="C527">
        <v>15</v>
      </c>
      <c r="D527" t="s">
        <v>52</v>
      </c>
      <c r="E527" t="s">
        <v>36</v>
      </c>
      <c r="F527" t="s">
        <v>44</v>
      </c>
      <c r="G527">
        <v>3</v>
      </c>
      <c r="H527">
        <v>4</v>
      </c>
      <c r="I527" t="s">
        <v>48</v>
      </c>
      <c r="J527" t="s">
        <v>39</v>
      </c>
      <c r="K527" t="s">
        <v>40</v>
      </c>
      <c r="L527" t="s">
        <v>46</v>
      </c>
      <c r="M527">
        <v>2</v>
      </c>
      <c r="N527">
        <v>3</v>
      </c>
      <c r="O527">
        <v>0</v>
      </c>
      <c r="P527" t="s">
        <v>43</v>
      </c>
      <c r="Q527" t="s">
        <v>42</v>
      </c>
      <c r="R527" t="s">
        <v>43</v>
      </c>
      <c r="S527" t="s">
        <v>43</v>
      </c>
      <c r="T527" t="s">
        <v>42</v>
      </c>
      <c r="U527" t="s">
        <v>42</v>
      </c>
      <c r="V527" t="s">
        <v>42</v>
      </c>
      <c r="W527" t="s">
        <v>42</v>
      </c>
      <c r="X527">
        <v>4</v>
      </c>
      <c r="Y527">
        <v>2</v>
      </c>
      <c r="Z527">
        <v>2</v>
      </c>
      <c r="AA527">
        <v>2</v>
      </c>
      <c r="AB527">
        <v>2</v>
      </c>
      <c r="AC527">
        <v>5</v>
      </c>
      <c r="AD527">
        <v>0</v>
      </c>
      <c r="AE527">
        <v>10</v>
      </c>
      <c r="AF527">
        <v>11</v>
      </c>
      <c r="AG527">
        <v>12</v>
      </c>
    </row>
    <row r="528" spans="1:33" x14ac:dyDescent="0.35">
      <c r="A528" t="s">
        <v>33</v>
      </c>
      <c r="B528" t="s">
        <v>34</v>
      </c>
      <c r="C528">
        <v>18</v>
      </c>
      <c r="D528" t="s">
        <v>35</v>
      </c>
      <c r="E528" t="s">
        <v>36</v>
      </c>
      <c r="F528" t="s">
        <v>44</v>
      </c>
      <c r="G528">
        <v>2</v>
      </c>
      <c r="H528">
        <v>1</v>
      </c>
      <c r="I528" t="s">
        <v>48</v>
      </c>
      <c r="J528" t="s">
        <v>45</v>
      </c>
      <c r="K528" t="s">
        <v>51</v>
      </c>
      <c r="L528" t="s">
        <v>41</v>
      </c>
      <c r="M528">
        <v>1</v>
      </c>
      <c r="N528">
        <v>2</v>
      </c>
      <c r="O528">
        <v>3</v>
      </c>
      <c r="P528" t="s">
        <v>43</v>
      </c>
      <c r="Q528" t="s">
        <v>42</v>
      </c>
      <c r="R528" t="s">
        <v>43</v>
      </c>
      <c r="S528" t="s">
        <v>42</v>
      </c>
      <c r="T528" t="s">
        <v>42</v>
      </c>
      <c r="U528" t="s">
        <v>43</v>
      </c>
      <c r="V528" t="s">
        <v>42</v>
      </c>
      <c r="W528" t="s">
        <v>42</v>
      </c>
      <c r="X528">
        <v>5</v>
      </c>
      <c r="Y528">
        <v>4</v>
      </c>
      <c r="Z528">
        <v>5</v>
      </c>
      <c r="AA528">
        <v>1</v>
      </c>
      <c r="AB528">
        <v>3</v>
      </c>
      <c r="AC528">
        <v>5</v>
      </c>
      <c r="AD528">
        <v>10</v>
      </c>
      <c r="AE528">
        <v>10</v>
      </c>
      <c r="AF528">
        <v>9</v>
      </c>
      <c r="AG528">
        <v>8</v>
      </c>
    </row>
    <row r="529" spans="1:33" x14ac:dyDescent="0.35">
      <c r="A529" t="s">
        <v>33</v>
      </c>
      <c r="B529" t="s">
        <v>34</v>
      </c>
      <c r="C529">
        <v>17</v>
      </c>
      <c r="D529" t="s">
        <v>35</v>
      </c>
      <c r="E529" t="s">
        <v>47</v>
      </c>
      <c r="F529" t="s">
        <v>37</v>
      </c>
      <c r="G529">
        <v>2</v>
      </c>
      <c r="H529">
        <v>1</v>
      </c>
      <c r="I529" t="s">
        <v>45</v>
      </c>
      <c r="J529" t="s">
        <v>45</v>
      </c>
      <c r="K529" t="s">
        <v>40</v>
      </c>
      <c r="L529" t="s">
        <v>41</v>
      </c>
      <c r="M529">
        <v>3</v>
      </c>
      <c r="N529">
        <v>1</v>
      </c>
      <c r="O529">
        <v>0</v>
      </c>
      <c r="P529" t="s">
        <v>43</v>
      </c>
      <c r="Q529" t="s">
        <v>42</v>
      </c>
      <c r="R529" t="s">
        <v>43</v>
      </c>
      <c r="S529" t="s">
        <v>43</v>
      </c>
      <c r="T529" t="s">
        <v>42</v>
      </c>
      <c r="U529" t="s">
        <v>42</v>
      </c>
      <c r="V529" t="s">
        <v>42</v>
      </c>
      <c r="W529" t="s">
        <v>43</v>
      </c>
      <c r="X529">
        <v>3</v>
      </c>
      <c r="Y529">
        <v>2</v>
      </c>
      <c r="Z529">
        <v>2</v>
      </c>
      <c r="AA529">
        <v>1</v>
      </c>
      <c r="AB529">
        <v>2</v>
      </c>
      <c r="AC529">
        <v>5</v>
      </c>
      <c r="AD529">
        <v>8</v>
      </c>
      <c r="AE529">
        <v>11</v>
      </c>
      <c r="AF529">
        <v>10</v>
      </c>
      <c r="AG529">
        <v>11</v>
      </c>
    </row>
    <row r="530" spans="1:33" x14ac:dyDescent="0.35">
      <c r="A530" t="s">
        <v>33</v>
      </c>
      <c r="B530" t="s">
        <v>34</v>
      </c>
      <c r="C530">
        <v>15</v>
      </c>
      <c r="D530" t="s">
        <v>35</v>
      </c>
      <c r="E530" t="s">
        <v>36</v>
      </c>
      <c r="F530" t="s">
        <v>44</v>
      </c>
      <c r="G530">
        <v>1</v>
      </c>
      <c r="H530">
        <v>1</v>
      </c>
      <c r="I530" t="s">
        <v>38</v>
      </c>
      <c r="J530" t="s">
        <v>45</v>
      </c>
      <c r="K530" t="s">
        <v>40</v>
      </c>
      <c r="L530" t="s">
        <v>41</v>
      </c>
      <c r="M530">
        <v>3</v>
      </c>
      <c r="N530">
        <v>1</v>
      </c>
      <c r="O530">
        <v>0</v>
      </c>
      <c r="P530" t="s">
        <v>43</v>
      </c>
      <c r="Q530" t="s">
        <v>42</v>
      </c>
      <c r="R530" t="s">
        <v>43</v>
      </c>
      <c r="S530" t="s">
        <v>42</v>
      </c>
      <c r="T530" t="s">
        <v>43</v>
      </c>
      <c r="U530" t="s">
        <v>42</v>
      </c>
      <c r="V530" t="s">
        <v>42</v>
      </c>
      <c r="W530" t="s">
        <v>42</v>
      </c>
      <c r="X530">
        <v>4</v>
      </c>
      <c r="Y530">
        <v>3</v>
      </c>
      <c r="Z530">
        <v>3</v>
      </c>
      <c r="AA530">
        <v>1</v>
      </c>
      <c r="AB530">
        <v>2</v>
      </c>
      <c r="AC530">
        <v>4</v>
      </c>
      <c r="AD530">
        <v>6</v>
      </c>
      <c r="AE530">
        <v>11</v>
      </c>
      <c r="AF530">
        <v>12</v>
      </c>
      <c r="AG530">
        <v>13</v>
      </c>
    </row>
    <row r="531" spans="1:33" x14ac:dyDescent="0.35">
      <c r="A531" t="s">
        <v>33</v>
      </c>
      <c r="B531" t="s">
        <v>34</v>
      </c>
      <c r="C531">
        <v>17</v>
      </c>
      <c r="D531" t="s">
        <v>35</v>
      </c>
      <c r="E531" t="s">
        <v>47</v>
      </c>
      <c r="F531" t="s">
        <v>44</v>
      </c>
      <c r="G531">
        <v>2</v>
      </c>
      <c r="H531">
        <v>2</v>
      </c>
      <c r="I531" t="s">
        <v>45</v>
      </c>
      <c r="J531" t="s">
        <v>45</v>
      </c>
      <c r="K531" t="s">
        <v>40</v>
      </c>
      <c r="L531" t="s">
        <v>46</v>
      </c>
      <c r="M531">
        <v>1</v>
      </c>
      <c r="N531">
        <v>1</v>
      </c>
      <c r="O531">
        <v>0</v>
      </c>
      <c r="P531" t="s">
        <v>43</v>
      </c>
      <c r="Q531" t="s">
        <v>42</v>
      </c>
      <c r="R531" t="s">
        <v>43</v>
      </c>
      <c r="S531" t="s">
        <v>43</v>
      </c>
      <c r="T531" t="s">
        <v>42</v>
      </c>
      <c r="U531" t="s">
        <v>42</v>
      </c>
      <c r="V531" t="s">
        <v>42</v>
      </c>
      <c r="W531" t="s">
        <v>42</v>
      </c>
      <c r="X531">
        <v>3</v>
      </c>
      <c r="Y531">
        <v>4</v>
      </c>
      <c r="Z531">
        <v>4</v>
      </c>
      <c r="AA531">
        <v>1</v>
      </c>
      <c r="AB531">
        <v>3</v>
      </c>
      <c r="AC531">
        <v>5</v>
      </c>
      <c r="AD531">
        <v>2</v>
      </c>
      <c r="AE531">
        <v>13</v>
      </c>
      <c r="AF531">
        <v>12</v>
      </c>
      <c r="AG531">
        <v>12</v>
      </c>
    </row>
    <row r="532" spans="1:33" x14ac:dyDescent="0.35">
      <c r="A532" t="s">
        <v>33</v>
      </c>
      <c r="B532" t="s">
        <v>34</v>
      </c>
      <c r="C532">
        <v>16</v>
      </c>
      <c r="D532" t="s">
        <v>35</v>
      </c>
      <c r="E532" t="s">
        <v>36</v>
      </c>
      <c r="F532" t="s">
        <v>37</v>
      </c>
      <c r="G532">
        <v>3</v>
      </c>
      <c r="H532">
        <v>4</v>
      </c>
      <c r="I532" t="s">
        <v>48</v>
      </c>
      <c r="J532" t="s">
        <v>45</v>
      </c>
      <c r="K532" t="s">
        <v>40</v>
      </c>
      <c r="L532" t="s">
        <v>46</v>
      </c>
      <c r="M532">
        <v>1</v>
      </c>
      <c r="N532">
        <v>1</v>
      </c>
      <c r="O532">
        <v>0</v>
      </c>
      <c r="P532" t="s">
        <v>43</v>
      </c>
      <c r="Q532" t="s">
        <v>43</v>
      </c>
      <c r="R532" t="s">
        <v>43</v>
      </c>
      <c r="S532" t="s">
        <v>43</v>
      </c>
      <c r="T532" t="s">
        <v>42</v>
      </c>
      <c r="U532" t="s">
        <v>42</v>
      </c>
      <c r="V532" t="s">
        <v>42</v>
      </c>
      <c r="W532" t="s">
        <v>43</v>
      </c>
      <c r="X532">
        <v>3</v>
      </c>
      <c r="Y532">
        <v>2</v>
      </c>
      <c r="Z532">
        <v>1</v>
      </c>
      <c r="AA532">
        <v>1</v>
      </c>
      <c r="AB532">
        <v>4</v>
      </c>
      <c r="AC532">
        <v>5</v>
      </c>
      <c r="AD532">
        <v>12</v>
      </c>
      <c r="AE532">
        <v>15</v>
      </c>
      <c r="AF532">
        <v>13</v>
      </c>
      <c r="AG532">
        <v>14</v>
      </c>
    </row>
    <row r="533" spans="1:33" x14ac:dyDescent="0.35">
      <c r="A533" t="s">
        <v>33</v>
      </c>
      <c r="B533" t="s">
        <v>50</v>
      </c>
      <c r="C533">
        <v>16</v>
      </c>
      <c r="D533" t="s">
        <v>35</v>
      </c>
      <c r="E533" t="s">
        <v>36</v>
      </c>
      <c r="F533" t="s">
        <v>44</v>
      </c>
      <c r="G533">
        <v>2</v>
      </c>
      <c r="H533">
        <v>1</v>
      </c>
      <c r="I533" t="s">
        <v>38</v>
      </c>
      <c r="J533" t="s">
        <v>45</v>
      </c>
      <c r="K533" t="s">
        <v>40</v>
      </c>
      <c r="L533" t="s">
        <v>41</v>
      </c>
      <c r="M533">
        <v>4</v>
      </c>
      <c r="N533">
        <v>1</v>
      </c>
      <c r="O533">
        <v>0</v>
      </c>
      <c r="P533" t="s">
        <v>43</v>
      </c>
      <c r="Q533" t="s">
        <v>43</v>
      </c>
      <c r="R533" t="s">
        <v>43</v>
      </c>
      <c r="S533" t="s">
        <v>43</v>
      </c>
      <c r="T533" t="s">
        <v>42</v>
      </c>
      <c r="U533" t="s">
        <v>42</v>
      </c>
      <c r="V533" t="s">
        <v>43</v>
      </c>
      <c r="W533" t="s">
        <v>43</v>
      </c>
      <c r="X533">
        <v>3</v>
      </c>
      <c r="Y533">
        <v>2</v>
      </c>
      <c r="Z533">
        <v>1</v>
      </c>
      <c r="AA533">
        <v>1</v>
      </c>
      <c r="AB533">
        <v>1</v>
      </c>
      <c r="AC533">
        <v>2</v>
      </c>
      <c r="AD533">
        <v>4</v>
      </c>
      <c r="AE533">
        <v>9</v>
      </c>
      <c r="AF533">
        <v>9</v>
      </c>
      <c r="AG533">
        <v>11</v>
      </c>
    </row>
    <row r="534" spans="1:33" x14ac:dyDescent="0.35">
      <c r="A534" t="s">
        <v>33</v>
      </c>
      <c r="B534" t="s">
        <v>34</v>
      </c>
      <c r="C534">
        <v>16</v>
      </c>
      <c r="D534" t="s">
        <v>35</v>
      </c>
      <c r="E534" t="s">
        <v>36</v>
      </c>
      <c r="F534" t="s">
        <v>37</v>
      </c>
      <c r="G534">
        <v>2</v>
      </c>
      <c r="H534">
        <v>2</v>
      </c>
      <c r="I534" t="s">
        <v>45</v>
      </c>
      <c r="J534" t="s">
        <v>45</v>
      </c>
      <c r="K534" t="s">
        <v>49</v>
      </c>
      <c r="L534" t="s">
        <v>41</v>
      </c>
      <c r="M534">
        <v>1</v>
      </c>
      <c r="N534">
        <v>1</v>
      </c>
      <c r="O534">
        <v>1</v>
      </c>
      <c r="P534" t="s">
        <v>43</v>
      </c>
      <c r="Q534" t="s">
        <v>43</v>
      </c>
      <c r="R534" t="s">
        <v>43</v>
      </c>
      <c r="S534" t="s">
        <v>43</v>
      </c>
      <c r="T534" t="s">
        <v>42</v>
      </c>
      <c r="U534" t="s">
        <v>42</v>
      </c>
      <c r="V534" t="s">
        <v>43</v>
      </c>
      <c r="W534" t="s">
        <v>43</v>
      </c>
      <c r="X534">
        <v>5</v>
      </c>
      <c r="Y534">
        <v>3</v>
      </c>
      <c r="Z534">
        <v>4</v>
      </c>
      <c r="AA534">
        <v>1</v>
      </c>
      <c r="AB534">
        <v>1</v>
      </c>
      <c r="AC534">
        <v>5</v>
      </c>
      <c r="AD534">
        <v>12</v>
      </c>
      <c r="AE534">
        <v>13</v>
      </c>
      <c r="AF534">
        <v>11</v>
      </c>
      <c r="AG534">
        <v>11</v>
      </c>
    </row>
    <row r="535" spans="1:33" x14ac:dyDescent="0.35">
      <c r="A535" t="s">
        <v>33</v>
      </c>
      <c r="B535" t="s">
        <v>50</v>
      </c>
      <c r="C535">
        <v>15</v>
      </c>
      <c r="D535" t="s">
        <v>52</v>
      </c>
      <c r="E535" t="s">
        <v>36</v>
      </c>
      <c r="F535" t="s">
        <v>44</v>
      </c>
      <c r="G535">
        <v>3</v>
      </c>
      <c r="H535">
        <v>4</v>
      </c>
      <c r="I535" t="s">
        <v>38</v>
      </c>
      <c r="J535" t="s">
        <v>39</v>
      </c>
      <c r="K535" t="s">
        <v>40</v>
      </c>
      <c r="L535" t="s">
        <v>41</v>
      </c>
      <c r="M535">
        <v>4</v>
      </c>
      <c r="N535">
        <v>2</v>
      </c>
      <c r="O535">
        <v>0</v>
      </c>
      <c r="P535" t="s">
        <v>43</v>
      </c>
      <c r="Q535" t="s">
        <v>42</v>
      </c>
      <c r="R535" t="s">
        <v>43</v>
      </c>
      <c r="S535" t="s">
        <v>43</v>
      </c>
      <c r="T535" t="s">
        <v>42</v>
      </c>
      <c r="U535" t="s">
        <v>42</v>
      </c>
      <c r="V535" t="s">
        <v>43</v>
      </c>
      <c r="W535" t="s">
        <v>42</v>
      </c>
      <c r="X535">
        <v>5</v>
      </c>
      <c r="Y535">
        <v>3</v>
      </c>
      <c r="Z535">
        <v>3</v>
      </c>
      <c r="AA535">
        <v>1</v>
      </c>
      <c r="AB535">
        <v>1</v>
      </c>
      <c r="AC535">
        <v>5</v>
      </c>
      <c r="AD535">
        <v>2</v>
      </c>
      <c r="AE535">
        <v>12</v>
      </c>
      <c r="AF535">
        <v>11</v>
      </c>
      <c r="AG535">
        <v>11</v>
      </c>
    </row>
    <row r="536" spans="1:33" x14ac:dyDescent="0.35">
      <c r="A536" t="s">
        <v>33</v>
      </c>
      <c r="B536" t="s">
        <v>34</v>
      </c>
      <c r="C536">
        <v>15</v>
      </c>
      <c r="D536" t="s">
        <v>35</v>
      </c>
      <c r="E536" t="s">
        <v>36</v>
      </c>
      <c r="F536" t="s">
        <v>44</v>
      </c>
      <c r="G536">
        <v>4</v>
      </c>
      <c r="H536">
        <v>4</v>
      </c>
      <c r="I536" t="s">
        <v>48</v>
      </c>
      <c r="J536" t="s">
        <v>38</v>
      </c>
      <c r="K536" t="s">
        <v>40</v>
      </c>
      <c r="L536" t="s">
        <v>41</v>
      </c>
      <c r="M536">
        <v>1</v>
      </c>
      <c r="N536">
        <v>3</v>
      </c>
      <c r="O536">
        <v>0</v>
      </c>
      <c r="P536" t="s">
        <v>43</v>
      </c>
      <c r="Q536" t="s">
        <v>42</v>
      </c>
      <c r="R536" t="s">
        <v>43</v>
      </c>
      <c r="S536" t="s">
        <v>42</v>
      </c>
      <c r="T536" t="s">
        <v>42</v>
      </c>
      <c r="U536" t="s">
        <v>42</v>
      </c>
      <c r="V536" t="s">
        <v>42</v>
      </c>
      <c r="W536" t="s">
        <v>42</v>
      </c>
      <c r="X536">
        <v>4</v>
      </c>
      <c r="Y536">
        <v>3</v>
      </c>
      <c r="Z536">
        <v>3</v>
      </c>
      <c r="AA536">
        <v>1</v>
      </c>
      <c r="AB536">
        <v>1</v>
      </c>
      <c r="AC536">
        <v>5</v>
      </c>
      <c r="AD536">
        <v>4</v>
      </c>
      <c r="AE536">
        <v>13</v>
      </c>
      <c r="AF536">
        <v>14</v>
      </c>
      <c r="AG536">
        <v>15</v>
      </c>
    </row>
    <row r="537" spans="1:33" x14ac:dyDescent="0.35">
      <c r="A537" t="s">
        <v>33</v>
      </c>
      <c r="B537" t="s">
        <v>50</v>
      </c>
      <c r="C537">
        <v>17</v>
      </c>
      <c r="D537" t="s">
        <v>52</v>
      </c>
      <c r="E537" t="s">
        <v>36</v>
      </c>
      <c r="F537" t="s">
        <v>44</v>
      </c>
      <c r="G537">
        <v>3</v>
      </c>
      <c r="H537">
        <v>4</v>
      </c>
      <c r="I537" t="s">
        <v>38</v>
      </c>
      <c r="J537" t="s">
        <v>45</v>
      </c>
      <c r="K537" t="s">
        <v>40</v>
      </c>
      <c r="L537" t="s">
        <v>41</v>
      </c>
      <c r="M537">
        <v>3</v>
      </c>
      <c r="N537">
        <v>2</v>
      </c>
      <c r="O537">
        <v>0</v>
      </c>
      <c r="P537" t="s">
        <v>43</v>
      </c>
      <c r="Q537" t="s">
        <v>43</v>
      </c>
      <c r="R537" t="s">
        <v>43</v>
      </c>
      <c r="S537" t="s">
        <v>43</v>
      </c>
      <c r="T537" t="s">
        <v>42</v>
      </c>
      <c r="U537" t="s">
        <v>42</v>
      </c>
      <c r="V537" t="s">
        <v>43</v>
      </c>
      <c r="W537" t="s">
        <v>43</v>
      </c>
      <c r="X537">
        <v>5</v>
      </c>
      <c r="Y537">
        <v>4</v>
      </c>
      <c r="Z537">
        <v>5</v>
      </c>
      <c r="AA537">
        <v>2</v>
      </c>
      <c r="AB537">
        <v>4</v>
      </c>
      <c r="AC537">
        <v>5</v>
      </c>
      <c r="AD537">
        <v>2</v>
      </c>
      <c r="AE537">
        <v>10</v>
      </c>
      <c r="AF537">
        <v>9</v>
      </c>
      <c r="AG537">
        <v>10</v>
      </c>
    </row>
    <row r="538" spans="1:33" x14ac:dyDescent="0.35">
      <c r="A538" t="s">
        <v>33</v>
      </c>
      <c r="B538" t="s">
        <v>34</v>
      </c>
      <c r="C538">
        <v>16</v>
      </c>
      <c r="D538" t="s">
        <v>52</v>
      </c>
      <c r="E538" t="s">
        <v>36</v>
      </c>
      <c r="F538" t="s">
        <v>44</v>
      </c>
      <c r="G538">
        <v>1</v>
      </c>
      <c r="H538">
        <v>1</v>
      </c>
      <c r="I538" t="s">
        <v>38</v>
      </c>
      <c r="J538" t="s">
        <v>45</v>
      </c>
      <c r="K538" t="s">
        <v>40</v>
      </c>
      <c r="L538" t="s">
        <v>41</v>
      </c>
      <c r="M538">
        <v>4</v>
      </c>
      <c r="N538">
        <v>2</v>
      </c>
      <c r="O538">
        <v>0</v>
      </c>
      <c r="P538" t="s">
        <v>43</v>
      </c>
      <c r="Q538" t="s">
        <v>42</v>
      </c>
      <c r="R538" t="s">
        <v>43</v>
      </c>
      <c r="S538" t="s">
        <v>43</v>
      </c>
      <c r="T538" t="s">
        <v>42</v>
      </c>
      <c r="U538" t="s">
        <v>42</v>
      </c>
      <c r="V538" t="s">
        <v>43</v>
      </c>
      <c r="W538" t="s">
        <v>43</v>
      </c>
      <c r="X538">
        <v>5</v>
      </c>
      <c r="Y538">
        <v>1</v>
      </c>
      <c r="Z538">
        <v>3</v>
      </c>
      <c r="AA538">
        <v>1</v>
      </c>
      <c r="AB538">
        <v>1</v>
      </c>
      <c r="AC538">
        <v>3</v>
      </c>
      <c r="AD538">
        <v>0</v>
      </c>
      <c r="AE538">
        <v>14</v>
      </c>
      <c r="AF538">
        <v>13</v>
      </c>
      <c r="AG538">
        <v>13</v>
      </c>
    </row>
    <row r="539" spans="1:33" x14ac:dyDescent="0.35">
      <c r="A539" t="s">
        <v>33</v>
      </c>
      <c r="B539" t="s">
        <v>50</v>
      </c>
      <c r="C539">
        <v>18</v>
      </c>
      <c r="D539" t="s">
        <v>35</v>
      </c>
      <c r="E539" t="s">
        <v>47</v>
      </c>
      <c r="F539" t="s">
        <v>44</v>
      </c>
      <c r="G539">
        <v>3</v>
      </c>
      <c r="H539">
        <v>1</v>
      </c>
      <c r="I539" t="s">
        <v>48</v>
      </c>
      <c r="J539" t="s">
        <v>48</v>
      </c>
      <c r="K539" t="s">
        <v>40</v>
      </c>
      <c r="L539" t="s">
        <v>41</v>
      </c>
      <c r="M539">
        <v>2</v>
      </c>
      <c r="N539">
        <v>1</v>
      </c>
      <c r="O539">
        <v>0</v>
      </c>
      <c r="P539" t="s">
        <v>43</v>
      </c>
      <c r="Q539" t="s">
        <v>43</v>
      </c>
      <c r="R539" t="s">
        <v>43</v>
      </c>
      <c r="S539" t="s">
        <v>42</v>
      </c>
      <c r="T539" t="s">
        <v>42</v>
      </c>
      <c r="U539" t="s">
        <v>42</v>
      </c>
      <c r="V539" t="s">
        <v>42</v>
      </c>
      <c r="W539" t="s">
        <v>42</v>
      </c>
      <c r="X539">
        <v>3</v>
      </c>
      <c r="Y539">
        <v>3</v>
      </c>
      <c r="Z539">
        <v>4</v>
      </c>
      <c r="AA539">
        <v>4</v>
      </c>
      <c r="AB539">
        <v>5</v>
      </c>
      <c r="AC539">
        <v>4</v>
      </c>
      <c r="AD539">
        <v>2</v>
      </c>
      <c r="AE539">
        <v>11</v>
      </c>
      <c r="AF539">
        <v>11</v>
      </c>
      <c r="AG539">
        <v>12</v>
      </c>
    </row>
    <row r="540" spans="1:33" x14ac:dyDescent="0.35">
      <c r="A540" t="s">
        <v>33</v>
      </c>
      <c r="B540" t="s">
        <v>34</v>
      </c>
      <c r="C540">
        <v>18</v>
      </c>
      <c r="D540" t="s">
        <v>35</v>
      </c>
      <c r="E540" t="s">
        <v>36</v>
      </c>
      <c r="F540" t="s">
        <v>37</v>
      </c>
      <c r="G540">
        <v>3</v>
      </c>
      <c r="H540">
        <v>2</v>
      </c>
      <c r="I540" t="s">
        <v>45</v>
      </c>
      <c r="J540" t="s">
        <v>48</v>
      </c>
      <c r="K540" t="s">
        <v>40</v>
      </c>
      <c r="L540" t="s">
        <v>45</v>
      </c>
      <c r="M540">
        <v>1</v>
      </c>
      <c r="N540">
        <v>3</v>
      </c>
      <c r="O540">
        <v>0</v>
      </c>
      <c r="P540" t="s">
        <v>43</v>
      </c>
      <c r="Q540" t="s">
        <v>42</v>
      </c>
      <c r="R540" t="s">
        <v>43</v>
      </c>
      <c r="S540" t="s">
        <v>42</v>
      </c>
      <c r="T540" t="s">
        <v>43</v>
      </c>
      <c r="U540" t="s">
        <v>42</v>
      </c>
      <c r="V540" t="s">
        <v>42</v>
      </c>
      <c r="W540" t="s">
        <v>42</v>
      </c>
      <c r="X540">
        <v>4</v>
      </c>
      <c r="Y540">
        <v>3</v>
      </c>
      <c r="Z540">
        <v>3</v>
      </c>
      <c r="AA540">
        <v>5</v>
      </c>
      <c r="AB540">
        <v>1</v>
      </c>
      <c r="AC540">
        <v>5</v>
      </c>
      <c r="AD540">
        <v>10</v>
      </c>
      <c r="AE540">
        <v>12</v>
      </c>
      <c r="AF540">
        <v>11</v>
      </c>
      <c r="AG540">
        <v>11</v>
      </c>
    </row>
    <row r="541" spans="1:33" x14ac:dyDescent="0.35">
      <c r="A541" t="s">
        <v>33</v>
      </c>
      <c r="B541" t="s">
        <v>34</v>
      </c>
      <c r="C541">
        <v>16</v>
      </c>
      <c r="D541" t="s">
        <v>52</v>
      </c>
      <c r="E541" t="s">
        <v>36</v>
      </c>
      <c r="F541" t="s">
        <v>44</v>
      </c>
      <c r="G541">
        <v>1</v>
      </c>
      <c r="H541">
        <v>1</v>
      </c>
      <c r="I541" t="s">
        <v>45</v>
      </c>
      <c r="J541" t="s">
        <v>48</v>
      </c>
      <c r="K541" t="s">
        <v>51</v>
      </c>
      <c r="L541" t="s">
        <v>41</v>
      </c>
      <c r="M541">
        <v>2</v>
      </c>
      <c r="N541">
        <v>1</v>
      </c>
      <c r="O541">
        <v>0</v>
      </c>
      <c r="P541" t="s">
        <v>43</v>
      </c>
      <c r="Q541" t="s">
        <v>42</v>
      </c>
      <c r="R541" t="s">
        <v>43</v>
      </c>
      <c r="S541" t="s">
        <v>42</v>
      </c>
      <c r="T541" t="s">
        <v>42</v>
      </c>
      <c r="U541" t="s">
        <v>42</v>
      </c>
      <c r="V541" t="s">
        <v>43</v>
      </c>
      <c r="W541" t="s">
        <v>42</v>
      </c>
      <c r="X541">
        <v>3</v>
      </c>
      <c r="Y541">
        <v>3</v>
      </c>
      <c r="Z541">
        <v>3</v>
      </c>
      <c r="AA541">
        <v>1</v>
      </c>
      <c r="AB541">
        <v>2</v>
      </c>
      <c r="AC541">
        <v>1</v>
      </c>
      <c r="AD541">
        <v>8</v>
      </c>
      <c r="AE541">
        <v>12</v>
      </c>
      <c r="AF541">
        <v>11</v>
      </c>
      <c r="AG541">
        <v>11</v>
      </c>
    </row>
    <row r="542" spans="1:33" x14ac:dyDescent="0.35">
      <c r="A542" t="s">
        <v>33</v>
      </c>
      <c r="B542" t="s">
        <v>34</v>
      </c>
      <c r="C542">
        <v>16</v>
      </c>
      <c r="D542" t="s">
        <v>35</v>
      </c>
      <c r="E542" t="s">
        <v>36</v>
      </c>
      <c r="F542" t="s">
        <v>37</v>
      </c>
      <c r="G542">
        <v>3</v>
      </c>
      <c r="H542">
        <v>3</v>
      </c>
      <c r="I542" t="s">
        <v>45</v>
      </c>
      <c r="J542" t="s">
        <v>45</v>
      </c>
      <c r="K542" t="s">
        <v>40</v>
      </c>
      <c r="L542" t="s">
        <v>45</v>
      </c>
      <c r="M542">
        <v>2</v>
      </c>
      <c r="N542">
        <v>1</v>
      </c>
      <c r="O542">
        <v>0</v>
      </c>
      <c r="P542" t="s">
        <v>43</v>
      </c>
      <c r="Q542" t="s">
        <v>42</v>
      </c>
      <c r="R542" t="s">
        <v>43</v>
      </c>
      <c r="S542" t="s">
        <v>42</v>
      </c>
      <c r="T542" t="s">
        <v>43</v>
      </c>
      <c r="U542" t="s">
        <v>42</v>
      </c>
      <c r="V542" t="s">
        <v>42</v>
      </c>
      <c r="W542" t="s">
        <v>42</v>
      </c>
      <c r="X542">
        <v>4</v>
      </c>
      <c r="Y542">
        <v>3</v>
      </c>
      <c r="Z542">
        <v>2</v>
      </c>
      <c r="AA542">
        <v>1</v>
      </c>
      <c r="AB542">
        <v>1</v>
      </c>
      <c r="AC542">
        <v>5</v>
      </c>
      <c r="AD542">
        <v>4</v>
      </c>
      <c r="AE542">
        <v>9</v>
      </c>
      <c r="AF542">
        <v>9</v>
      </c>
      <c r="AG542">
        <v>10</v>
      </c>
    </row>
    <row r="543" spans="1:33" x14ac:dyDescent="0.35">
      <c r="A543" t="s">
        <v>33</v>
      </c>
      <c r="B543" t="s">
        <v>50</v>
      </c>
      <c r="C543">
        <v>16</v>
      </c>
      <c r="D543" t="s">
        <v>35</v>
      </c>
      <c r="E543" t="s">
        <v>47</v>
      </c>
      <c r="F543" t="s">
        <v>44</v>
      </c>
      <c r="G543">
        <v>1</v>
      </c>
      <c r="H543">
        <v>1</v>
      </c>
      <c r="I543" t="s">
        <v>48</v>
      </c>
      <c r="J543" t="s">
        <v>45</v>
      </c>
      <c r="K543" t="s">
        <v>40</v>
      </c>
      <c r="L543" t="s">
        <v>41</v>
      </c>
      <c r="M543">
        <v>1</v>
      </c>
      <c r="N543">
        <v>2</v>
      </c>
      <c r="O543">
        <v>2</v>
      </c>
      <c r="P543" t="s">
        <v>43</v>
      </c>
      <c r="Q543" t="s">
        <v>43</v>
      </c>
      <c r="R543" t="s">
        <v>43</v>
      </c>
      <c r="S543" t="s">
        <v>43</v>
      </c>
      <c r="T543" t="s">
        <v>42</v>
      </c>
      <c r="U543" t="s">
        <v>42</v>
      </c>
      <c r="V543" t="s">
        <v>43</v>
      </c>
      <c r="W543" t="s">
        <v>42</v>
      </c>
      <c r="X543">
        <v>4</v>
      </c>
      <c r="Y543">
        <v>4</v>
      </c>
      <c r="Z543">
        <v>4</v>
      </c>
      <c r="AA543">
        <v>1</v>
      </c>
      <c r="AB543">
        <v>3</v>
      </c>
      <c r="AC543">
        <v>5</v>
      </c>
      <c r="AD543">
        <v>0</v>
      </c>
      <c r="AE543">
        <v>10</v>
      </c>
      <c r="AF543">
        <v>10</v>
      </c>
      <c r="AG543">
        <v>10</v>
      </c>
    </row>
    <row r="544" spans="1:33" x14ac:dyDescent="0.35">
      <c r="A544" t="s">
        <v>33</v>
      </c>
      <c r="B544" t="s">
        <v>34</v>
      </c>
      <c r="C544">
        <v>15</v>
      </c>
      <c r="D544" t="s">
        <v>35</v>
      </c>
      <c r="E544" t="s">
        <v>36</v>
      </c>
      <c r="F544" t="s">
        <v>44</v>
      </c>
      <c r="G544">
        <v>4</v>
      </c>
      <c r="H544">
        <v>4</v>
      </c>
      <c r="I544" t="s">
        <v>39</v>
      </c>
      <c r="J544" t="s">
        <v>39</v>
      </c>
      <c r="K544" t="s">
        <v>40</v>
      </c>
      <c r="L544" t="s">
        <v>41</v>
      </c>
      <c r="M544">
        <v>2</v>
      </c>
      <c r="N544">
        <v>1</v>
      </c>
      <c r="O544">
        <v>0</v>
      </c>
      <c r="P544" t="s">
        <v>43</v>
      </c>
      <c r="Q544" t="s">
        <v>43</v>
      </c>
      <c r="R544" t="s">
        <v>43</v>
      </c>
      <c r="S544" t="s">
        <v>42</v>
      </c>
      <c r="T544" t="s">
        <v>42</v>
      </c>
      <c r="U544" t="s">
        <v>42</v>
      </c>
      <c r="V544" t="s">
        <v>42</v>
      </c>
      <c r="W544" t="s">
        <v>43</v>
      </c>
      <c r="X544">
        <v>4</v>
      </c>
      <c r="Y544">
        <v>3</v>
      </c>
      <c r="Z544">
        <v>2</v>
      </c>
      <c r="AA544">
        <v>1</v>
      </c>
      <c r="AB544">
        <v>1</v>
      </c>
      <c r="AC544">
        <v>5</v>
      </c>
      <c r="AD544">
        <v>6</v>
      </c>
      <c r="AE544">
        <v>13</v>
      </c>
      <c r="AF544">
        <v>14</v>
      </c>
      <c r="AG544">
        <v>14</v>
      </c>
    </row>
    <row r="545" spans="1:33" x14ac:dyDescent="0.35">
      <c r="A545" t="s">
        <v>33</v>
      </c>
      <c r="B545" t="s">
        <v>34</v>
      </c>
      <c r="C545">
        <v>15</v>
      </c>
      <c r="D545" t="s">
        <v>52</v>
      </c>
      <c r="E545" t="s">
        <v>36</v>
      </c>
      <c r="F545" t="s">
        <v>44</v>
      </c>
      <c r="G545">
        <v>1</v>
      </c>
      <c r="H545">
        <v>1</v>
      </c>
      <c r="I545" t="s">
        <v>45</v>
      </c>
      <c r="J545" t="s">
        <v>45</v>
      </c>
      <c r="K545" t="s">
        <v>40</v>
      </c>
      <c r="L545" t="s">
        <v>41</v>
      </c>
      <c r="M545">
        <v>3</v>
      </c>
      <c r="N545">
        <v>1</v>
      </c>
      <c r="O545">
        <v>1</v>
      </c>
      <c r="P545" t="s">
        <v>43</v>
      </c>
      <c r="Q545" t="s">
        <v>43</v>
      </c>
      <c r="R545" t="s">
        <v>43</v>
      </c>
      <c r="S545" t="s">
        <v>42</v>
      </c>
      <c r="T545" t="s">
        <v>42</v>
      </c>
      <c r="U545" t="s">
        <v>42</v>
      </c>
      <c r="V545" t="s">
        <v>42</v>
      </c>
      <c r="W545" t="s">
        <v>42</v>
      </c>
      <c r="X545">
        <v>5</v>
      </c>
      <c r="Y545">
        <v>5</v>
      </c>
      <c r="Z545">
        <v>5</v>
      </c>
      <c r="AA545">
        <v>1</v>
      </c>
      <c r="AB545">
        <v>1</v>
      </c>
      <c r="AC545">
        <v>1</v>
      </c>
      <c r="AD545">
        <v>2</v>
      </c>
      <c r="AE545">
        <v>8</v>
      </c>
      <c r="AF545">
        <v>9</v>
      </c>
      <c r="AG545">
        <v>9</v>
      </c>
    </row>
    <row r="546" spans="1:33" x14ac:dyDescent="0.35">
      <c r="A546" t="s">
        <v>33</v>
      </c>
      <c r="B546" t="s">
        <v>50</v>
      </c>
      <c r="C546">
        <v>15</v>
      </c>
      <c r="D546" t="s">
        <v>35</v>
      </c>
      <c r="E546" t="s">
        <v>36</v>
      </c>
      <c r="F546" t="s">
        <v>44</v>
      </c>
      <c r="G546">
        <v>4</v>
      </c>
      <c r="H546">
        <v>3</v>
      </c>
      <c r="I546" t="s">
        <v>39</v>
      </c>
      <c r="J546" t="s">
        <v>48</v>
      </c>
      <c r="K546" t="s">
        <v>40</v>
      </c>
      <c r="L546" t="s">
        <v>46</v>
      </c>
      <c r="M546">
        <v>2</v>
      </c>
      <c r="N546">
        <v>4</v>
      </c>
      <c r="O546">
        <v>0</v>
      </c>
      <c r="P546" t="s">
        <v>42</v>
      </c>
      <c r="Q546" t="s">
        <v>42</v>
      </c>
      <c r="R546" t="s">
        <v>43</v>
      </c>
      <c r="S546" t="s">
        <v>43</v>
      </c>
      <c r="T546" t="s">
        <v>42</v>
      </c>
      <c r="U546" t="s">
        <v>42</v>
      </c>
      <c r="V546" t="s">
        <v>42</v>
      </c>
      <c r="W546" t="s">
        <v>43</v>
      </c>
      <c r="X546">
        <v>2</v>
      </c>
      <c r="Y546">
        <v>2</v>
      </c>
      <c r="Z546">
        <v>2</v>
      </c>
      <c r="AA546">
        <v>1</v>
      </c>
      <c r="AB546">
        <v>1</v>
      </c>
      <c r="AC546">
        <v>3</v>
      </c>
      <c r="AD546">
        <v>6</v>
      </c>
      <c r="AE546">
        <v>9</v>
      </c>
      <c r="AF546">
        <v>11</v>
      </c>
      <c r="AG546">
        <v>11</v>
      </c>
    </row>
    <row r="547" spans="1:33" x14ac:dyDescent="0.35">
      <c r="A547" t="s">
        <v>33</v>
      </c>
      <c r="B547" t="s">
        <v>34</v>
      </c>
      <c r="C547">
        <v>15</v>
      </c>
      <c r="D547" t="s">
        <v>35</v>
      </c>
      <c r="E547" t="s">
        <v>36</v>
      </c>
      <c r="F547" t="s">
        <v>37</v>
      </c>
      <c r="G547">
        <v>3</v>
      </c>
      <c r="H547">
        <v>3</v>
      </c>
      <c r="I547" t="s">
        <v>48</v>
      </c>
      <c r="J547" t="s">
        <v>48</v>
      </c>
      <c r="K547" t="s">
        <v>49</v>
      </c>
      <c r="L547" t="s">
        <v>41</v>
      </c>
      <c r="M547">
        <v>1</v>
      </c>
      <c r="N547">
        <v>2</v>
      </c>
      <c r="O547">
        <v>0</v>
      </c>
      <c r="P547" t="s">
        <v>43</v>
      </c>
      <c r="Q547" t="s">
        <v>43</v>
      </c>
      <c r="R547" t="s">
        <v>43</v>
      </c>
      <c r="S547" t="s">
        <v>43</v>
      </c>
      <c r="T547" t="s">
        <v>43</v>
      </c>
      <c r="U547" t="s">
        <v>42</v>
      </c>
      <c r="V547" t="s">
        <v>43</v>
      </c>
      <c r="W547" t="s">
        <v>42</v>
      </c>
      <c r="X547">
        <v>1</v>
      </c>
      <c r="Y547">
        <v>3</v>
      </c>
      <c r="Z547">
        <v>2</v>
      </c>
      <c r="AA547">
        <v>2</v>
      </c>
      <c r="AB547">
        <v>3</v>
      </c>
      <c r="AC547">
        <v>1</v>
      </c>
      <c r="AD547">
        <v>24</v>
      </c>
      <c r="AE547">
        <v>9</v>
      </c>
      <c r="AF547">
        <v>8</v>
      </c>
      <c r="AG547">
        <v>9</v>
      </c>
    </row>
    <row r="548" spans="1:33" x14ac:dyDescent="0.35">
      <c r="A548" t="s">
        <v>33</v>
      </c>
      <c r="B548" t="s">
        <v>50</v>
      </c>
      <c r="C548">
        <v>16</v>
      </c>
      <c r="D548" t="s">
        <v>35</v>
      </c>
      <c r="E548" t="s">
        <v>36</v>
      </c>
      <c r="F548" t="s">
        <v>44</v>
      </c>
      <c r="G548">
        <v>4</v>
      </c>
      <c r="H548">
        <v>4</v>
      </c>
      <c r="I548" t="s">
        <v>48</v>
      </c>
      <c r="J548" t="s">
        <v>48</v>
      </c>
      <c r="K548" t="s">
        <v>40</v>
      </c>
      <c r="L548" t="s">
        <v>41</v>
      </c>
      <c r="M548">
        <v>1</v>
      </c>
      <c r="N548">
        <v>3</v>
      </c>
      <c r="O548">
        <v>0</v>
      </c>
      <c r="P548" t="s">
        <v>43</v>
      </c>
      <c r="Q548" t="s">
        <v>42</v>
      </c>
      <c r="R548" t="s">
        <v>43</v>
      </c>
      <c r="S548" t="s">
        <v>42</v>
      </c>
      <c r="T548" t="s">
        <v>42</v>
      </c>
      <c r="U548" t="s">
        <v>42</v>
      </c>
      <c r="V548" t="s">
        <v>42</v>
      </c>
      <c r="W548" t="s">
        <v>43</v>
      </c>
      <c r="X548">
        <v>5</v>
      </c>
      <c r="Y548">
        <v>3</v>
      </c>
      <c r="Z548">
        <v>3</v>
      </c>
      <c r="AA548">
        <v>1</v>
      </c>
      <c r="AB548">
        <v>3</v>
      </c>
      <c r="AC548">
        <v>5</v>
      </c>
      <c r="AD548">
        <v>0</v>
      </c>
      <c r="AE548">
        <v>15</v>
      </c>
      <c r="AF548">
        <v>13</v>
      </c>
      <c r="AG548">
        <v>13</v>
      </c>
    </row>
    <row r="549" spans="1:33" x14ac:dyDescent="0.35">
      <c r="A549" t="s">
        <v>33</v>
      </c>
      <c r="B549" t="s">
        <v>50</v>
      </c>
      <c r="C549">
        <v>16</v>
      </c>
      <c r="D549" t="s">
        <v>35</v>
      </c>
      <c r="E549" t="s">
        <v>47</v>
      </c>
      <c r="F549" t="s">
        <v>44</v>
      </c>
      <c r="G549">
        <v>2</v>
      </c>
      <c r="H549">
        <v>2</v>
      </c>
      <c r="I549" t="s">
        <v>48</v>
      </c>
      <c r="J549" t="s">
        <v>48</v>
      </c>
      <c r="K549" t="s">
        <v>51</v>
      </c>
      <c r="L549" t="s">
        <v>46</v>
      </c>
      <c r="M549">
        <v>2</v>
      </c>
      <c r="N549">
        <v>1</v>
      </c>
      <c r="O549">
        <v>0</v>
      </c>
      <c r="P549" t="s">
        <v>43</v>
      </c>
      <c r="Q549" t="s">
        <v>42</v>
      </c>
      <c r="R549" t="s">
        <v>43</v>
      </c>
      <c r="S549" t="s">
        <v>42</v>
      </c>
      <c r="T549" t="s">
        <v>42</v>
      </c>
      <c r="U549" t="s">
        <v>42</v>
      </c>
      <c r="V549" t="s">
        <v>42</v>
      </c>
      <c r="W549" t="s">
        <v>43</v>
      </c>
      <c r="X549">
        <v>2</v>
      </c>
      <c r="Y549">
        <v>3</v>
      </c>
      <c r="Z549">
        <v>3</v>
      </c>
      <c r="AA549">
        <v>2</v>
      </c>
      <c r="AB549">
        <v>2</v>
      </c>
      <c r="AC549">
        <v>2</v>
      </c>
      <c r="AD549">
        <v>4</v>
      </c>
      <c r="AE549">
        <v>12</v>
      </c>
      <c r="AF549">
        <v>11</v>
      </c>
      <c r="AG549">
        <v>11</v>
      </c>
    </row>
    <row r="550" spans="1:33" x14ac:dyDescent="0.35">
      <c r="A550" t="s">
        <v>33</v>
      </c>
      <c r="B550" t="s">
        <v>34</v>
      </c>
      <c r="C550">
        <v>15</v>
      </c>
      <c r="D550" t="s">
        <v>35</v>
      </c>
      <c r="E550" t="s">
        <v>36</v>
      </c>
      <c r="F550" t="s">
        <v>44</v>
      </c>
      <c r="G550">
        <v>4</v>
      </c>
      <c r="H550">
        <v>4</v>
      </c>
      <c r="I550" t="s">
        <v>39</v>
      </c>
      <c r="J550" t="s">
        <v>48</v>
      </c>
      <c r="K550" t="s">
        <v>40</v>
      </c>
      <c r="L550" t="s">
        <v>41</v>
      </c>
      <c r="M550">
        <v>1</v>
      </c>
      <c r="N550">
        <v>3</v>
      </c>
      <c r="O550">
        <v>0</v>
      </c>
      <c r="P550" t="s">
        <v>43</v>
      </c>
      <c r="Q550" t="s">
        <v>42</v>
      </c>
      <c r="R550" t="s">
        <v>43</v>
      </c>
      <c r="S550" t="s">
        <v>42</v>
      </c>
      <c r="T550" t="s">
        <v>42</v>
      </c>
      <c r="U550" t="s">
        <v>42</v>
      </c>
      <c r="V550" t="s">
        <v>42</v>
      </c>
      <c r="W550" t="s">
        <v>43</v>
      </c>
      <c r="X550">
        <v>4</v>
      </c>
      <c r="Y550">
        <v>2</v>
      </c>
      <c r="Z550">
        <v>2</v>
      </c>
      <c r="AA550">
        <v>1</v>
      </c>
      <c r="AB550">
        <v>1</v>
      </c>
      <c r="AC550">
        <v>5</v>
      </c>
      <c r="AD550">
        <v>2</v>
      </c>
      <c r="AE550">
        <v>13</v>
      </c>
      <c r="AF550">
        <v>13</v>
      </c>
      <c r="AG550">
        <v>13</v>
      </c>
    </row>
    <row r="551" spans="1:33" x14ac:dyDescent="0.35">
      <c r="A551" t="s">
        <v>33</v>
      </c>
      <c r="B551" t="s">
        <v>34</v>
      </c>
      <c r="C551">
        <v>16</v>
      </c>
      <c r="D551" t="s">
        <v>35</v>
      </c>
      <c r="E551" t="s">
        <v>47</v>
      </c>
      <c r="F551" t="s">
        <v>44</v>
      </c>
      <c r="G551">
        <v>1</v>
      </c>
      <c r="H551">
        <v>1</v>
      </c>
      <c r="I551" t="s">
        <v>38</v>
      </c>
      <c r="J551" t="s">
        <v>38</v>
      </c>
      <c r="K551" t="s">
        <v>40</v>
      </c>
      <c r="L551" t="s">
        <v>41</v>
      </c>
      <c r="M551">
        <v>1</v>
      </c>
      <c r="N551">
        <v>1</v>
      </c>
      <c r="O551">
        <v>0</v>
      </c>
      <c r="P551" t="s">
        <v>43</v>
      </c>
      <c r="Q551" t="s">
        <v>43</v>
      </c>
      <c r="R551" t="s">
        <v>43</v>
      </c>
      <c r="S551" t="s">
        <v>43</v>
      </c>
      <c r="T551" t="s">
        <v>42</v>
      </c>
      <c r="U551" t="s">
        <v>42</v>
      </c>
      <c r="V551" t="s">
        <v>42</v>
      </c>
      <c r="W551" t="s">
        <v>43</v>
      </c>
      <c r="X551">
        <v>3</v>
      </c>
      <c r="Y551">
        <v>4</v>
      </c>
      <c r="Z551">
        <v>4</v>
      </c>
      <c r="AA551">
        <v>3</v>
      </c>
      <c r="AB551">
        <v>3</v>
      </c>
      <c r="AC551">
        <v>1</v>
      </c>
      <c r="AD551">
        <v>4</v>
      </c>
      <c r="AE551">
        <v>10</v>
      </c>
      <c r="AF551">
        <v>11</v>
      </c>
      <c r="AG551">
        <v>11</v>
      </c>
    </row>
    <row r="552" spans="1:33" x14ac:dyDescent="0.35">
      <c r="A552" t="s">
        <v>33</v>
      </c>
      <c r="B552" t="s">
        <v>50</v>
      </c>
      <c r="C552">
        <v>17</v>
      </c>
      <c r="D552" t="s">
        <v>35</v>
      </c>
      <c r="E552" t="s">
        <v>36</v>
      </c>
      <c r="F552" t="s">
        <v>44</v>
      </c>
      <c r="G552">
        <v>2</v>
      </c>
      <c r="H552">
        <v>1</v>
      </c>
      <c r="I552" t="s">
        <v>45</v>
      </c>
      <c r="J552" t="s">
        <v>45</v>
      </c>
      <c r="K552" t="s">
        <v>49</v>
      </c>
      <c r="L552" t="s">
        <v>41</v>
      </c>
      <c r="M552">
        <v>1</v>
      </c>
      <c r="N552">
        <v>1</v>
      </c>
      <c r="O552">
        <v>0</v>
      </c>
      <c r="P552" t="s">
        <v>43</v>
      </c>
      <c r="Q552" t="s">
        <v>42</v>
      </c>
      <c r="R552" t="s">
        <v>43</v>
      </c>
      <c r="S552" t="s">
        <v>43</v>
      </c>
      <c r="T552" t="s">
        <v>42</v>
      </c>
      <c r="U552" t="s">
        <v>42</v>
      </c>
      <c r="V552" t="s">
        <v>42</v>
      </c>
      <c r="W552" t="s">
        <v>43</v>
      </c>
      <c r="X552">
        <v>5</v>
      </c>
      <c r="Y552">
        <v>4</v>
      </c>
      <c r="Z552">
        <v>5</v>
      </c>
      <c r="AA552">
        <v>1</v>
      </c>
      <c r="AB552">
        <v>2</v>
      </c>
      <c r="AC552">
        <v>5</v>
      </c>
      <c r="AD552">
        <v>22</v>
      </c>
      <c r="AE552">
        <v>9</v>
      </c>
      <c r="AF552">
        <v>7</v>
      </c>
      <c r="AG552">
        <v>6</v>
      </c>
    </row>
    <row r="553" spans="1:33" x14ac:dyDescent="0.35">
      <c r="A553" t="s">
        <v>33</v>
      </c>
      <c r="B553" t="s">
        <v>34</v>
      </c>
      <c r="C553">
        <v>15</v>
      </c>
      <c r="D553" t="s">
        <v>35</v>
      </c>
      <c r="E553" t="s">
        <v>36</v>
      </c>
      <c r="F553" t="s">
        <v>44</v>
      </c>
      <c r="G553">
        <v>1</v>
      </c>
      <c r="H553">
        <v>1</v>
      </c>
      <c r="I553" t="s">
        <v>45</v>
      </c>
      <c r="J553" t="s">
        <v>48</v>
      </c>
      <c r="K553" t="s">
        <v>40</v>
      </c>
      <c r="L553" t="s">
        <v>46</v>
      </c>
      <c r="M553">
        <v>1</v>
      </c>
      <c r="N553">
        <v>2</v>
      </c>
      <c r="O553">
        <v>0</v>
      </c>
      <c r="P553" t="s">
        <v>43</v>
      </c>
      <c r="Q553" t="s">
        <v>42</v>
      </c>
      <c r="R553" t="s">
        <v>43</v>
      </c>
      <c r="S553" t="s">
        <v>43</v>
      </c>
      <c r="T553" t="s">
        <v>42</v>
      </c>
      <c r="U553" t="s">
        <v>42</v>
      </c>
      <c r="V553" t="s">
        <v>42</v>
      </c>
      <c r="W553" t="s">
        <v>43</v>
      </c>
      <c r="X553">
        <v>4</v>
      </c>
      <c r="Y553">
        <v>4</v>
      </c>
      <c r="Z553">
        <v>2</v>
      </c>
      <c r="AA553">
        <v>1</v>
      </c>
      <c r="AB553">
        <v>2</v>
      </c>
      <c r="AC553">
        <v>5</v>
      </c>
      <c r="AD553">
        <v>0</v>
      </c>
      <c r="AE553">
        <v>12</v>
      </c>
      <c r="AF553">
        <v>12</v>
      </c>
      <c r="AG553">
        <v>12</v>
      </c>
    </row>
    <row r="554" spans="1:33" x14ac:dyDescent="0.35">
      <c r="A554" t="s">
        <v>33</v>
      </c>
      <c r="B554" t="s">
        <v>34</v>
      </c>
      <c r="C554">
        <v>15</v>
      </c>
      <c r="D554" t="s">
        <v>35</v>
      </c>
      <c r="E554" t="s">
        <v>47</v>
      </c>
      <c r="F554" t="s">
        <v>37</v>
      </c>
      <c r="G554">
        <v>2</v>
      </c>
      <c r="H554">
        <v>1</v>
      </c>
      <c r="I554" t="s">
        <v>38</v>
      </c>
      <c r="J554" t="s">
        <v>45</v>
      </c>
      <c r="K554" t="s">
        <v>49</v>
      </c>
      <c r="L554" t="s">
        <v>41</v>
      </c>
      <c r="M554">
        <v>2</v>
      </c>
      <c r="N554">
        <v>1</v>
      </c>
      <c r="O554">
        <v>0</v>
      </c>
      <c r="P554" t="s">
        <v>43</v>
      </c>
      <c r="Q554" t="s">
        <v>42</v>
      </c>
      <c r="R554" t="s">
        <v>43</v>
      </c>
      <c r="S554" t="s">
        <v>42</v>
      </c>
      <c r="T554" t="s">
        <v>42</v>
      </c>
      <c r="U554" t="s">
        <v>43</v>
      </c>
      <c r="V554" t="s">
        <v>42</v>
      </c>
      <c r="W554" t="s">
        <v>42</v>
      </c>
      <c r="X554">
        <v>4</v>
      </c>
      <c r="Y554">
        <v>4</v>
      </c>
      <c r="Z554">
        <v>2</v>
      </c>
      <c r="AA554">
        <v>1</v>
      </c>
      <c r="AB554">
        <v>1</v>
      </c>
      <c r="AC554">
        <v>5</v>
      </c>
      <c r="AD554">
        <v>0</v>
      </c>
      <c r="AE554">
        <v>11</v>
      </c>
      <c r="AF554">
        <v>10</v>
      </c>
      <c r="AG554">
        <v>10</v>
      </c>
    </row>
    <row r="555" spans="1:33" x14ac:dyDescent="0.35">
      <c r="A555" t="s">
        <v>33</v>
      </c>
      <c r="B555" t="s">
        <v>34</v>
      </c>
      <c r="C555">
        <v>15</v>
      </c>
      <c r="D555" t="s">
        <v>35</v>
      </c>
      <c r="E555" t="s">
        <v>36</v>
      </c>
      <c r="F555" t="s">
        <v>44</v>
      </c>
      <c r="G555">
        <v>3</v>
      </c>
      <c r="H555">
        <v>2</v>
      </c>
      <c r="I555" t="s">
        <v>28</v>
      </c>
      <c r="J555" t="s">
        <v>48</v>
      </c>
      <c r="K555" t="s">
        <v>49</v>
      </c>
      <c r="L555" t="s">
        <v>46</v>
      </c>
      <c r="M555">
        <v>1</v>
      </c>
      <c r="N555">
        <v>2</v>
      </c>
      <c r="O555">
        <v>1</v>
      </c>
      <c r="P555" t="s">
        <v>43</v>
      </c>
      <c r="Q555" t="s">
        <v>42</v>
      </c>
      <c r="R555" t="s">
        <v>43</v>
      </c>
      <c r="S555" t="s">
        <v>43</v>
      </c>
      <c r="T555" t="s">
        <v>42</v>
      </c>
      <c r="U555" t="s">
        <v>42</v>
      </c>
      <c r="V555" t="s">
        <v>42</v>
      </c>
      <c r="W555" t="s">
        <v>43</v>
      </c>
      <c r="X555">
        <v>3</v>
      </c>
      <c r="Y555">
        <v>3</v>
      </c>
      <c r="Z555">
        <v>2</v>
      </c>
      <c r="AA555">
        <v>1</v>
      </c>
      <c r="AB555">
        <v>1</v>
      </c>
      <c r="AC555">
        <v>3</v>
      </c>
      <c r="AD555">
        <v>2</v>
      </c>
      <c r="AE555">
        <v>11</v>
      </c>
      <c r="AF555">
        <v>11</v>
      </c>
      <c r="AG555">
        <v>11</v>
      </c>
    </row>
    <row r="556" spans="1:33" x14ac:dyDescent="0.35">
      <c r="A556" t="s">
        <v>33</v>
      </c>
      <c r="B556" t="s">
        <v>34</v>
      </c>
      <c r="C556">
        <v>15</v>
      </c>
      <c r="D556" t="s">
        <v>35</v>
      </c>
      <c r="E556" t="s">
        <v>36</v>
      </c>
      <c r="F556" t="s">
        <v>44</v>
      </c>
      <c r="G556">
        <v>1</v>
      </c>
      <c r="H556">
        <v>2</v>
      </c>
      <c r="I556" t="s">
        <v>38</v>
      </c>
      <c r="J556" t="s">
        <v>45</v>
      </c>
      <c r="K556" t="s">
        <v>40</v>
      </c>
      <c r="L556" t="s">
        <v>41</v>
      </c>
      <c r="M556">
        <v>1</v>
      </c>
      <c r="N556">
        <v>2</v>
      </c>
      <c r="O556">
        <v>0</v>
      </c>
      <c r="P556" t="s">
        <v>43</v>
      </c>
      <c r="Q556" t="s">
        <v>42</v>
      </c>
      <c r="R556" t="s">
        <v>43</v>
      </c>
      <c r="S556" t="s">
        <v>43</v>
      </c>
      <c r="T556" t="s">
        <v>43</v>
      </c>
      <c r="U556" t="s">
        <v>42</v>
      </c>
      <c r="V556" t="s">
        <v>42</v>
      </c>
      <c r="W556" t="s">
        <v>43</v>
      </c>
      <c r="X556">
        <v>4</v>
      </c>
      <c r="Y556">
        <v>3</v>
      </c>
      <c r="Z556">
        <v>2</v>
      </c>
      <c r="AA556">
        <v>1</v>
      </c>
      <c r="AB556">
        <v>1</v>
      </c>
      <c r="AC556">
        <v>5</v>
      </c>
      <c r="AD556">
        <v>6</v>
      </c>
      <c r="AE556">
        <v>13</v>
      </c>
      <c r="AF556">
        <v>12</v>
      </c>
      <c r="AG556">
        <v>13</v>
      </c>
    </row>
    <row r="557" spans="1:33" x14ac:dyDescent="0.35">
      <c r="A557" t="s">
        <v>33</v>
      </c>
      <c r="B557" t="s">
        <v>34</v>
      </c>
      <c r="C557">
        <v>15</v>
      </c>
      <c r="D557" t="s">
        <v>35</v>
      </c>
      <c r="E557" t="s">
        <v>36</v>
      </c>
      <c r="F557" t="s">
        <v>44</v>
      </c>
      <c r="G557">
        <v>1</v>
      </c>
      <c r="H557">
        <v>2</v>
      </c>
      <c r="I557" t="s">
        <v>38</v>
      </c>
      <c r="J557" t="s">
        <v>48</v>
      </c>
      <c r="K557" t="s">
        <v>40</v>
      </c>
      <c r="L557" t="s">
        <v>46</v>
      </c>
      <c r="M557">
        <v>1</v>
      </c>
      <c r="N557">
        <v>2</v>
      </c>
      <c r="O557">
        <v>0</v>
      </c>
      <c r="P557" t="s">
        <v>43</v>
      </c>
      <c r="Q557" t="s">
        <v>43</v>
      </c>
      <c r="R557" t="s">
        <v>43</v>
      </c>
      <c r="S557" t="s">
        <v>43</v>
      </c>
      <c r="T557" t="s">
        <v>43</v>
      </c>
      <c r="U557" t="s">
        <v>42</v>
      </c>
      <c r="V557" t="s">
        <v>43</v>
      </c>
      <c r="W557" t="s">
        <v>42</v>
      </c>
      <c r="X557">
        <v>2</v>
      </c>
      <c r="Y557">
        <v>3</v>
      </c>
      <c r="Z557">
        <v>4</v>
      </c>
      <c r="AA557">
        <v>2</v>
      </c>
      <c r="AB557">
        <v>4</v>
      </c>
      <c r="AC557">
        <v>1</v>
      </c>
      <c r="AD557">
        <v>6</v>
      </c>
      <c r="AE557">
        <v>11</v>
      </c>
      <c r="AF557">
        <v>11</v>
      </c>
      <c r="AG557">
        <v>11</v>
      </c>
    </row>
    <row r="558" spans="1:33" x14ac:dyDescent="0.35">
      <c r="A558" t="s">
        <v>33</v>
      </c>
      <c r="B558" t="s">
        <v>50</v>
      </c>
      <c r="C558">
        <v>16</v>
      </c>
      <c r="D558" t="s">
        <v>35</v>
      </c>
      <c r="E558" t="s">
        <v>36</v>
      </c>
      <c r="F558" t="s">
        <v>44</v>
      </c>
      <c r="G558">
        <v>4</v>
      </c>
      <c r="H558">
        <v>4</v>
      </c>
      <c r="I558" t="s">
        <v>39</v>
      </c>
      <c r="J558" t="s">
        <v>39</v>
      </c>
      <c r="K558" t="s">
        <v>40</v>
      </c>
      <c r="L558" t="s">
        <v>41</v>
      </c>
      <c r="M558">
        <v>1</v>
      </c>
      <c r="N558">
        <v>1</v>
      </c>
      <c r="O558">
        <v>0</v>
      </c>
      <c r="P558" t="s">
        <v>43</v>
      </c>
      <c r="Q558" t="s">
        <v>42</v>
      </c>
      <c r="R558" t="s">
        <v>43</v>
      </c>
      <c r="S558" t="s">
        <v>43</v>
      </c>
      <c r="T558" t="s">
        <v>42</v>
      </c>
      <c r="U558" t="s">
        <v>43</v>
      </c>
      <c r="V558" t="s">
        <v>42</v>
      </c>
      <c r="W558" t="s">
        <v>42</v>
      </c>
      <c r="X558">
        <v>3</v>
      </c>
      <c r="Y558">
        <v>3</v>
      </c>
      <c r="Z558">
        <v>2</v>
      </c>
      <c r="AA558">
        <v>2</v>
      </c>
      <c r="AB558">
        <v>1</v>
      </c>
      <c r="AC558">
        <v>5</v>
      </c>
      <c r="AD558">
        <v>16</v>
      </c>
      <c r="AE558">
        <v>9</v>
      </c>
      <c r="AF558">
        <v>9</v>
      </c>
      <c r="AG558">
        <v>8</v>
      </c>
    </row>
    <row r="559" spans="1:33" x14ac:dyDescent="0.35">
      <c r="A559" t="s">
        <v>33</v>
      </c>
      <c r="B559" t="s">
        <v>50</v>
      </c>
      <c r="C559">
        <v>15</v>
      </c>
      <c r="D559" t="s">
        <v>35</v>
      </c>
      <c r="E559" t="s">
        <v>47</v>
      </c>
      <c r="F559" t="s">
        <v>37</v>
      </c>
      <c r="G559">
        <v>2</v>
      </c>
      <c r="H559">
        <v>1</v>
      </c>
      <c r="I559" t="s">
        <v>48</v>
      </c>
      <c r="J559" t="s">
        <v>45</v>
      </c>
      <c r="K559" t="s">
        <v>40</v>
      </c>
      <c r="L559" t="s">
        <v>41</v>
      </c>
      <c r="M559">
        <v>4</v>
      </c>
      <c r="N559">
        <v>1</v>
      </c>
      <c r="O559">
        <v>0</v>
      </c>
      <c r="P559" t="s">
        <v>43</v>
      </c>
      <c r="Q559" t="s">
        <v>43</v>
      </c>
      <c r="R559" t="s">
        <v>43</v>
      </c>
      <c r="S559" t="s">
        <v>43</v>
      </c>
      <c r="T559" t="s">
        <v>42</v>
      </c>
      <c r="U559" t="s">
        <v>42</v>
      </c>
      <c r="V559" t="s">
        <v>42</v>
      </c>
      <c r="W559" t="s">
        <v>43</v>
      </c>
      <c r="X559">
        <v>4</v>
      </c>
      <c r="Y559">
        <v>5</v>
      </c>
      <c r="Z559">
        <v>5</v>
      </c>
      <c r="AA559">
        <v>2</v>
      </c>
      <c r="AB559">
        <v>5</v>
      </c>
      <c r="AC559">
        <v>5</v>
      </c>
      <c r="AD559">
        <v>0</v>
      </c>
      <c r="AE559">
        <v>12</v>
      </c>
      <c r="AF559">
        <v>11</v>
      </c>
      <c r="AG559">
        <v>11</v>
      </c>
    </row>
    <row r="560" spans="1:33" x14ac:dyDescent="0.35">
      <c r="A560" t="s">
        <v>33</v>
      </c>
      <c r="B560" t="s">
        <v>50</v>
      </c>
      <c r="C560">
        <v>18</v>
      </c>
      <c r="D560" t="s">
        <v>35</v>
      </c>
      <c r="E560" t="s">
        <v>47</v>
      </c>
      <c r="F560" t="s">
        <v>44</v>
      </c>
      <c r="G560">
        <v>1</v>
      </c>
      <c r="H560">
        <v>1</v>
      </c>
      <c r="I560" t="s">
        <v>45</v>
      </c>
      <c r="J560" t="s">
        <v>45</v>
      </c>
      <c r="K560" t="s">
        <v>40</v>
      </c>
      <c r="L560" t="s">
        <v>41</v>
      </c>
      <c r="M560">
        <v>1</v>
      </c>
      <c r="N560">
        <v>1</v>
      </c>
      <c r="O560">
        <v>2</v>
      </c>
      <c r="P560" t="s">
        <v>43</v>
      </c>
      <c r="Q560" t="s">
        <v>43</v>
      </c>
      <c r="R560" t="s">
        <v>43</v>
      </c>
      <c r="S560" t="s">
        <v>43</v>
      </c>
      <c r="T560" t="s">
        <v>42</v>
      </c>
      <c r="U560" t="s">
        <v>43</v>
      </c>
      <c r="V560" t="s">
        <v>42</v>
      </c>
      <c r="W560" t="s">
        <v>42</v>
      </c>
      <c r="X560">
        <v>2</v>
      </c>
      <c r="Y560">
        <v>3</v>
      </c>
      <c r="Z560">
        <v>5</v>
      </c>
      <c r="AA560">
        <v>2</v>
      </c>
      <c r="AB560">
        <v>5</v>
      </c>
      <c r="AC560">
        <v>4</v>
      </c>
      <c r="AD560">
        <v>0</v>
      </c>
      <c r="AE560">
        <v>11</v>
      </c>
      <c r="AF560">
        <v>9</v>
      </c>
      <c r="AG560">
        <v>0</v>
      </c>
    </row>
    <row r="561" spans="1:33" x14ac:dyDescent="0.35">
      <c r="A561" t="s">
        <v>33</v>
      </c>
      <c r="B561" t="s">
        <v>50</v>
      </c>
      <c r="C561">
        <v>16</v>
      </c>
      <c r="D561" t="s">
        <v>35</v>
      </c>
      <c r="E561" t="s">
        <v>47</v>
      </c>
      <c r="F561" t="s">
        <v>44</v>
      </c>
      <c r="G561">
        <v>2</v>
      </c>
      <c r="H561">
        <v>1</v>
      </c>
      <c r="I561" t="s">
        <v>38</v>
      </c>
      <c r="J561" t="s">
        <v>45</v>
      </c>
      <c r="K561" t="s">
        <v>40</v>
      </c>
      <c r="L561" t="s">
        <v>41</v>
      </c>
      <c r="M561">
        <v>1</v>
      </c>
      <c r="N561">
        <v>1</v>
      </c>
      <c r="O561">
        <v>1</v>
      </c>
      <c r="P561" t="s">
        <v>43</v>
      </c>
      <c r="Q561" t="s">
        <v>43</v>
      </c>
      <c r="R561" t="s">
        <v>43</v>
      </c>
      <c r="S561" t="s">
        <v>42</v>
      </c>
      <c r="T561" t="s">
        <v>42</v>
      </c>
      <c r="U561" t="s">
        <v>42</v>
      </c>
      <c r="V561" t="s">
        <v>43</v>
      </c>
      <c r="W561" t="s">
        <v>42</v>
      </c>
      <c r="X561">
        <v>4</v>
      </c>
      <c r="Y561">
        <v>4</v>
      </c>
      <c r="Z561">
        <v>4</v>
      </c>
      <c r="AA561">
        <v>3</v>
      </c>
      <c r="AB561">
        <v>5</v>
      </c>
      <c r="AC561">
        <v>5</v>
      </c>
      <c r="AD561">
        <v>6</v>
      </c>
      <c r="AE561">
        <v>9</v>
      </c>
      <c r="AF561">
        <v>10</v>
      </c>
      <c r="AG561">
        <v>10</v>
      </c>
    </row>
    <row r="562" spans="1:33" x14ac:dyDescent="0.35">
      <c r="A562" t="s">
        <v>33</v>
      </c>
      <c r="B562" t="s">
        <v>34</v>
      </c>
      <c r="C562">
        <v>15</v>
      </c>
      <c r="D562" t="s">
        <v>52</v>
      </c>
      <c r="E562" t="s">
        <v>36</v>
      </c>
      <c r="F562" t="s">
        <v>44</v>
      </c>
      <c r="G562">
        <v>3</v>
      </c>
      <c r="H562">
        <v>3</v>
      </c>
      <c r="I562" t="s">
        <v>48</v>
      </c>
      <c r="J562" t="s">
        <v>48</v>
      </c>
      <c r="K562" t="s">
        <v>51</v>
      </c>
      <c r="L562" t="s">
        <v>45</v>
      </c>
      <c r="M562">
        <v>2</v>
      </c>
      <c r="N562">
        <v>3</v>
      </c>
      <c r="O562">
        <v>0</v>
      </c>
      <c r="P562" t="s">
        <v>43</v>
      </c>
      <c r="Q562" t="s">
        <v>42</v>
      </c>
      <c r="R562" t="s">
        <v>42</v>
      </c>
      <c r="S562" t="s">
        <v>42</v>
      </c>
      <c r="T562" t="s">
        <v>42</v>
      </c>
      <c r="U562" t="s">
        <v>42</v>
      </c>
      <c r="V562" t="s">
        <v>42</v>
      </c>
      <c r="W562" t="s">
        <v>42</v>
      </c>
      <c r="X562">
        <v>4</v>
      </c>
      <c r="Y562">
        <v>2</v>
      </c>
      <c r="Z562">
        <v>1</v>
      </c>
      <c r="AA562">
        <v>2</v>
      </c>
      <c r="AB562">
        <v>3</v>
      </c>
      <c r="AC562">
        <v>3</v>
      </c>
      <c r="AD562">
        <v>2</v>
      </c>
      <c r="AE562">
        <v>13</v>
      </c>
      <c r="AF562">
        <v>13</v>
      </c>
      <c r="AG562">
        <v>13</v>
      </c>
    </row>
    <row r="563" spans="1:33" x14ac:dyDescent="0.35">
      <c r="A563" t="s">
        <v>33</v>
      </c>
      <c r="B563" t="s">
        <v>50</v>
      </c>
      <c r="C563">
        <v>19</v>
      </c>
      <c r="D563" t="s">
        <v>35</v>
      </c>
      <c r="E563" t="s">
        <v>36</v>
      </c>
      <c r="F563" t="s">
        <v>44</v>
      </c>
      <c r="G563">
        <v>3</v>
      </c>
      <c r="H563">
        <v>2</v>
      </c>
      <c r="I563" t="s">
        <v>48</v>
      </c>
      <c r="J563" t="s">
        <v>38</v>
      </c>
      <c r="K563" t="s">
        <v>49</v>
      </c>
      <c r="L563" t="s">
        <v>41</v>
      </c>
      <c r="M563">
        <v>1</v>
      </c>
      <c r="N563">
        <v>1</v>
      </c>
      <c r="O563">
        <v>0</v>
      </c>
      <c r="P563" t="s">
        <v>43</v>
      </c>
      <c r="Q563" t="s">
        <v>42</v>
      </c>
      <c r="R563" t="s">
        <v>43</v>
      </c>
      <c r="S563" t="s">
        <v>43</v>
      </c>
      <c r="T563" t="s">
        <v>42</v>
      </c>
      <c r="U563" t="s">
        <v>43</v>
      </c>
      <c r="V563" t="s">
        <v>42</v>
      </c>
      <c r="W563" t="s">
        <v>42</v>
      </c>
      <c r="X563">
        <v>4</v>
      </c>
      <c r="Y563">
        <v>5</v>
      </c>
      <c r="Z563">
        <v>4</v>
      </c>
      <c r="AA563">
        <v>1</v>
      </c>
      <c r="AB563">
        <v>1</v>
      </c>
      <c r="AC563">
        <v>4</v>
      </c>
      <c r="AD563">
        <v>6</v>
      </c>
      <c r="AE563">
        <v>11</v>
      </c>
      <c r="AF563">
        <v>9</v>
      </c>
      <c r="AG563">
        <v>11</v>
      </c>
    </row>
    <row r="564" spans="1:33" x14ac:dyDescent="0.35">
      <c r="A564" t="s">
        <v>33</v>
      </c>
      <c r="B564" t="s">
        <v>34</v>
      </c>
      <c r="C564">
        <v>17</v>
      </c>
      <c r="D564" t="s">
        <v>35</v>
      </c>
      <c r="E564" t="s">
        <v>36</v>
      </c>
      <c r="F564" t="s">
        <v>44</v>
      </c>
      <c r="G564">
        <v>4</v>
      </c>
      <c r="H564">
        <v>4</v>
      </c>
      <c r="I564" t="s">
        <v>45</v>
      </c>
      <c r="J564" t="s">
        <v>39</v>
      </c>
      <c r="K564" t="s">
        <v>40</v>
      </c>
      <c r="L564" t="s">
        <v>41</v>
      </c>
      <c r="M564">
        <v>1</v>
      </c>
      <c r="N564">
        <v>1</v>
      </c>
      <c r="O564">
        <v>0</v>
      </c>
      <c r="P564" t="s">
        <v>42</v>
      </c>
      <c r="Q564" t="s">
        <v>42</v>
      </c>
      <c r="R564" t="s">
        <v>43</v>
      </c>
      <c r="S564" t="s">
        <v>43</v>
      </c>
      <c r="T564" t="s">
        <v>42</v>
      </c>
      <c r="U564" t="s">
        <v>42</v>
      </c>
      <c r="V564" t="s">
        <v>43</v>
      </c>
      <c r="W564" t="s">
        <v>42</v>
      </c>
      <c r="X564">
        <v>4</v>
      </c>
      <c r="Y564">
        <v>2</v>
      </c>
      <c r="Z564">
        <v>1</v>
      </c>
      <c r="AA564">
        <v>1</v>
      </c>
      <c r="AB564">
        <v>1</v>
      </c>
      <c r="AC564">
        <v>4</v>
      </c>
      <c r="AD564">
        <v>0</v>
      </c>
      <c r="AE564">
        <v>13</v>
      </c>
      <c r="AF564">
        <v>13</v>
      </c>
      <c r="AG564">
        <v>13</v>
      </c>
    </row>
    <row r="565" spans="1:33" x14ac:dyDescent="0.35">
      <c r="A565" t="s">
        <v>33</v>
      </c>
      <c r="B565" t="s">
        <v>50</v>
      </c>
      <c r="C565">
        <v>15</v>
      </c>
      <c r="D565" t="s">
        <v>52</v>
      </c>
      <c r="E565" t="s">
        <v>36</v>
      </c>
      <c r="F565" t="s">
        <v>44</v>
      </c>
      <c r="G565">
        <v>2</v>
      </c>
      <c r="H565">
        <v>3</v>
      </c>
      <c r="I565" t="s">
        <v>38</v>
      </c>
      <c r="J565" t="s">
        <v>48</v>
      </c>
      <c r="K565" t="s">
        <v>40</v>
      </c>
      <c r="L565" t="s">
        <v>41</v>
      </c>
      <c r="M565">
        <v>1</v>
      </c>
      <c r="N565">
        <v>2</v>
      </c>
      <c r="O565">
        <v>0</v>
      </c>
      <c r="P565" t="s">
        <v>42</v>
      </c>
      <c r="Q565" t="s">
        <v>43</v>
      </c>
      <c r="R565" t="s">
        <v>42</v>
      </c>
      <c r="S565" t="s">
        <v>42</v>
      </c>
      <c r="T565" t="s">
        <v>42</v>
      </c>
      <c r="U565" t="s">
        <v>42</v>
      </c>
      <c r="V565" t="s">
        <v>43</v>
      </c>
      <c r="W565" t="s">
        <v>43</v>
      </c>
      <c r="X565">
        <v>4</v>
      </c>
      <c r="Y565">
        <v>4</v>
      </c>
      <c r="Z565">
        <v>4</v>
      </c>
      <c r="AA565">
        <v>1</v>
      </c>
      <c r="AB565">
        <v>1</v>
      </c>
      <c r="AC565">
        <v>1</v>
      </c>
      <c r="AD565">
        <v>0</v>
      </c>
      <c r="AE565">
        <v>7</v>
      </c>
      <c r="AF565">
        <v>8</v>
      </c>
      <c r="AG565">
        <v>8</v>
      </c>
    </row>
    <row r="566" spans="1:33" x14ac:dyDescent="0.35">
      <c r="A566" t="s">
        <v>33</v>
      </c>
      <c r="B566" t="s">
        <v>50</v>
      </c>
      <c r="C566">
        <v>17</v>
      </c>
      <c r="D566" t="s">
        <v>52</v>
      </c>
      <c r="E566" t="s">
        <v>47</v>
      </c>
      <c r="F566" t="s">
        <v>44</v>
      </c>
      <c r="G566">
        <v>1</v>
      </c>
      <c r="H566">
        <v>2</v>
      </c>
      <c r="I566" t="s">
        <v>45</v>
      </c>
      <c r="J566" t="s">
        <v>45</v>
      </c>
      <c r="K566" t="s">
        <v>51</v>
      </c>
      <c r="L566" t="s">
        <v>41</v>
      </c>
      <c r="M566">
        <v>1</v>
      </c>
      <c r="N566">
        <v>1</v>
      </c>
      <c r="O566">
        <v>3</v>
      </c>
      <c r="P566" t="s">
        <v>43</v>
      </c>
      <c r="Q566" t="s">
        <v>43</v>
      </c>
      <c r="R566" t="s">
        <v>43</v>
      </c>
      <c r="S566" t="s">
        <v>43</v>
      </c>
      <c r="T566" t="s">
        <v>42</v>
      </c>
      <c r="U566" t="s">
        <v>42</v>
      </c>
      <c r="V566" t="s">
        <v>43</v>
      </c>
      <c r="W566" t="s">
        <v>43</v>
      </c>
      <c r="X566">
        <v>2</v>
      </c>
      <c r="Y566">
        <v>2</v>
      </c>
      <c r="Z566">
        <v>2</v>
      </c>
      <c r="AA566">
        <v>3</v>
      </c>
      <c r="AB566">
        <v>3</v>
      </c>
      <c r="AC566">
        <v>5</v>
      </c>
      <c r="AD566">
        <v>14</v>
      </c>
      <c r="AE566">
        <v>9</v>
      </c>
      <c r="AF566">
        <v>8</v>
      </c>
      <c r="AG566">
        <v>10</v>
      </c>
    </row>
    <row r="567" spans="1:33" x14ac:dyDescent="0.35">
      <c r="A567" t="s">
        <v>33</v>
      </c>
      <c r="B567" t="s">
        <v>34</v>
      </c>
      <c r="C567">
        <v>18</v>
      </c>
      <c r="D567" t="s">
        <v>52</v>
      </c>
      <c r="E567" t="s">
        <v>36</v>
      </c>
      <c r="F567" t="s">
        <v>44</v>
      </c>
      <c r="G567">
        <v>1</v>
      </c>
      <c r="H567">
        <v>1</v>
      </c>
      <c r="I567" t="s">
        <v>38</v>
      </c>
      <c r="J567" t="s">
        <v>45</v>
      </c>
      <c r="K567" t="s">
        <v>40</v>
      </c>
      <c r="L567" t="s">
        <v>41</v>
      </c>
      <c r="M567">
        <v>3</v>
      </c>
      <c r="N567">
        <v>1</v>
      </c>
      <c r="O567">
        <v>3</v>
      </c>
      <c r="P567" t="s">
        <v>43</v>
      </c>
      <c r="Q567" t="s">
        <v>42</v>
      </c>
      <c r="R567" t="s">
        <v>43</v>
      </c>
      <c r="S567" t="s">
        <v>42</v>
      </c>
      <c r="T567" t="s">
        <v>43</v>
      </c>
      <c r="U567" t="s">
        <v>42</v>
      </c>
      <c r="V567" t="s">
        <v>43</v>
      </c>
      <c r="W567" t="s">
        <v>43</v>
      </c>
      <c r="X567">
        <v>5</v>
      </c>
      <c r="Y567">
        <v>2</v>
      </c>
      <c r="Z567">
        <v>5</v>
      </c>
      <c r="AA567">
        <v>1</v>
      </c>
      <c r="AB567">
        <v>5</v>
      </c>
      <c r="AC567">
        <v>4</v>
      </c>
      <c r="AD567">
        <v>6</v>
      </c>
      <c r="AE567">
        <v>11</v>
      </c>
      <c r="AF567">
        <v>10</v>
      </c>
      <c r="AG567">
        <v>11</v>
      </c>
    </row>
    <row r="568" spans="1:33" x14ac:dyDescent="0.35">
      <c r="A568" t="s">
        <v>33</v>
      </c>
      <c r="B568" t="s">
        <v>50</v>
      </c>
      <c r="C568">
        <v>16</v>
      </c>
      <c r="D568" t="s">
        <v>52</v>
      </c>
      <c r="E568" t="s">
        <v>36</v>
      </c>
      <c r="F568" t="s">
        <v>44</v>
      </c>
      <c r="G568">
        <v>2</v>
      </c>
      <c r="H568">
        <v>2</v>
      </c>
      <c r="I568" t="s">
        <v>38</v>
      </c>
      <c r="J568" t="s">
        <v>45</v>
      </c>
      <c r="K568" t="s">
        <v>40</v>
      </c>
      <c r="L568" t="s">
        <v>41</v>
      </c>
      <c r="M568">
        <v>3</v>
      </c>
      <c r="N568">
        <v>1</v>
      </c>
      <c r="O568">
        <v>0</v>
      </c>
      <c r="P568" t="s">
        <v>43</v>
      </c>
      <c r="Q568" t="s">
        <v>43</v>
      </c>
      <c r="R568" t="s">
        <v>43</v>
      </c>
      <c r="S568" t="s">
        <v>43</v>
      </c>
      <c r="T568" t="s">
        <v>43</v>
      </c>
      <c r="U568" t="s">
        <v>42</v>
      </c>
      <c r="V568" t="s">
        <v>43</v>
      </c>
      <c r="W568" t="s">
        <v>43</v>
      </c>
      <c r="X568">
        <v>4</v>
      </c>
      <c r="Y568">
        <v>2</v>
      </c>
      <c r="Z568">
        <v>2</v>
      </c>
      <c r="AA568">
        <v>1</v>
      </c>
      <c r="AB568">
        <v>2</v>
      </c>
      <c r="AC568">
        <v>3</v>
      </c>
      <c r="AD568">
        <v>4</v>
      </c>
      <c r="AE568">
        <v>12</v>
      </c>
      <c r="AF568">
        <v>10</v>
      </c>
      <c r="AG568">
        <v>11</v>
      </c>
    </row>
    <row r="569" spans="1:33" x14ac:dyDescent="0.35">
      <c r="A569" t="s">
        <v>33</v>
      </c>
      <c r="B569" t="s">
        <v>50</v>
      </c>
      <c r="C569">
        <v>16</v>
      </c>
      <c r="D569" t="s">
        <v>35</v>
      </c>
      <c r="E569" t="s">
        <v>36</v>
      </c>
      <c r="F569" t="s">
        <v>44</v>
      </c>
      <c r="G569">
        <v>3</v>
      </c>
      <c r="H569">
        <v>3</v>
      </c>
      <c r="I569" t="s">
        <v>45</v>
      </c>
      <c r="J569" t="s">
        <v>48</v>
      </c>
      <c r="K569" t="s">
        <v>40</v>
      </c>
      <c r="L569" t="s">
        <v>46</v>
      </c>
      <c r="M569">
        <v>1</v>
      </c>
      <c r="N569">
        <v>2</v>
      </c>
      <c r="O569">
        <v>1</v>
      </c>
      <c r="P569" t="s">
        <v>43</v>
      </c>
      <c r="Q569" t="s">
        <v>42</v>
      </c>
      <c r="R569" t="s">
        <v>43</v>
      </c>
      <c r="S569" t="s">
        <v>43</v>
      </c>
      <c r="T569" t="s">
        <v>42</v>
      </c>
      <c r="U569" t="s">
        <v>42</v>
      </c>
      <c r="V569" t="s">
        <v>42</v>
      </c>
      <c r="W569" t="s">
        <v>42</v>
      </c>
      <c r="X569">
        <v>4</v>
      </c>
      <c r="Y569">
        <v>5</v>
      </c>
      <c r="Z569">
        <v>5</v>
      </c>
      <c r="AA569">
        <v>4</v>
      </c>
      <c r="AB569">
        <v>4</v>
      </c>
      <c r="AC569">
        <v>5</v>
      </c>
      <c r="AD569">
        <v>0</v>
      </c>
      <c r="AE569">
        <v>10</v>
      </c>
      <c r="AF569">
        <v>10</v>
      </c>
      <c r="AG569">
        <v>1</v>
      </c>
    </row>
    <row r="570" spans="1:33" x14ac:dyDescent="0.35">
      <c r="A570" t="s">
        <v>33</v>
      </c>
      <c r="B570" t="s">
        <v>50</v>
      </c>
      <c r="C570">
        <v>16</v>
      </c>
      <c r="D570" t="s">
        <v>35</v>
      </c>
      <c r="E570" t="s">
        <v>47</v>
      </c>
      <c r="F570" t="s">
        <v>44</v>
      </c>
      <c r="G570">
        <v>1</v>
      </c>
      <c r="H570">
        <v>2</v>
      </c>
      <c r="I570" t="s">
        <v>28</v>
      </c>
      <c r="J570" t="s">
        <v>48</v>
      </c>
      <c r="K570" t="s">
        <v>40</v>
      </c>
      <c r="L570" t="s">
        <v>41</v>
      </c>
      <c r="M570">
        <v>2</v>
      </c>
      <c r="N570">
        <v>1</v>
      </c>
      <c r="O570">
        <v>2</v>
      </c>
      <c r="P570" t="s">
        <v>43</v>
      </c>
      <c r="Q570" t="s">
        <v>43</v>
      </c>
      <c r="R570" t="s">
        <v>43</v>
      </c>
      <c r="S570" t="s">
        <v>43</v>
      </c>
      <c r="T570" t="s">
        <v>43</v>
      </c>
      <c r="U570" t="s">
        <v>42</v>
      </c>
      <c r="V570" t="s">
        <v>42</v>
      </c>
      <c r="W570" t="s">
        <v>43</v>
      </c>
      <c r="X570">
        <v>4</v>
      </c>
      <c r="Y570">
        <v>4</v>
      </c>
      <c r="Z570">
        <v>5</v>
      </c>
      <c r="AA570">
        <v>3</v>
      </c>
      <c r="AB570">
        <v>5</v>
      </c>
      <c r="AC570">
        <v>5</v>
      </c>
      <c r="AD570">
        <v>0</v>
      </c>
      <c r="AE570">
        <v>9</v>
      </c>
      <c r="AF570">
        <v>8</v>
      </c>
      <c r="AG570">
        <v>10</v>
      </c>
    </row>
    <row r="571" spans="1:33" x14ac:dyDescent="0.35">
      <c r="A571" t="s">
        <v>33</v>
      </c>
      <c r="B571" t="s">
        <v>50</v>
      </c>
      <c r="C571">
        <v>17</v>
      </c>
      <c r="D571" t="s">
        <v>52</v>
      </c>
      <c r="E571" t="s">
        <v>47</v>
      </c>
      <c r="F571" t="s">
        <v>44</v>
      </c>
      <c r="G571">
        <v>2</v>
      </c>
      <c r="H571">
        <v>1</v>
      </c>
      <c r="I571" t="s">
        <v>38</v>
      </c>
      <c r="J571" t="s">
        <v>45</v>
      </c>
      <c r="K571" t="s">
        <v>40</v>
      </c>
      <c r="L571" t="s">
        <v>41</v>
      </c>
      <c r="M571">
        <v>2</v>
      </c>
      <c r="N571">
        <v>1</v>
      </c>
      <c r="O571">
        <v>1</v>
      </c>
      <c r="P571" t="s">
        <v>43</v>
      </c>
      <c r="Q571" t="s">
        <v>43</v>
      </c>
      <c r="R571" t="s">
        <v>42</v>
      </c>
      <c r="S571" t="s">
        <v>42</v>
      </c>
      <c r="T571" t="s">
        <v>42</v>
      </c>
      <c r="U571" t="s">
        <v>43</v>
      </c>
      <c r="V571" t="s">
        <v>42</v>
      </c>
      <c r="W571" t="s">
        <v>42</v>
      </c>
      <c r="X571">
        <v>3</v>
      </c>
      <c r="Y571">
        <v>3</v>
      </c>
      <c r="Z571">
        <v>2</v>
      </c>
      <c r="AA571">
        <v>2</v>
      </c>
      <c r="AB571">
        <v>2</v>
      </c>
      <c r="AC571">
        <v>5</v>
      </c>
      <c r="AD571">
        <v>8</v>
      </c>
      <c r="AE571">
        <v>8</v>
      </c>
      <c r="AF571">
        <v>8</v>
      </c>
      <c r="AG571">
        <v>9</v>
      </c>
    </row>
    <row r="572" spans="1:33" x14ac:dyDescent="0.35">
      <c r="A572" t="s">
        <v>33</v>
      </c>
      <c r="B572" t="s">
        <v>50</v>
      </c>
      <c r="C572">
        <v>17</v>
      </c>
      <c r="D572" t="s">
        <v>52</v>
      </c>
      <c r="E572" t="s">
        <v>36</v>
      </c>
      <c r="F572" t="s">
        <v>44</v>
      </c>
      <c r="G572">
        <v>3</v>
      </c>
      <c r="H572">
        <v>2</v>
      </c>
      <c r="I572" t="s">
        <v>45</v>
      </c>
      <c r="J572" t="s">
        <v>45</v>
      </c>
      <c r="K572" t="s">
        <v>40</v>
      </c>
      <c r="L572" t="s">
        <v>41</v>
      </c>
      <c r="M572">
        <v>2</v>
      </c>
      <c r="N572">
        <v>2</v>
      </c>
      <c r="O572">
        <v>2</v>
      </c>
      <c r="P572" t="s">
        <v>42</v>
      </c>
      <c r="Q572" t="s">
        <v>42</v>
      </c>
      <c r="R572" t="s">
        <v>43</v>
      </c>
      <c r="S572" t="s">
        <v>43</v>
      </c>
      <c r="T572" t="s">
        <v>42</v>
      </c>
      <c r="U572" t="s">
        <v>42</v>
      </c>
      <c r="V572" t="s">
        <v>42</v>
      </c>
      <c r="W572" t="s">
        <v>42</v>
      </c>
      <c r="X572">
        <v>4</v>
      </c>
      <c r="Y572">
        <v>4</v>
      </c>
      <c r="Z572">
        <v>4</v>
      </c>
      <c r="AA572">
        <v>1</v>
      </c>
      <c r="AB572">
        <v>4</v>
      </c>
      <c r="AC572">
        <v>3</v>
      </c>
      <c r="AD572">
        <v>4</v>
      </c>
      <c r="AE572">
        <v>7</v>
      </c>
      <c r="AF572">
        <v>6</v>
      </c>
      <c r="AG572">
        <v>8</v>
      </c>
    </row>
    <row r="573" spans="1:33" x14ac:dyDescent="0.35">
      <c r="A573" t="s">
        <v>33</v>
      </c>
      <c r="B573" t="s">
        <v>50</v>
      </c>
      <c r="C573">
        <v>15</v>
      </c>
      <c r="D573" t="s">
        <v>35</v>
      </c>
      <c r="E573" t="s">
        <v>47</v>
      </c>
      <c r="F573" t="s">
        <v>44</v>
      </c>
      <c r="G573">
        <v>1</v>
      </c>
      <c r="H573">
        <v>2</v>
      </c>
      <c r="I573" t="s">
        <v>45</v>
      </c>
      <c r="J573" t="s">
        <v>45</v>
      </c>
      <c r="K573" t="s">
        <v>40</v>
      </c>
      <c r="L573" t="s">
        <v>41</v>
      </c>
      <c r="M573">
        <v>2</v>
      </c>
      <c r="N573">
        <v>1</v>
      </c>
      <c r="O573">
        <v>0</v>
      </c>
      <c r="P573" t="s">
        <v>43</v>
      </c>
      <c r="Q573" t="s">
        <v>43</v>
      </c>
      <c r="R573" t="s">
        <v>43</v>
      </c>
      <c r="S573" t="s">
        <v>42</v>
      </c>
      <c r="T573" t="s">
        <v>42</v>
      </c>
      <c r="U573" t="s">
        <v>42</v>
      </c>
      <c r="V573" t="s">
        <v>43</v>
      </c>
      <c r="W573" t="s">
        <v>43</v>
      </c>
      <c r="X573">
        <v>4</v>
      </c>
      <c r="Y573">
        <v>4</v>
      </c>
      <c r="Z573">
        <v>4</v>
      </c>
      <c r="AA573">
        <v>2</v>
      </c>
      <c r="AB573">
        <v>4</v>
      </c>
      <c r="AC573">
        <v>5</v>
      </c>
      <c r="AD573">
        <v>2</v>
      </c>
      <c r="AE573">
        <v>8</v>
      </c>
      <c r="AF573">
        <v>9</v>
      </c>
      <c r="AG573">
        <v>10</v>
      </c>
    </row>
    <row r="574" spans="1:33" x14ac:dyDescent="0.35">
      <c r="A574" t="s">
        <v>33</v>
      </c>
      <c r="B574" t="s">
        <v>50</v>
      </c>
      <c r="C574">
        <v>16</v>
      </c>
      <c r="D574" t="s">
        <v>35</v>
      </c>
      <c r="E574" t="s">
        <v>36</v>
      </c>
      <c r="F574" t="s">
        <v>44</v>
      </c>
      <c r="G574">
        <v>1</v>
      </c>
      <c r="H574">
        <v>3</v>
      </c>
      <c r="I574" t="s">
        <v>38</v>
      </c>
      <c r="J574" t="s">
        <v>48</v>
      </c>
      <c r="K574" t="s">
        <v>40</v>
      </c>
      <c r="L574" t="s">
        <v>46</v>
      </c>
      <c r="M574">
        <v>1</v>
      </c>
      <c r="N574">
        <v>1</v>
      </c>
      <c r="O574">
        <v>1</v>
      </c>
      <c r="P574" t="s">
        <v>43</v>
      </c>
      <c r="Q574" t="s">
        <v>43</v>
      </c>
      <c r="R574" t="s">
        <v>43</v>
      </c>
      <c r="S574" t="s">
        <v>43</v>
      </c>
      <c r="T574" t="s">
        <v>42</v>
      </c>
      <c r="U574" t="s">
        <v>43</v>
      </c>
      <c r="V574" t="s">
        <v>42</v>
      </c>
      <c r="W574" t="s">
        <v>43</v>
      </c>
      <c r="X574">
        <v>5</v>
      </c>
      <c r="Y574">
        <v>3</v>
      </c>
      <c r="Z574">
        <v>3</v>
      </c>
      <c r="AA574">
        <v>1</v>
      </c>
      <c r="AB574">
        <v>4</v>
      </c>
      <c r="AC574">
        <v>2</v>
      </c>
      <c r="AD574">
        <v>2</v>
      </c>
      <c r="AE574">
        <v>9</v>
      </c>
      <c r="AF574">
        <v>8</v>
      </c>
      <c r="AG574">
        <v>8</v>
      </c>
    </row>
    <row r="575" spans="1:33" x14ac:dyDescent="0.35">
      <c r="A575" t="s">
        <v>33</v>
      </c>
      <c r="B575" t="s">
        <v>50</v>
      </c>
      <c r="C575">
        <v>17</v>
      </c>
      <c r="D575" t="s">
        <v>52</v>
      </c>
      <c r="E575" t="s">
        <v>47</v>
      </c>
      <c r="F575" t="s">
        <v>44</v>
      </c>
      <c r="G575">
        <v>1</v>
      </c>
      <c r="H575">
        <v>1</v>
      </c>
      <c r="I575" t="s">
        <v>45</v>
      </c>
      <c r="J575" t="s">
        <v>48</v>
      </c>
      <c r="K575" t="s">
        <v>40</v>
      </c>
      <c r="L575" t="s">
        <v>41</v>
      </c>
      <c r="M575">
        <v>4</v>
      </c>
      <c r="N575">
        <v>2</v>
      </c>
      <c r="O575">
        <v>0</v>
      </c>
      <c r="P575" t="s">
        <v>43</v>
      </c>
      <c r="Q575" t="s">
        <v>43</v>
      </c>
      <c r="R575" t="s">
        <v>43</v>
      </c>
      <c r="S575" t="s">
        <v>42</v>
      </c>
      <c r="T575" t="s">
        <v>42</v>
      </c>
      <c r="U575" t="s">
        <v>43</v>
      </c>
      <c r="V575" t="s">
        <v>43</v>
      </c>
      <c r="W575" t="s">
        <v>42</v>
      </c>
      <c r="X575">
        <v>5</v>
      </c>
      <c r="Y575">
        <v>3</v>
      </c>
      <c r="Z575">
        <v>5</v>
      </c>
      <c r="AA575">
        <v>1</v>
      </c>
      <c r="AB575">
        <v>5</v>
      </c>
      <c r="AC575">
        <v>5</v>
      </c>
      <c r="AD575">
        <v>0</v>
      </c>
      <c r="AE575">
        <v>8</v>
      </c>
      <c r="AF575">
        <v>8</v>
      </c>
      <c r="AG575">
        <v>8</v>
      </c>
    </row>
    <row r="576" spans="1:33" x14ac:dyDescent="0.35">
      <c r="A576" t="s">
        <v>33</v>
      </c>
      <c r="B576" t="s">
        <v>50</v>
      </c>
      <c r="C576">
        <v>17</v>
      </c>
      <c r="D576" t="s">
        <v>35</v>
      </c>
      <c r="E576" t="s">
        <v>36</v>
      </c>
      <c r="F576" t="s">
        <v>44</v>
      </c>
      <c r="G576">
        <v>3</v>
      </c>
      <c r="H576">
        <v>2</v>
      </c>
      <c r="I576" t="s">
        <v>48</v>
      </c>
      <c r="J576" t="s">
        <v>48</v>
      </c>
      <c r="K576" t="s">
        <v>40</v>
      </c>
      <c r="L576" t="s">
        <v>41</v>
      </c>
      <c r="M576">
        <v>2</v>
      </c>
      <c r="N576">
        <v>1</v>
      </c>
      <c r="O576">
        <v>3</v>
      </c>
      <c r="P576" t="s">
        <v>43</v>
      </c>
      <c r="Q576" t="s">
        <v>42</v>
      </c>
      <c r="R576" t="s">
        <v>43</v>
      </c>
      <c r="S576" t="s">
        <v>42</v>
      </c>
      <c r="T576" t="s">
        <v>43</v>
      </c>
      <c r="U576" t="s">
        <v>43</v>
      </c>
      <c r="V576" t="s">
        <v>43</v>
      </c>
      <c r="W576" t="s">
        <v>43</v>
      </c>
      <c r="X576">
        <v>4</v>
      </c>
      <c r="Y576">
        <v>5</v>
      </c>
      <c r="Z576">
        <v>2</v>
      </c>
      <c r="AA576">
        <v>1</v>
      </c>
      <c r="AB576">
        <v>1</v>
      </c>
      <c r="AC576">
        <v>2</v>
      </c>
      <c r="AD576">
        <v>10</v>
      </c>
      <c r="AE576">
        <v>8</v>
      </c>
      <c r="AF576">
        <v>7</v>
      </c>
      <c r="AG576">
        <v>8</v>
      </c>
    </row>
    <row r="577" spans="1:33" x14ac:dyDescent="0.35">
      <c r="A577" t="s">
        <v>33</v>
      </c>
      <c r="B577" t="s">
        <v>50</v>
      </c>
      <c r="C577">
        <v>16</v>
      </c>
      <c r="D577" t="s">
        <v>35</v>
      </c>
      <c r="E577" t="s">
        <v>36</v>
      </c>
      <c r="F577" t="s">
        <v>44</v>
      </c>
      <c r="G577">
        <v>2</v>
      </c>
      <c r="H577">
        <v>2</v>
      </c>
      <c r="I577" t="s">
        <v>45</v>
      </c>
      <c r="J577" t="s">
        <v>45</v>
      </c>
      <c r="K577" t="s">
        <v>40</v>
      </c>
      <c r="L577" t="s">
        <v>46</v>
      </c>
      <c r="M577">
        <v>1</v>
      </c>
      <c r="N577">
        <v>2</v>
      </c>
      <c r="O577">
        <v>0</v>
      </c>
      <c r="P577" t="s">
        <v>43</v>
      </c>
      <c r="Q577" t="s">
        <v>43</v>
      </c>
      <c r="R577" t="s">
        <v>43</v>
      </c>
      <c r="S577" t="s">
        <v>43</v>
      </c>
      <c r="T577" t="s">
        <v>42</v>
      </c>
      <c r="U577" t="s">
        <v>43</v>
      </c>
      <c r="V577" t="s">
        <v>42</v>
      </c>
      <c r="W577" t="s">
        <v>43</v>
      </c>
      <c r="X577">
        <v>4</v>
      </c>
      <c r="Y577">
        <v>3</v>
      </c>
      <c r="Z577">
        <v>5</v>
      </c>
      <c r="AA577">
        <v>2</v>
      </c>
      <c r="AB577">
        <v>4</v>
      </c>
      <c r="AC577">
        <v>4</v>
      </c>
      <c r="AD577">
        <v>0</v>
      </c>
      <c r="AE577">
        <v>9</v>
      </c>
      <c r="AF577">
        <v>10</v>
      </c>
      <c r="AG577">
        <v>11</v>
      </c>
    </row>
    <row r="578" spans="1:33" x14ac:dyDescent="0.35">
      <c r="A578" t="s">
        <v>33</v>
      </c>
      <c r="B578" t="s">
        <v>34</v>
      </c>
      <c r="C578">
        <v>16</v>
      </c>
      <c r="D578" t="s">
        <v>35</v>
      </c>
      <c r="E578" t="s">
        <v>36</v>
      </c>
      <c r="F578" t="s">
        <v>44</v>
      </c>
      <c r="G578">
        <v>4</v>
      </c>
      <c r="H578">
        <v>2</v>
      </c>
      <c r="I578" t="s">
        <v>28</v>
      </c>
      <c r="J578" t="s">
        <v>48</v>
      </c>
      <c r="K578" t="s">
        <v>49</v>
      </c>
      <c r="L578" t="s">
        <v>46</v>
      </c>
      <c r="M578">
        <v>1</v>
      </c>
      <c r="N578">
        <v>2</v>
      </c>
      <c r="O578">
        <v>0</v>
      </c>
      <c r="P578" t="s">
        <v>43</v>
      </c>
      <c r="Q578" t="s">
        <v>43</v>
      </c>
      <c r="R578" t="s">
        <v>43</v>
      </c>
      <c r="S578" t="s">
        <v>43</v>
      </c>
      <c r="T578" t="s">
        <v>42</v>
      </c>
      <c r="U578" t="s">
        <v>42</v>
      </c>
      <c r="V578" t="s">
        <v>42</v>
      </c>
      <c r="W578" t="s">
        <v>42</v>
      </c>
      <c r="X578">
        <v>4</v>
      </c>
      <c r="Y578">
        <v>2</v>
      </c>
      <c r="Z578">
        <v>3</v>
      </c>
      <c r="AA578">
        <v>1</v>
      </c>
      <c r="AB578">
        <v>1</v>
      </c>
      <c r="AC578">
        <v>3</v>
      </c>
      <c r="AD578">
        <v>0</v>
      </c>
      <c r="AE578">
        <v>17</v>
      </c>
      <c r="AF578">
        <v>17</v>
      </c>
      <c r="AG578">
        <v>18</v>
      </c>
    </row>
    <row r="579" spans="1:33" x14ac:dyDescent="0.35">
      <c r="A579" t="s">
        <v>33</v>
      </c>
      <c r="B579" t="s">
        <v>34</v>
      </c>
      <c r="C579">
        <v>16</v>
      </c>
      <c r="D579" t="s">
        <v>35</v>
      </c>
      <c r="E579" t="s">
        <v>36</v>
      </c>
      <c r="F579" t="s">
        <v>44</v>
      </c>
      <c r="G579">
        <v>2</v>
      </c>
      <c r="H579">
        <v>2</v>
      </c>
      <c r="I579" t="s">
        <v>45</v>
      </c>
      <c r="J579" t="s">
        <v>45</v>
      </c>
      <c r="K579" t="s">
        <v>49</v>
      </c>
      <c r="L579" t="s">
        <v>41</v>
      </c>
      <c r="M579">
        <v>1</v>
      </c>
      <c r="N579">
        <v>2</v>
      </c>
      <c r="O579">
        <v>0</v>
      </c>
      <c r="P579" t="s">
        <v>43</v>
      </c>
      <c r="Q579" t="s">
        <v>42</v>
      </c>
      <c r="R579" t="s">
        <v>43</v>
      </c>
      <c r="S579" t="s">
        <v>43</v>
      </c>
      <c r="T579" t="s">
        <v>43</v>
      </c>
      <c r="U579" t="s">
        <v>42</v>
      </c>
      <c r="V579" t="s">
        <v>42</v>
      </c>
      <c r="W579" t="s">
        <v>43</v>
      </c>
      <c r="X579">
        <v>5</v>
      </c>
      <c r="Y579">
        <v>1</v>
      </c>
      <c r="Z579">
        <v>5</v>
      </c>
      <c r="AA579">
        <v>1</v>
      </c>
      <c r="AB579">
        <v>1</v>
      </c>
      <c r="AC579">
        <v>4</v>
      </c>
      <c r="AD579">
        <v>0</v>
      </c>
      <c r="AE579">
        <v>12</v>
      </c>
      <c r="AF579">
        <v>12</v>
      </c>
      <c r="AG579">
        <v>13</v>
      </c>
    </row>
    <row r="580" spans="1:33" x14ac:dyDescent="0.35">
      <c r="A580" t="s">
        <v>33</v>
      </c>
      <c r="B580" t="s">
        <v>34</v>
      </c>
      <c r="C580">
        <v>16</v>
      </c>
      <c r="D580" t="s">
        <v>35</v>
      </c>
      <c r="E580" t="s">
        <v>36</v>
      </c>
      <c r="F580" t="s">
        <v>44</v>
      </c>
      <c r="G580">
        <v>4</v>
      </c>
      <c r="H580">
        <v>4</v>
      </c>
      <c r="I580" t="s">
        <v>28</v>
      </c>
      <c r="J580" t="s">
        <v>28</v>
      </c>
      <c r="K580" t="s">
        <v>51</v>
      </c>
      <c r="L580" t="s">
        <v>41</v>
      </c>
      <c r="M580">
        <v>1</v>
      </c>
      <c r="N580">
        <v>2</v>
      </c>
      <c r="O580">
        <v>0</v>
      </c>
      <c r="P580" t="s">
        <v>43</v>
      </c>
      <c r="Q580" t="s">
        <v>42</v>
      </c>
      <c r="R580" t="s">
        <v>43</v>
      </c>
      <c r="S580" t="s">
        <v>43</v>
      </c>
      <c r="T580" t="s">
        <v>42</v>
      </c>
      <c r="U580" t="s">
        <v>42</v>
      </c>
      <c r="V580" t="s">
        <v>42</v>
      </c>
      <c r="W580" t="s">
        <v>42</v>
      </c>
      <c r="X580">
        <v>4</v>
      </c>
      <c r="Y580">
        <v>4</v>
      </c>
      <c r="Z580">
        <v>2</v>
      </c>
      <c r="AA580">
        <v>1</v>
      </c>
      <c r="AB580">
        <v>1</v>
      </c>
      <c r="AC580">
        <v>3</v>
      </c>
      <c r="AD580">
        <v>0</v>
      </c>
      <c r="AE580">
        <v>16</v>
      </c>
      <c r="AF580">
        <v>16</v>
      </c>
      <c r="AG580">
        <v>17</v>
      </c>
    </row>
    <row r="581" spans="1:33" x14ac:dyDescent="0.35">
      <c r="A581" t="s">
        <v>33</v>
      </c>
      <c r="B581" t="s">
        <v>50</v>
      </c>
      <c r="C581">
        <v>16</v>
      </c>
      <c r="D581" t="s">
        <v>35</v>
      </c>
      <c r="E581" t="s">
        <v>36</v>
      </c>
      <c r="F581" t="s">
        <v>44</v>
      </c>
      <c r="G581">
        <v>3</v>
      </c>
      <c r="H581">
        <v>4</v>
      </c>
      <c r="I581" t="s">
        <v>45</v>
      </c>
      <c r="J581" t="s">
        <v>45</v>
      </c>
      <c r="K581" t="s">
        <v>40</v>
      </c>
      <c r="L581" t="s">
        <v>46</v>
      </c>
      <c r="M581">
        <v>3</v>
      </c>
      <c r="N581">
        <v>1</v>
      </c>
      <c r="O581">
        <v>1</v>
      </c>
      <c r="P581" t="s">
        <v>43</v>
      </c>
      <c r="Q581" t="s">
        <v>42</v>
      </c>
      <c r="R581" t="s">
        <v>43</v>
      </c>
      <c r="S581" t="s">
        <v>42</v>
      </c>
      <c r="T581" t="s">
        <v>43</v>
      </c>
      <c r="U581" t="s">
        <v>42</v>
      </c>
      <c r="V581" t="s">
        <v>42</v>
      </c>
      <c r="W581" t="s">
        <v>43</v>
      </c>
      <c r="X581">
        <v>3</v>
      </c>
      <c r="Y581">
        <v>4</v>
      </c>
      <c r="Z581">
        <v>5</v>
      </c>
      <c r="AA581">
        <v>2</v>
      </c>
      <c r="AB581">
        <v>4</v>
      </c>
      <c r="AC581">
        <v>2</v>
      </c>
      <c r="AD581">
        <v>4</v>
      </c>
      <c r="AE581">
        <v>9</v>
      </c>
      <c r="AF581">
        <v>9</v>
      </c>
      <c r="AG581">
        <v>10</v>
      </c>
    </row>
    <row r="582" spans="1:33" x14ac:dyDescent="0.35">
      <c r="A582" t="s">
        <v>33</v>
      </c>
      <c r="B582" t="s">
        <v>50</v>
      </c>
      <c r="C582">
        <v>16</v>
      </c>
      <c r="D582" t="s">
        <v>35</v>
      </c>
      <c r="E582" t="s">
        <v>36</v>
      </c>
      <c r="F582" t="s">
        <v>44</v>
      </c>
      <c r="G582">
        <v>1</v>
      </c>
      <c r="H582">
        <v>0</v>
      </c>
      <c r="I582" t="s">
        <v>45</v>
      </c>
      <c r="J582" t="s">
        <v>45</v>
      </c>
      <c r="K582" t="s">
        <v>51</v>
      </c>
      <c r="L582" t="s">
        <v>41</v>
      </c>
      <c r="M582">
        <v>2</v>
      </c>
      <c r="N582">
        <v>2</v>
      </c>
      <c r="O582">
        <v>0</v>
      </c>
      <c r="P582" t="s">
        <v>43</v>
      </c>
      <c r="Q582" t="s">
        <v>42</v>
      </c>
      <c r="R582" t="s">
        <v>43</v>
      </c>
      <c r="S582" t="s">
        <v>42</v>
      </c>
      <c r="T582" t="s">
        <v>42</v>
      </c>
      <c r="U582" t="s">
        <v>42</v>
      </c>
      <c r="V582" t="s">
        <v>42</v>
      </c>
      <c r="W582" t="s">
        <v>42</v>
      </c>
      <c r="X582">
        <v>4</v>
      </c>
      <c r="Y582">
        <v>3</v>
      </c>
      <c r="Z582">
        <v>2</v>
      </c>
      <c r="AA582">
        <v>1</v>
      </c>
      <c r="AB582">
        <v>1</v>
      </c>
      <c r="AC582">
        <v>3</v>
      </c>
      <c r="AD582">
        <v>0</v>
      </c>
      <c r="AE582">
        <v>16</v>
      </c>
      <c r="AF582">
        <v>17</v>
      </c>
      <c r="AG582">
        <v>18</v>
      </c>
    </row>
    <row r="583" spans="1:33" x14ac:dyDescent="0.35">
      <c r="A583" t="s">
        <v>33</v>
      </c>
      <c r="B583" t="s">
        <v>50</v>
      </c>
      <c r="C583">
        <v>17</v>
      </c>
      <c r="D583" t="s">
        <v>35</v>
      </c>
      <c r="E583" t="s">
        <v>47</v>
      </c>
      <c r="F583" t="s">
        <v>44</v>
      </c>
      <c r="G583">
        <v>4</v>
      </c>
      <c r="H583">
        <v>4</v>
      </c>
      <c r="I583" t="s">
        <v>39</v>
      </c>
      <c r="J583" t="s">
        <v>45</v>
      </c>
      <c r="K583" t="s">
        <v>51</v>
      </c>
      <c r="L583" t="s">
        <v>41</v>
      </c>
      <c r="M583">
        <v>1</v>
      </c>
      <c r="N583">
        <v>2</v>
      </c>
      <c r="O583">
        <v>0</v>
      </c>
      <c r="P583" t="s">
        <v>43</v>
      </c>
      <c r="Q583" t="s">
        <v>42</v>
      </c>
      <c r="R583" t="s">
        <v>43</v>
      </c>
      <c r="S583" t="s">
        <v>42</v>
      </c>
      <c r="T583" t="s">
        <v>42</v>
      </c>
      <c r="U583" t="s">
        <v>42</v>
      </c>
      <c r="V583" t="s">
        <v>42</v>
      </c>
      <c r="W583" t="s">
        <v>43</v>
      </c>
      <c r="X583">
        <v>4</v>
      </c>
      <c r="Y583">
        <v>4</v>
      </c>
      <c r="Z583">
        <v>4</v>
      </c>
      <c r="AA583">
        <v>1</v>
      </c>
      <c r="AB583">
        <v>3</v>
      </c>
      <c r="AC583">
        <v>5</v>
      </c>
      <c r="AD583">
        <v>0</v>
      </c>
      <c r="AE583">
        <v>11</v>
      </c>
      <c r="AF583">
        <v>9</v>
      </c>
      <c r="AG583">
        <v>10</v>
      </c>
    </row>
    <row r="584" spans="1:33" x14ac:dyDescent="0.35">
      <c r="A584" t="s">
        <v>33</v>
      </c>
      <c r="B584" t="s">
        <v>34</v>
      </c>
      <c r="C584">
        <v>16</v>
      </c>
      <c r="D584" t="s">
        <v>35</v>
      </c>
      <c r="E584" t="s">
        <v>36</v>
      </c>
      <c r="F584" t="s">
        <v>44</v>
      </c>
      <c r="G584">
        <v>1</v>
      </c>
      <c r="H584">
        <v>3</v>
      </c>
      <c r="I584" t="s">
        <v>38</v>
      </c>
      <c r="J584" t="s">
        <v>48</v>
      </c>
      <c r="K584" t="s">
        <v>49</v>
      </c>
      <c r="L584" t="s">
        <v>41</v>
      </c>
      <c r="M584">
        <v>1</v>
      </c>
      <c r="N584">
        <v>2</v>
      </c>
      <c r="O584">
        <v>0</v>
      </c>
      <c r="P584" t="s">
        <v>43</v>
      </c>
      <c r="Q584" t="s">
        <v>43</v>
      </c>
      <c r="R584" t="s">
        <v>43</v>
      </c>
      <c r="S584" t="s">
        <v>42</v>
      </c>
      <c r="T584" t="s">
        <v>43</v>
      </c>
      <c r="U584" t="s">
        <v>42</v>
      </c>
      <c r="V584" t="s">
        <v>42</v>
      </c>
      <c r="W584" t="s">
        <v>42</v>
      </c>
      <c r="X584">
        <v>4</v>
      </c>
      <c r="Y584">
        <v>3</v>
      </c>
      <c r="Z584">
        <v>5</v>
      </c>
      <c r="AA584">
        <v>1</v>
      </c>
      <c r="AB584">
        <v>1</v>
      </c>
      <c r="AC584">
        <v>3</v>
      </c>
      <c r="AD584">
        <v>0</v>
      </c>
      <c r="AE584">
        <v>14</v>
      </c>
      <c r="AF584">
        <v>13</v>
      </c>
      <c r="AG584">
        <v>13</v>
      </c>
    </row>
    <row r="585" spans="1:33" x14ac:dyDescent="0.35">
      <c r="A585" t="s">
        <v>33</v>
      </c>
      <c r="B585" t="s">
        <v>34</v>
      </c>
      <c r="C585">
        <v>16</v>
      </c>
      <c r="D585" t="s">
        <v>35</v>
      </c>
      <c r="E585" t="s">
        <v>47</v>
      </c>
      <c r="F585" t="s">
        <v>44</v>
      </c>
      <c r="G585">
        <v>3</v>
      </c>
      <c r="H585">
        <v>3</v>
      </c>
      <c r="I585" t="s">
        <v>45</v>
      </c>
      <c r="J585" t="s">
        <v>45</v>
      </c>
      <c r="K585" t="s">
        <v>51</v>
      </c>
      <c r="L585" t="s">
        <v>41</v>
      </c>
      <c r="M585">
        <v>2</v>
      </c>
      <c r="N585">
        <v>2</v>
      </c>
      <c r="O585">
        <v>0</v>
      </c>
      <c r="P585" t="s">
        <v>43</v>
      </c>
      <c r="Q585" t="s">
        <v>42</v>
      </c>
      <c r="R585" t="s">
        <v>43</v>
      </c>
      <c r="S585" t="s">
        <v>42</v>
      </c>
      <c r="T585" t="s">
        <v>42</v>
      </c>
      <c r="U585" t="s">
        <v>42</v>
      </c>
      <c r="V585" t="s">
        <v>42</v>
      </c>
      <c r="W585" t="s">
        <v>43</v>
      </c>
      <c r="X585">
        <v>4</v>
      </c>
      <c r="Y585">
        <v>4</v>
      </c>
      <c r="Z585">
        <v>5</v>
      </c>
      <c r="AA585">
        <v>1</v>
      </c>
      <c r="AB585">
        <v>1</v>
      </c>
      <c r="AC585">
        <v>4</v>
      </c>
      <c r="AD585">
        <v>0</v>
      </c>
      <c r="AE585">
        <v>14</v>
      </c>
      <c r="AF585">
        <v>14</v>
      </c>
      <c r="AG585">
        <v>15</v>
      </c>
    </row>
    <row r="586" spans="1:33" x14ac:dyDescent="0.35">
      <c r="A586" t="s">
        <v>33</v>
      </c>
      <c r="B586" t="s">
        <v>50</v>
      </c>
      <c r="C586">
        <v>17</v>
      </c>
      <c r="D586" t="s">
        <v>35</v>
      </c>
      <c r="E586" t="s">
        <v>47</v>
      </c>
      <c r="F586" t="s">
        <v>44</v>
      </c>
      <c r="G586">
        <v>4</v>
      </c>
      <c r="H586">
        <v>3</v>
      </c>
      <c r="I586" t="s">
        <v>39</v>
      </c>
      <c r="J586" t="s">
        <v>45</v>
      </c>
      <c r="K586" t="s">
        <v>40</v>
      </c>
      <c r="L586" t="s">
        <v>41</v>
      </c>
      <c r="M586">
        <v>2</v>
      </c>
      <c r="N586">
        <v>2</v>
      </c>
      <c r="O586">
        <v>0</v>
      </c>
      <c r="P586" t="s">
        <v>43</v>
      </c>
      <c r="Q586" t="s">
        <v>43</v>
      </c>
      <c r="R586" t="s">
        <v>43</v>
      </c>
      <c r="S586" t="s">
        <v>42</v>
      </c>
      <c r="T586" t="s">
        <v>42</v>
      </c>
      <c r="U586" t="s">
        <v>42</v>
      </c>
      <c r="V586" t="s">
        <v>42</v>
      </c>
      <c r="W586" t="s">
        <v>43</v>
      </c>
      <c r="X586">
        <v>4</v>
      </c>
      <c r="Y586">
        <v>4</v>
      </c>
      <c r="Z586">
        <v>4</v>
      </c>
      <c r="AA586">
        <v>4</v>
      </c>
      <c r="AB586">
        <v>4</v>
      </c>
      <c r="AC586">
        <v>4</v>
      </c>
      <c r="AD586">
        <v>0</v>
      </c>
      <c r="AE586">
        <v>10</v>
      </c>
      <c r="AF586">
        <v>11</v>
      </c>
      <c r="AG586">
        <v>11</v>
      </c>
    </row>
    <row r="587" spans="1:33" x14ac:dyDescent="0.35">
      <c r="A587" t="s">
        <v>33</v>
      </c>
      <c r="B587" t="s">
        <v>34</v>
      </c>
      <c r="C587">
        <v>16</v>
      </c>
      <c r="D587" t="s">
        <v>35</v>
      </c>
      <c r="E587" t="s">
        <v>36</v>
      </c>
      <c r="F587" t="s">
        <v>44</v>
      </c>
      <c r="G587">
        <v>2</v>
      </c>
      <c r="H587">
        <v>2</v>
      </c>
      <c r="I587" t="s">
        <v>48</v>
      </c>
      <c r="J587" t="s">
        <v>45</v>
      </c>
      <c r="K587" t="s">
        <v>51</v>
      </c>
      <c r="L587" t="s">
        <v>41</v>
      </c>
      <c r="M587">
        <v>2</v>
      </c>
      <c r="N587">
        <v>2</v>
      </c>
      <c r="O587">
        <v>0</v>
      </c>
      <c r="P587" t="s">
        <v>43</v>
      </c>
      <c r="Q587" t="s">
        <v>43</v>
      </c>
      <c r="R587" t="s">
        <v>43</v>
      </c>
      <c r="S587" t="s">
        <v>42</v>
      </c>
      <c r="T587" t="s">
        <v>43</v>
      </c>
      <c r="U587" t="s">
        <v>42</v>
      </c>
      <c r="V587" t="s">
        <v>42</v>
      </c>
      <c r="W587" t="s">
        <v>43</v>
      </c>
      <c r="X587">
        <v>3</v>
      </c>
      <c r="Y587">
        <v>4</v>
      </c>
      <c r="Z587">
        <v>4</v>
      </c>
      <c r="AA587">
        <v>1</v>
      </c>
      <c r="AB587">
        <v>4</v>
      </c>
      <c r="AC587">
        <v>5</v>
      </c>
      <c r="AD587">
        <v>0</v>
      </c>
      <c r="AE587">
        <v>13</v>
      </c>
      <c r="AF587">
        <v>12</v>
      </c>
      <c r="AG587">
        <v>14</v>
      </c>
    </row>
    <row r="588" spans="1:33" x14ac:dyDescent="0.35">
      <c r="A588" t="s">
        <v>33</v>
      </c>
      <c r="B588" t="s">
        <v>50</v>
      </c>
      <c r="C588">
        <v>17</v>
      </c>
      <c r="D588" t="s">
        <v>35</v>
      </c>
      <c r="E588" t="s">
        <v>36</v>
      </c>
      <c r="F588" t="s">
        <v>44</v>
      </c>
      <c r="G588">
        <v>3</v>
      </c>
      <c r="H588">
        <v>3</v>
      </c>
      <c r="I588" t="s">
        <v>45</v>
      </c>
      <c r="J588" t="s">
        <v>45</v>
      </c>
      <c r="K588" t="s">
        <v>51</v>
      </c>
      <c r="L588" t="s">
        <v>46</v>
      </c>
      <c r="M588">
        <v>1</v>
      </c>
      <c r="N588">
        <v>2</v>
      </c>
      <c r="O588">
        <v>0</v>
      </c>
      <c r="P588" t="s">
        <v>43</v>
      </c>
      <c r="Q588" t="s">
        <v>43</v>
      </c>
      <c r="R588" t="s">
        <v>43</v>
      </c>
      <c r="S588" t="s">
        <v>42</v>
      </c>
      <c r="T588" t="s">
        <v>43</v>
      </c>
      <c r="U588" t="s">
        <v>42</v>
      </c>
      <c r="V588" t="s">
        <v>42</v>
      </c>
      <c r="W588" t="s">
        <v>43</v>
      </c>
      <c r="X588">
        <v>4</v>
      </c>
      <c r="Y588">
        <v>3</v>
      </c>
      <c r="Z588">
        <v>4</v>
      </c>
      <c r="AA588">
        <v>1</v>
      </c>
      <c r="AB588">
        <v>4</v>
      </c>
      <c r="AC588">
        <v>4</v>
      </c>
      <c r="AD588">
        <v>4</v>
      </c>
      <c r="AE588">
        <v>11</v>
      </c>
      <c r="AF588">
        <v>9</v>
      </c>
      <c r="AG588">
        <v>10</v>
      </c>
    </row>
    <row r="589" spans="1:33" x14ac:dyDescent="0.35">
      <c r="A589" t="s">
        <v>33</v>
      </c>
      <c r="B589" t="s">
        <v>50</v>
      </c>
      <c r="C589">
        <v>16</v>
      </c>
      <c r="D589" t="s">
        <v>52</v>
      </c>
      <c r="E589" t="s">
        <v>36</v>
      </c>
      <c r="F589" t="s">
        <v>44</v>
      </c>
      <c r="G589">
        <v>4</v>
      </c>
      <c r="H589">
        <v>2</v>
      </c>
      <c r="I589" t="s">
        <v>39</v>
      </c>
      <c r="J589" t="s">
        <v>48</v>
      </c>
      <c r="K589" t="s">
        <v>45</v>
      </c>
      <c r="L589" t="s">
        <v>41</v>
      </c>
      <c r="M589">
        <v>1</v>
      </c>
      <c r="N589">
        <v>1</v>
      </c>
      <c r="O589">
        <v>0</v>
      </c>
      <c r="P589" t="s">
        <v>43</v>
      </c>
      <c r="Q589" t="s">
        <v>42</v>
      </c>
      <c r="R589" t="s">
        <v>43</v>
      </c>
      <c r="S589" t="s">
        <v>42</v>
      </c>
      <c r="T589" t="s">
        <v>42</v>
      </c>
      <c r="U589" t="s">
        <v>42</v>
      </c>
      <c r="V589" t="s">
        <v>42</v>
      </c>
      <c r="W589" t="s">
        <v>42</v>
      </c>
      <c r="X589">
        <v>4</v>
      </c>
      <c r="Y589">
        <v>3</v>
      </c>
      <c r="Z589">
        <v>3</v>
      </c>
      <c r="AA589">
        <v>3</v>
      </c>
      <c r="AB589">
        <v>4</v>
      </c>
      <c r="AC589">
        <v>3</v>
      </c>
      <c r="AD589">
        <v>8</v>
      </c>
      <c r="AE589">
        <v>10</v>
      </c>
      <c r="AF589">
        <v>9</v>
      </c>
      <c r="AG589">
        <v>11</v>
      </c>
    </row>
    <row r="590" spans="1:33" x14ac:dyDescent="0.35">
      <c r="A590" t="s">
        <v>33</v>
      </c>
      <c r="B590" t="s">
        <v>50</v>
      </c>
      <c r="C590">
        <v>17</v>
      </c>
      <c r="D590" t="s">
        <v>35</v>
      </c>
      <c r="E590" t="s">
        <v>36</v>
      </c>
      <c r="F590" t="s">
        <v>44</v>
      </c>
      <c r="G590">
        <v>4</v>
      </c>
      <c r="H590">
        <v>3</v>
      </c>
      <c r="I590" t="s">
        <v>45</v>
      </c>
      <c r="J590" t="s">
        <v>45</v>
      </c>
      <c r="K590" t="s">
        <v>40</v>
      </c>
      <c r="L590" t="s">
        <v>41</v>
      </c>
      <c r="M590">
        <v>1</v>
      </c>
      <c r="N590">
        <v>2</v>
      </c>
      <c r="O590">
        <v>0</v>
      </c>
      <c r="P590" t="s">
        <v>43</v>
      </c>
      <c r="Q590" t="s">
        <v>42</v>
      </c>
      <c r="R590" t="s">
        <v>42</v>
      </c>
      <c r="S590" t="s">
        <v>42</v>
      </c>
      <c r="T590" t="s">
        <v>42</v>
      </c>
      <c r="U590" t="s">
        <v>42</v>
      </c>
      <c r="V590" t="s">
        <v>42</v>
      </c>
      <c r="W590" t="s">
        <v>42</v>
      </c>
      <c r="X590">
        <v>5</v>
      </c>
      <c r="Y590">
        <v>2</v>
      </c>
      <c r="Z590">
        <v>3</v>
      </c>
      <c r="AA590">
        <v>1</v>
      </c>
      <c r="AB590">
        <v>1</v>
      </c>
      <c r="AC590">
        <v>2</v>
      </c>
      <c r="AD590">
        <v>4</v>
      </c>
      <c r="AE590">
        <v>11</v>
      </c>
      <c r="AF590">
        <v>11</v>
      </c>
      <c r="AG590">
        <v>13</v>
      </c>
    </row>
    <row r="591" spans="1:33" x14ac:dyDescent="0.35">
      <c r="A591" t="s">
        <v>33</v>
      </c>
      <c r="B591" t="s">
        <v>50</v>
      </c>
      <c r="C591">
        <v>16</v>
      </c>
      <c r="D591" t="s">
        <v>35</v>
      </c>
      <c r="E591" t="s">
        <v>36</v>
      </c>
      <c r="F591" t="s">
        <v>44</v>
      </c>
      <c r="G591">
        <v>4</v>
      </c>
      <c r="H591">
        <v>3</v>
      </c>
      <c r="I591" t="s">
        <v>39</v>
      </c>
      <c r="J591" t="s">
        <v>45</v>
      </c>
      <c r="K591" t="s">
        <v>49</v>
      </c>
      <c r="L591" t="s">
        <v>41</v>
      </c>
      <c r="M591">
        <v>1</v>
      </c>
      <c r="N591">
        <v>2</v>
      </c>
      <c r="O591">
        <v>0</v>
      </c>
      <c r="P591" t="s">
        <v>43</v>
      </c>
      <c r="Q591" t="s">
        <v>42</v>
      </c>
      <c r="R591" t="s">
        <v>42</v>
      </c>
      <c r="S591" t="s">
        <v>42</v>
      </c>
      <c r="T591" t="s">
        <v>42</v>
      </c>
      <c r="U591" t="s">
        <v>42</v>
      </c>
      <c r="V591" t="s">
        <v>42</v>
      </c>
      <c r="W591" t="s">
        <v>43</v>
      </c>
      <c r="X591">
        <v>3</v>
      </c>
      <c r="Y591">
        <v>4</v>
      </c>
      <c r="Z591">
        <v>3</v>
      </c>
      <c r="AA591">
        <v>2</v>
      </c>
      <c r="AB591">
        <v>3</v>
      </c>
      <c r="AC591">
        <v>3</v>
      </c>
      <c r="AD591">
        <v>4</v>
      </c>
      <c r="AE591">
        <v>11</v>
      </c>
      <c r="AF591">
        <v>10</v>
      </c>
      <c r="AG591">
        <v>11</v>
      </c>
    </row>
    <row r="592" spans="1:33" x14ac:dyDescent="0.35">
      <c r="A592" t="s">
        <v>33</v>
      </c>
      <c r="B592" t="s">
        <v>50</v>
      </c>
      <c r="C592">
        <v>16</v>
      </c>
      <c r="D592" t="s">
        <v>35</v>
      </c>
      <c r="E592" t="s">
        <v>36</v>
      </c>
      <c r="F592" t="s">
        <v>44</v>
      </c>
      <c r="G592">
        <v>3</v>
      </c>
      <c r="H592">
        <v>3</v>
      </c>
      <c r="I592" t="s">
        <v>48</v>
      </c>
      <c r="J592" t="s">
        <v>45</v>
      </c>
      <c r="K592" t="s">
        <v>49</v>
      </c>
      <c r="L592" t="s">
        <v>41</v>
      </c>
      <c r="M592">
        <v>1</v>
      </c>
      <c r="N592">
        <v>2</v>
      </c>
      <c r="O592">
        <v>0</v>
      </c>
      <c r="P592" t="s">
        <v>43</v>
      </c>
      <c r="Q592" t="s">
        <v>43</v>
      </c>
      <c r="R592" t="s">
        <v>43</v>
      </c>
      <c r="S592" t="s">
        <v>42</v>
      </c>
      <c r="T592" t="s">
        <v>42</v>
      </c>
      <c r="U592" t="s">
        <v>42</v>
      </c>
      <c r="V592" t="s">
        <v>42</v>
      </c>
      <c r="W592" t="s">
        <v>42</v>
      </c>
      <c r="X592">
        <v>4</v>
      </c>
      <c r="Y592">
        <v>2</v>
      </c>
      <c r="Z592">
        <v>3</v>
      </c>
      <c r="AA592">
        <v>1</v>
      </c>
      <c r="AB592">
        <v>2</v>
      </c>
      <c r="AC592">
        <v>3</v>
      </c>
      <c r="AD592">
        <v>0</v>
      </c>
      <c r="AE592">
        <v>11</v>
      </c>
      <c r="AF592">
        <v>12</v>
      </c>
      <c r="AG592">
        <v>13</v>
      </c>
    </row>
    <row r="593" spans="1:33" x14ac:dyDescent="0.35">
      <c r="A593" t="s">
        <v>33</v>
      </c>
      <c r="B593" t="s">
        <v>34</v>
      </c>
      <c r="C593">
        <v>17</v>
      </c>
      <c r="D593" t="s">
        <v>35</v>
      </c>
      <c r="E593" t="s">
        <v>36</v>
      </c>
      <c r="F593" t="s">
        <v>44</v>
      </c>
      <c r="G593">
        <v>2</v>
      </c>
      <c r="H593">
        <v>4</v>
      </c>
      <c r="I593" t="s">
        <v>48</v>
      </c>
      <c r="J593" t="s">
        <v>48</v>
      </c>
      <c r="K593" t="s">
        <v>51</v>
      </c>
      <c r="L593" t="s">
        <v>46</v>
      </c>
      <c r="M593">
        <v>1</v>
      </c>
      <c r="N593">
        <v>2</v>
      </c>
      <c r="O593">
        <v>0</v>
      </c>
      <c r="P593" t="s">
        <v>43</v>
      </c>
      <c r="Q593" t="s">
        <v>42</v>
      </c>
      <c r="R593" t="s">
        <v>43</v>
      </c>
      <c r="S593" t="s">
        <v>42</v>
      </c>
      <c r="T593" t="s">
        <v>42</v>
      </c>
      <c r="U593" t="s">
        <v>42</v>
      </c>
      <c r="V593" t="s">
        <v>43</v>
      </c>
      <c r="W593" t="s">
        <v>43</v>
      </c>
      <c r="X593">
        <v>5</v>
      </c>
      <c r="Y593">
        <v>4</v>
      </c>
      <c r="Z593">
        <v>2</v>
      </c>
      <c r="AA593">
        <v>2</v>
      </c>
      <c r="AB593">
        <v>3</v>
      </c>
      <c r="AC593">
        <v>5</v>
      </c>
      <c r="AD593">
        <v>0</v>
      </c>
      <c r="AE593">
        <v>17</v>
      </c>
      <c r="AF593">
        <v>18</v>
      </c>
      <c r="AG593">
        <v>17</v>
      </c>
    </row>
    <row r="594" spans="1:33" x14ac:dyDescent="0.35">
      <c r="A594" t="s">
        <v>33</v>
      </c>
      <c r="B594" t="s">
        <v>34</v>
      </c>
      <c r="C594">
        <v>17</v>
      </c>
      <c r="D594" t="s">
        <v>35</v>
      </c>
      <c r="E594" t="s">
        <v>47</v>
      </c>
      <c r="F594" t="s">
        <v>44</v>
      </c>
      <c r="G594">
        <v>3</v>
      </c>
      <c r="H594">
        <v>3</v>
      </c>
      <c r="I594" t="s">
        <v>45</v>
      </c>
      <c r="J594" t="s">
        <v>45</v>
      </c>
      <c r="K594" t="s">
        <v>51</v>
      </c>
      <c r="L594" t="s">
        <v>41</v>
      </c>
      <c r="M594">
        <v>1</v>
      </c>
      <c r="N594">
        <v>2</v>
      </c>
      <c r="O594">
        <v>0</v>
      </c>
      <c r="P594" t="s">
        <v>43</v>
      </c>
      <c r="Q594" t="s">
        <v>42</v>
      </c>
      <c r="R594" t="s">
        <v>43</v>
      </c>
      <c r="S594" t="s">
        <v>42</v>
      </c>
      <c r="T594" t="s">
        <v>42</v>
      </c>
      <c r="U594" t="s">
        <v>42</v>
      </c>
      <c r="V594" t="s">
        <v>42</v>
      </c>
      <c r="W594" t="s">
        <v>42</v>
      </c>
      <c r="X594">
        <v>5</v>
      </c>
      <c r="Y594">
        <v>3</v>
      </c>
      <c r="Z594">
        <v>3</v>
      </c>
      <c r="AA594">
        <v>2</v>
      </c>
      <c r="AB594">
        <v>3</v>
      </c>
      <c r="AC594">
        <v>1</v>
      </c>
      <c r="AD594">
        <v>32</v>
      </c>
      <c r="AE594">
        <v>14</v>
      </c>
      <c r="AF594">
        <v>13</v>
      </c>
      <c r="AG594">
        <v>14</v>
      </c>
    </row>
    <row r="595" spans="1:33" x14ac:dyDescent="0.35">
      <c r="A595" t="s">
        <v>33</v>
      </c>
      <c r="B595" t="s">
        <v>34</v>
      </c>
      <c r="C595">
        <v>16</v>
      </c>
      <c r="D595" t="s">
        <v>35</v>
      </c>
      <c r="E595" t="s">
        <v>36</v>
      </c>
      <c r="F595" t="s">
        <v>44</v>
      </c>
      <c r="G595">
        <v>3</v>
      </c>
      <c r="H595">
        <v>2</v>
      </c>
      <c r="I595" t="s">
        <v>45</v>
      </c>
      <c r="J595" t="s">
        <v>45</v>
      </c>
      <c r="K595" t="s">
        <v>51</v>
      </c>
      <c r="L595" t="s">
        <v>41</v>
      </c>
      <c r="M595">
        <v>1</v>
      </c>
      <c r="N595">
        <v>2</v>
      </c>
      <c r="O595">
        <v>0</v>
      </c>
      <c r="P595" t="s">
        <v>43</v>
      </c>
      <c r="Q595" t="s">
        <v>42</v>
      </c>
      <c r="R595" t="s">
        <v>43</v>
      </c>
      <c r="S595" t="s">
        <v>43</v>
      </c>
      <c r="T595" t="s">
        <v>42</v>
      </c>
      <c r="U595" t="s">
        <v>42</v>
      </c>
      <c r="V595" t="s">
        <v>42</v>
      </c>
      <c r="W595" t="s">
        <v>43</v>
      </c>
      <c r="X595">
        <v>1</v>
      </c>
      <c r="Y595">
        <v>2</v>
      </c>
      <c r="Z595">
        <v>2</v>
      </c>
      <c r="AA595">
        <v>1</v>
      </c>
      <c r="AB595">
        <v>2</v>
      </c>
      <c r="AC595">
        <v>1</v>
      </c>
      <c r="AD595">
        <v>8</v>
      </c>
      <c r="AE595">
        <v>14</v>
      </c>
      <c r="AF595">
        <v>15</v>
      </c>
      <c r="AG595">
        <v>16</v>
      </c>
    </row>
    <row r="596" spans="1:33" x14ac:dyDescent="0.35">
      <c r="A596" t="s">
        <v>33</v>
      </c>
      <c r="B596" t="s">
        <v>50</v>
      </c>
      <c r="C596">
        <v>17</v>
      </c>
      <c r="D596" t="s">
        <v>35</v>
      </c>
      <c r="E596" t="s">
        <v>36</v>
      </c>
      <c r="F596" t="s">
        <v>44</v>
      </c>
      <c r="G596">
        <v>3</v>
      </c>
      <c r="H596">
        <v>3</v>
      </c>
      <c r="I596" t="s">
        <v>48</v>
      </c>
      <c r="J596" t="s">
        <v>48</v>
      </c>
      <c r="K596" t="s">
        <v>45</v>
      </c>
      <c r="L596" t="s">
        <v>41</v>
      </c>
      <c r="M596">
        <v>1</v>
      </c>
      <c r="N596">
        <v>2</v>
      </c>
      <c r="O596">
        <v>0</v>
      </c>
      <c r="P596" t="s">
        <v>43</v>
      </c>
      <c r="Q596" t="s">
        <v>42</v>
      </c>
      <c r="R596" t="s">
        <v>43</v>
      </c>
      <c r="S596" t="s">
        <v>42</v>
      </c>
      <c r="T596" t="s">
        <v>42</v>
      </c>
      <c r="U596" t="s">
        <v>42</v>
      </c>
      <c r="V596" t="s">
        <v>42</v>
      </c>
      <c r="W596" t="s">
        <v>42</v>
      </c>
      <c r="X596">
        <v>4</v>
      </c>
      <c r="Y596">
        <v>3</v>
      </c>
      <c r="Z596">
        <v>4</v>
      </c>
      <c r="AA596">
        <v>2</v>
      </c>
      <c r="AB596">
        <v>3</v>
      </c>
      <c r="AC596">
        <v>4</v>
      </c>
      <c r="AD596">
        <v>6</v>
      </c>
      <c r="AE596">
        <v>11</v>
      </c>
      <c r="AF596">
        <v>13</v>
      </c>
      <c r="AG596">
        <v>14</v>
      </c>
    </row>
    <row r="597" spans="1:33" x14ac:dyDescent="0.35">
      <c r="A597" t="s">
        <v>33</v>
      </c>
      <c r="B597" t="s">
        <v>50</v>
      </c>
      <c r="C597">
        <v>16</v>
      </c>
      <c r="D597" t="s">
        <v>35</v>
      </c>
      <c r="E597" t="s">
        <v>36</v>
      </c>
      <c r="F597" t="s">
        <v>44</v>
      </c>
      <c r="G597">
        <v>1</v>
      </c>
      <c r="H597">
        <v>2</v>
      </c>
      <c r="I597" t="s">
        <v>48</v>
      </c>
      <c r="J597" t="s">
        <v>48</v>
      </c>
      <c r="K597" t="s">
        <v>45</v>
      </c>
      <c r="L597" t="s">
        <v>41</v>
      </c>
      <c r="M597">
        <v>1</v>
      </c>
      <c r="N597">
        <v>1</v>
      </c>
      <c r="O597">
        <v>0</v>
      </c>
      <c r="P597" t="s">
        <v>43</v>
      </c>
      <c r="Q597" t="s">
        <v>42</v>
      </c>
      <c r="R597" t="s">
        <v>43</v>
      </c>
      <c r="S597" t="s">
        <v>42</v>
      </c>
      <c r="T597" t="s">
        <v>42</v>
      </c>
      <c r="U597" t="s">
        <v>42</v>
      </c>
      <c r="V597" t="s">
        <v>42</v>
      </c>
      <c r="W597" t="s">
        <v>42</v>
      </c>
      <c r="X597">
        <v>3</v>
      </c>
      <c r="Y597">
        <v>3</v>
      </c>
      <c r="Z597">
        <v>3</v>
      </c>
      <c r="AA597">
        <v>1</v>
      </c>
      <c r="AB597">
        <v>2</v>
      </c>
      <c r="AC597">
        <v>3</v>
      </c>
      <c r="AD597">
        <v>0</v>
      </c>
      <c r="AE597">
        <v>10</v>
      </c>
      <c r="AF597">
        <v>9</v>
      </c>
      <c r="AG597">
        <v>11</v>
      </c>
    </row>
    <row r="598" spans="1:33" x14ac:dyDescent="0.35">
      <c r="A598" t="s">
        <v>33</v>
      </c>
      <c r="B598" t="s">
        <v>50</v>
      </c>
      <c r="C598">
        <v>16</v>
      </c>
      <c r="D598" t="s">
        <v>35</v>
      </c>
      <c r="E598" t="s">
        <v>47</v>
      </c>
      <c r="F598" t="s">
        <v>44</v>
      </c>
      <c r="G598">
        <v>2</v>
      </c>
      <c r="H598">
        <v>1</v>
      </c>
      <c r="I598" t="s">
        <v>45</v>
      </c>
      <c r="J598" t="s">
        <v>45</v>
      </c>
      <c r="K598" t="s">
        <v>40</v>
      </c>
      <c r="L598" t="s">
        <v>41</v>
      </c>
      <c r="M598">
        <v>1</v>
      </c>
      <c r="N598">
        <v>2</v>
      </c>
      <c r="O598">
        <v>0</v>
      </c>
      <c r="P598" t="s">
        <v>43</v>
      </c>
      <c r="Q598" t="s">
        <v>43</v>
      </c>
      <c r="R598" t="s">
        <v>43</v>
      </c>
      <c r="S598" t="s">
        <v>42</v>
      </c>
      <c r="T598" t="s">
        <v>42</v>
      </c>
      <c r="U598" t="s">
        <v>42</v>
      </c>
      <c r="V598" t="s">
        <v>42</v>
      </c>
      <c r="W598" t="s">
        <v>42</v>
      </c>
      <c r="X598">
        <v>4</v>
      </c>
      <c r="Y598">
        <v>2</v>
      </c>
      <c r="Z598">
        <v>3</v>
      </c>
      <c r="AA598">
        <v>1</v>
      </c>
      <c r="AB598">
        <v>2</v>
      </c>
      <c r="AC598">
        <v>5</v>
      </c>
      <c r="AD598">
        <v>0</v>
      </c>
      <c r="AE598">
        <v>13</v>
      </c>
      <c r="AF598">
        <v>14</v>
      </c>
      <c r="AG598">
        <v>16</v>
      </c>
    </row>
    <row r="599" spans="1:33" x14ac:dyDescent="0.35">
      <c r="A599" t="s">
        <v>33</v>
      </c>
      <c r="B599" t="s">
        <v>34</v>
      </c>
      <c r="C599">
        <v>17</v>
      </c>
      <c r="D599" t="s">
        <v>35</v>
      </c>
      <c r="E599" t="s">
        <v>36</v>
      </c>
      <c r="F599" t="s">
        <v>37</v>
      </c>
      <c r="G599">
        <v>3</v>
      </c>
      <c r="H599">
        <v>3</v>
      </c>
      <c r="I599" t="s">
        <v>28</v>
      </c>
      <c r="J599" t="s">
        <v>45</v>
      </c>
      <c r="K599" t="s">
        <v>51</v>
      </c>
      <c r="L599" t="s">
        <v>41</v>
      </c>
      <c r="M599">
        <v>1</v>
      </c>
      <c r="N599">
        <v>2</v>
      </c>
      <c r="O599">
        <v>0</v>
      </c>
      <c r="P599" t="s">
        <v>43</v>
      </c>
      <c r="Q599" t="s">
        <v>42</v>
      </c>
      <c r="R599" t="s">
        <v>43</v>
      </c>
      <c r="S599" t="s">
        <v>43</v>
      </c>
      <c r="T599" t="s">
        <v>43</v>
      </c>
      <c r="U599" t="s">
        <v>42</v>
      </c>
      <c r="V599" t="s">
        <v>42</v>
      </c>
      <c r="W599" t="s">
        <v>42</v>
      </c>
      <c r="X599">
        <v>3</v>
      </c>
      <c r="Y599">
        <v>3</v>
      </c>
      <c r="Z599">
        <v>3</v>
      </c>
      <c r="AA599">
        <v>1</v>
      </c>
      <c r="AB599">
        <v>3</v>
      </c>
      <c r="AC599">
        <v>3</v>
      </c>
      <c r="AD599">
        <v>10</v>
      </c>
      <c r="AE599">
        <v>12</v>
      </c>
      <c r="AF599">
        <v>13</v>
      </c>
      <c r="AG599">
        <v>14</v>
      </c>
    </row>
    <row r="600" spans="1:33" x14ac:dyDescent="0.35">
      <c r="A600" t="s">
        <v>33</v>
      </c>
      <c r="B600" t="s">
        <v>50</v>
      </c>
      <c r="C600">
        <v>17</v>
      </c>
      <c r="D600" t="s">
        <v>52</v>
      </c>
      <c r="E600" t="s">
        <v>36</v>
      </c>
      <c r="F600" t="s">
        <v>44</v>
      </c>
      <c r="G600">
        <v>1</v>
      </c>
      <c r="H600">
        <v>2</v>
      </c>
      <c r="I600" t="s">
        <v>38</v>
      </c>
      <c r="J600" t="s">
        <v>45</v>
      </c>
      <c r="K600" t="s">
        <v>49</v>
      </c>
      <c r="L600" t="s">
        <v>41</v>
      </c>
      <c r="M600">
        <v>1</v>
      </c>
      <c r="N600">
        <v>2</v>
      </c>
      <c r="O600">
        <v>0</v>
      </c>
      <c r="P600" t="s">
        <v>43</v>
      </c>
      <c r="Q600" t="s">
        <v>43</v>
      </c>
      <c r="R600" t="s">
        <v>43</v>
      </c>
      <c r="S600" t="s">
        <v>43</v>
      </c>
      <c r="T600" t="s">
        <v>42</v>
      </c>
      <c r="U600" t="s">
        <v>42</v>
      </c>
      <c r="V600" t="s">
        <v>43</v>
      </c>
      <c r="W600" t="s">
        <v>43</v>
      </c>
      <c r="X600">
        <v>3</v>
      </c>
      <c r="Y600">
        <v>1</v>
      </c>
      <c r="Z600">
        <v>3</v>
      </c>
      <c r="AA600">
        <v>1</v>
      </c>
      <c r="AB600">
        <v>5</v>
      </c>
      <c r="AC600">
        <v>3</v>
      </c>
      <c r="AD600">
        <v>6</v>
      </c>
      <c r="AE600">
        <v>9</v>
      </c>
      <c r="AF600">
        <v>9</v>
      </c>
      <c r="AG600">
        <v>10</v>
      </c>
    </row>
    <row r="601" spans="1:33" x14ac:dyDescent="0.35">
      <c r="A601" t="s">
        <v>33</v>
      </c>
      <c r="B601" t="s">
        <v>34</v>
      </c>
      <c r="C601">
        <v>16</v>
      </c>
      <c r="D601" t="s">
        <v>35</v>
      </c>
      <c r="E601" t="s">
        <v>36</v>
      </c>
      <c r="F601" t="s">
        <v>44</v>
      </c>
      <c r="G601">
        <v>2</v>
      </c>
      <c r="H601">
        <v>3</v>
      </c>
      <c r="I601" t="s">
        <v>48</v>
      </c>
      <c r="J601" t="s">
        <v>48</v>
      </c>
      <c r="K601" t="s">
        <v>40</v>
      </c>
      <c r="L601" t="s">
        <v>41</v>
      </c>
      <c r="M601">
        <v>1</v>
      </c>
      <c r="N601">
        <v>2</v>
      </c>
      <c r="O601">
        <v>0</v>
      </c>
      <c r="P601" t="s">
        <v>43</v>
      </c>
      <c r="Q601" t="s">
        <v>43</v>
      </c>
      <c r="R601" t="s">
        <v>43</v>
      </c>
      <c r="S601" t="s">
        <v>43</v>
      </c>
      <c r="T601" t="s">
        <v>42</v>
      </c>
      <c r="U601" t="s">
        <v>42</v>
      </c>
      <c r="V601" t="s">
        <v>42</v>
      </c>
      <c r="W601" t="s">
        <v>43</v>
      </c>
      <c r="X601">
        <v>4</v>
      </c>
      <c r="Y601">
        <v>3</v>
      </c>
      <c r="Z601">
        <v>3</v>
      </c>
      <c r="AA601">
        <v>1</v>
      </c>
      <c r="AB601">
        <v>1</v>
      </c>
      <c r="AC601">
        <v>2</v>
      </c>
      <c r="AD601">
        <v>6</v>
      </c>
      <c r="AE601">
        <v>12</v>
      </c>
      <c r="AF601">
        <v>12</v>
      </c>
      <c r="AG601">
        <v>13</v>
      </c>
    </row>
    <row r="602" spans="1:33" x14ac:dyDescent="0.35">
      <c r="A602" t="s">
        <v>33</v>
      </c>
      <c r="B602" t="s">
        <v>34</v>
      </c>
      <c r="C602">
        <v>17</v>
      </c>
      <c r="D602" t="s">
        <v>35</v>
      </c>
      <c r="E602" t="s">
        <v>36</v>
      </c>
      <c r="F602" t="s">
        <v>44</v>
      </c>
      <c r="G602">
        <v>1</v>
      </c>
      <c r="H602">
        <v>1</v>
      </c>
      <c r="I602" t="s">
        <v>38</v>
      </c>
      <c r="J602" t="s">
        <v>48</v>
      </c>
      <c r="K602" t="s">
        <v>40</v>
      </c>
      <c r="L602" t="s">
        <v>41</v>
      </c>
      <c r="M602">
        <v>1</v>
      </c>
      <c r="N602">
        <v>2</v>
      </c>
      <c r="O602">
        <v>0</v>
      </c>
      <c r="P602" t="s">
        <v>43</v>
      </c>
      <c r="Q602" t="s">
        <v>43</v>
      </c>
      <c r="R602" t="s">
        <v>43</v>
      </c>
      <c r="S602" t="s">
        <v>42</v>
      </c>
      <c r="T602" t="s">
        <v>42</v>
      </c>
      <c r="U602" t="s">
        <v>42</v>
      </c>
      <c r="V602" t="s">
        <v>42</v>
      </c>
      <c r="W602" t="s">
        <v>43</v>
      </c>
      <c r="X602">
        <v>5</v>
      </c>
      <c r="Y602">
        <v>3</v>
      </c>
      <c r="Z602">
        <v>3</v>
      </c>
      <c r="AA602">
        <v>1</v>
      </c>
      <c r="AB602">
        <v>1</v>
      </c>
      <c r="AC602">
        <v>3</v>
      </c>
      <c r="AD602">
        <v>0</v>
      </c>
      <c r="AE602">
        <v>12</v>
      </c>
      <c r="AF602">
        <v>11</v>
      </c>
      <c r="AG602">
        <v>12</v>
      </c>
    </row>
    <row r="603" spans="1:33" x14ac:dyDescent="0.35">
      <c r="A603" t="s">
        <v>33</v>
      </c>
      <c r="B603" t="s">
        <v>50</v>
      </c>
      <c r="C603">
        <v>17</v>
      </c>
      <c r="D603" t="s">
        <v>35</v>
      </c>
      <c r="E603" t="s">
        <v>36</v>
      </c>
      <c r="F603" t="s">
        <v>44</v>
      </c>
      <c r="G603">
        <v>1</v>
      </c>
      <c r="H603">
        <v>2</v>
      </c>
      <c r="I603" t="s">
        <v>38</v>
      </c>
      <c r="J603" t="s">
        <v>48</v>
      </c>
      <c r="K603" t="s">
        <v>45</v>
      </c>
      <c r="L603" t="s">
        <v>45</v>
      </c>
      <c r="M603">
        <v>2</v>
      </c>
      <c r="N603">
        <v>2</v>
      </c>
      <c r="O603">
        <v>0</v>
      </c>
      <c r="P603" t="s">
        <v>43</v>
      </c>
      <c r="Q603" t="s">
        <v>43</v>
      </c>
      <c r="R603" t="s">
        <v>43</v>
      </c>
      <c r="S603" t="s">
        <v>42</v>
      </c>
      <c r="T603" t="s">
        <v>43</v>
      </c>
      <c r="U603" t="s">
        <v>42</v>
      </c>
      <c r="V603" t="s">
        <v>42</v>
      </c>
      <c r="W603" t="s">
        <v>43</v>
      </c>
      <c r="X603">
        <v>4</v>
      </c>
      <c r="Y603">
        <v>4</v>
      </c>
      <c r="Z603">
        <v>4</v>
      </c>
      <c r="AA603">
        <v>4</v>
      </c>
      <c r="AB603">
        <v>5</v>
      </c>
      <c r="AC603">
        <v>5</v>
      </c>
      <c r="AD603">
        <v>16</v>
      </c>
      <c r="AE603">
        <v>10</v>
      </c>
      <c r="AF603">
        <v>11</v>
      </c>
      <c r="AG603">
        <v>12</v>
      </c>
    </row>
    <row r="604" spans="1:33" x14ac:dyDescent="0.35">
      <c r="A604" t="s">
        <v>33</v>
      </c>
      <c r="B604" t="s">
        <v>50</v>
      </c>
      <c r="C604">
        <v>16</v>
      </c>
      <c r="D604" t="s">
        <v>52</v>
      </c>
      <c r="E604" t="s">
        <v>36</v>
      </c>
      <c r="F604" t="s">
        <v>44</v>
      </c>
      <c r="G604">
        <v>3</v>
      </c>
      <c r="H604">
        <v>3</v>
      </c>
      <c r="I604" t="s">
        <v>48</v>
      </c>
      <c r="J604" t="s">
        <v>48</v>
      </c>
      <c r="K604" t="s">
        <v>51</v>
      </c>
      <c r="L604" t="s">
        <v>41</v>
      </c>
      <c r="M604">
        <v>1</v>
      </c>
      <c r="N604">
        <v>1</v>
      </c>
      <c r="O604">
        <v>0</v>
      </c>
      <c r="P604" t="s">
        <v>43</v>
      </c>
      <c r="Q604" t="s">
        <v>42</v>
      </c>
      <c r="R604" t="s">
        <v>43</v>
      </c>
      <c r="S604" t="s">
        <v>42</v>
      </c>
      <c r="T604" t="s">
        <v>42</v>
      </c>
      <c r="U604" t="s">
        <v>42</v>
      </c>
      <c r="V604" t="s">
        <v>42</v>
      </c>
      <c r="W604" t="s">
        <v>43</v>
      </c>
      <c r="X604">
        <v>4</v>
      </c>
      <c r="Y604">
        <v>3</v>
      </c>
      <c r="Z604">
        <v>2</v>
      </c>
      <c r="AA604">
        <v>3</v>
      </c>
      <c r="AB604">
        <v>4</v>
      </c>
      <c r="AC604">
        <v>5</v>
      </c>
      <c r="AD604">
        <v>0</v>
      </c>
      <c r="AE604">
        <v>11</v>
      </c>
      <c r="AF604">
        <v>10</v>
      </c>
      <c r="AG604">
        <v>10</v>
      </c>
    </row>
    <row r="605" spans="1:33" x14ac:dyDescent="0.35">
      <c r="A605" t="s">
        <v>33</v>
      </c>
      <c r="B605" t="s">
        <v>50</v>
      </c>
      <c r="C605">
        <v>16</v>
      </c>
      <c r="D605" t="s">
        <v>35</v>
      </c>
      <c r="E605" t="s">
        <v>36</v>
      </c>
      <c r="F605" t="s">
        <v>44</v>
      </c>
      <c r="G605">
        <v>2</v>
      </c>
      <c r="H605">
        <v>3</v>
      </c>
      <c r="I605" t="s">
        <v>45</v>
      </c>
      <c r="J605" t="s">
        <v>45</v>
      </c>
      <c r="K605" t="s">
        <v>49</v>
      </c>
      <c r="L605" t="s">
        <v>46</v>
      </c>
      <c r="M605">
        <v>2</v>
      </c>
      <c r="N605">
        <v>1</v>
      </c>
      <c r="O605">
        <v>0</v>
      </c>
      <c r="P605" t="s">
        <v>43</v>
      </c>
      <c r="Q605" t="s">
        <v>43</v>
      </c>
      <c r="R605" t="s">
        <v>43</v>
      </c>
      <c r="S605" t="s">
        <v>43</v>
      </c>
      <c r="T605" t="s">
        <v>42</v>
      </c>
      <c r="U605" t="s">
        <v>42</v>
      </c>
      <c r="V605" t="s">
        <v>42</v>
      </c>
      <c r="W605" t="s">
        <v>43</v>
      </c>
      <c r="X605">
        <v>5</v>
      </c>
      <c r="Y605">
        <v>3</v>
      </c>
      <c r="Z605">
        <v>3</v>
      </c>
      <c r="AA605">
        <v>1</v>
      </c>
      <c r="AB605">
        <v>1</v>
      </c>
      <c r="AC605">
        <v>3</v>
      </c>
      <c r="AD605">
        <v>0</v>
      </c>
      <c r="AE605">
        <v>13</v>
      </c>
      <c r="AF605">
        <v>12</v>
      </c>
      <c r="AG605">
        <v>12</v>
      </c>
    </row>
    <row r="606" spans="1:33" x14ac:dyDescent="0.35">
      <c r="A606" t="s">
        <v>33</v>
      </c>
      <c r="B606" t="s">
        <v>34</v>
      </c>
      <c r="C606">
        <v>17</v>
      </c>
      <c r="D606" t="s">
        <v>35</v>
      </c>
      <c r="E606" t="s">
        <v>47</v>
      </c>
      <c r="F606" t="s">
        <v>44</v>
      </c>
      <c r="G606">
        <v>2</v>
      </c>
      <c r="H606">
        <v>4</v>
      </c>
      <c r="I606" t="s">
        <v>48</v>
      </c>
      <c r="J606" t="s">
        <v>48</v>
      </c>
      <c r="K606" t="s">
        <v>40</v>
      </c>
      <c r="L606" t="s">
        <v>46</v>
      </c>
      <c r="M606">
        <v>1</v>
      </c>
      <c r="N606">
        <v>2</v>
      </c>
      <c r="O606">
        <v>0</v>
      </c>
      <c r="P606" t="s">
        <v>43</v>
      </c>
      <c r="Q606" t="s">
        <v>43</v>
      </c>
      <c r="R606" t="s">
        <v>43</v>
      </c>
      <c r="S606" t="s">
        <v>42</v>
      </c>
      <c r="T606" t="s">
        <v>42</v>
      </c>
      <c r="U606" t="s">
        <v>42</v>
      </c>
      <c r="V606" t="s">
        <v>42</v>
      </c>
      <c r="W606" t="s">
        <v>42</v>
      </c>
      <c r="X606">
        <v>4</v>
      </c>
      <c r="Y606">
        <v>3</v>
      </c>
      <c r="Z606">
        <v>2</v>
      </c>
      <c r="AA606">
        <v>1</v>
      </c>
      <c r="AB606">
        <v>1</v>
      </c>
      <c r="AC606">
        <v>5</v>
      </c>
      <c r="AD606">
        <v>8</v>
      </c>
      <c r="AE606">
        <v>14</v>
      </c>
      <c r="AF606">
        <v>15</v>
      </c>
      <c r="AG606">
        <v>16</v>
      </c>
    </row>
    <row r="607" spans="1:33" x14ac:dyDescent="0.35">
      <c r="A607" t="s">
        <v>33</v>
      </c>
      <c r="B607" t="s">
        <v>50</v>
      </c>
      <c r="C607">
        <v>17</v>
      </c>
      <c r="D607" t="s">
        <v>35</v>
      </c>
      <c r="E607" t="s">
        <v>36</v>
      </c>
      <c r="F607" t="s">
        <v>44</v>
      </c>
      <c r="G607">
        <v>4</v>
      </c>
      <c r="H607">
        <v>4</v>
      </c>
      <c r="I607" t="s">
        <v>48</v>
      </c>
      <c r="J607" t="s">
        <v>39</v>
      </c>
      <c r="K607" t="s">
        <v>49</v>
      </c>
      <c r="L607" t="s">
        <v>41</v>
      </c>
      <c r="M607">
        <v>1</v>
      </c>
      <c r="N607">
        <v>1</v>
      </c>
      <c r="O607">
        <v>0</v>
      </c>
      <c r="P607" t="s">
        <v>43</v>
      </c>
      <c r="Q607" t="s">
        <v>43</v>
      </c>
      <c r="R607" t="s">
        <v>43</v>
      </c>
      <c r="S607" t="s">
        <v>43</v>
      </c>
      <c r="T607" t="s">
        <v>42</v>
      </c>
      <c r="U607" t="s">
        <v>42</v>
      </c>
      <c r="V607" t="s">
        <v>42</v>
      </c>
      <c r="W607" t="s">
        <v>43</v>
      </c>
      <c r="X607">
        <v>5</v>
      </c>
      <c r="Y607">
        <v>2</v>
      </c>
      <c r="Z607">
        <v>3</v>
      </c>
      <c r="AA607">
        <v>1</v>
      </c>
      <c r="AB607">
        <v>2</v>
      </c>
      <c r="AC607">
        <v>5</v>
      </c>
      <c r="AD607">
        <v>4</v>
      </c>
      <c r="AE607">
        <v>13</v>
      </c>
      <c r="AF607">
        <v>13</v>
      </c>
      <c r="AG607">
        <v>14</v>
      </c>
    </row>
    <row r="608" spans="1:33" x14ac:dyDescent="0.35">
      <c r="A608" t="s">
        <v>33</v>
      </c>
      <c r="B608" t="s">
        <v>50</v>
      </c>
      <c r="C608">
        <v>16</v>
      </c>
      <c r="D608" t="s">
        <v>52</v>
      </c>
      <c r="E608" t="s">
        <v>47</v>
      </c>
      <c r="F608" t="s">
        <v>44</v>
      </c>
      <c r="G608">
        <v>3</v>
      </c>
      <c r="H608">
        <v>3</v>
      </c>
      <c r="I608" t="s">
        <v>39</v>
      </c>
      <c r="J608" t="s">
        <v>45</v>
      </c>
      <c r="K608" t="s">
        <v>49</v>
      </c>
      <c r="L608" t="s">
        <v>46</v>
      </c>
      <c r="M608">
        <v>3</v>
      </c>
      <c r="N608">
        <v>1</v>
      </c>
      <c r="O608">
        <v>0</v>
      </c>
      <c r="P608" t="s">
        <v>43</v>
      </c>
      <c r="Q608" t="s">
        <v>42</v>
      </c>
      <c r="R608" t="s">
        <v>43</v>
      </c>
      <c r="S608" t="s">
        <v>42</v>
      </c>
      <c r="T608" t="s">
        <v>42</v>
      </c>
      <c r="U608" t="s">
        <v>42</v>
      </c>
      <c r="V608" t="s">
        <v>42</v>
      </c>
      <c r="W608" t="s">
        <v>43</v>
      </c>
      <c r="X608">
        <v>3</v>
      </c>
      <c r="Y608">
        <v>3</v>
      </c>
      <c r="Z608">
        <v>4</v>
      </c>
      <c r="AA608">
        <v>3</v>
      </c>
      <c r="AB608">
        <v>5</v>
      </c>
      <c r="AC608">
        <v>3</v>
      </c>
      <c r="AD608">
        <v>16</v>
      </c>
      <c r="AE608">
        <v>10</v>
      </c>
      <c r="AF608">
        <v>11</v>
      </c>
      <c r="AG608">
        <v>12</v>
      </c>
    </row>
    <row r="609" spans="1:33" x14ac:dyDescent="0.35">
      <c r="A609" t="s">
        <v>33</v>
      </c>
      <c r="B609" t="s">
        <v>34</v>
      </c>
      <c r="C609">
        <v>17</v>
      </c>
      <c r="D609" t="s">
        <v>35</v>
      </c>
      <c r="E609" t="s">
        <v>36</v>
      </c>
      <c r="F609" t="s">
        <v>44</v>
      </c>
      <c r="G609">
        <v>4</v>
      </c>
      <c r="H609">
        <v>4</v>
      </c>
      <c r="I609" t="s">
        <v>48</v>
      </c>
      <c r="J609" t="s">
        <v>39</v>
      </c>
      <c r="K609" t="s">
        <v>49</v>
      </c>
      <c r="L609" t="s">
        <v>41</v>
      </c>
      <c r="M609">
        <v>2</v>
      </c>
      <c r="N609">
        <v>1</v>
      </c>
      <c r="O609">
        <v>1</v>
      </c>
      <c r="P609" t="s">
        <v>43</v>
      </c>
      <c r="Q609" t="s">
        <v>42</v>
      </c>
      <c r="R609" t="s">
        <v>43</v>
      </c>
      <c r="S609" t="s">
        <v>43</v>
      </c>
      <c r="T609" t="s">
        <v>42</v>
      </c>
      <c r="U609" t="s">
        <v>42</v>
      </c>
      <c r="V609" t="s">
        <v>42</v>
      </c>
      <c r="W609" t="s">
        <v>43</v>
      </c>
      <c r="X609">
        <v>4</v>
      </c>
      <c r="Y609">
        <v>2</v>
      </c>
      <c r="Z609">
        <v>4</v>
      </c>
      <c r="AA609">
        <v>2</v>
      </c>
      <c r="AB609">
        <v>3</v>
      </c>
      <c r="AC609">
        <v>2</v>
      </c>
      <c r="AD609">
        <v>30</v>
      </c>
      <c r="AE609">
        <v>14</v>
      </c>
      <c r="AF609">
        <v>15</v>
      </c>
      <c r="AG609">
        <v>16</v>
      </c>
    </row>
    <row r="610" spans="1:33" x14ac:dyDescent="0.35">
      <c r="A610" t="s">
        <v>33</v>
      </c>
      <c r="B610" t="s">
        <v>34</v>
      </c>
      <c r="C610">
        <v>16</v>
      </c>
      <c r="D610" t="s">
        <v>35</v>
      </c>
      <c r="E610" t="s">
        <v>47</v>
      </c>
      <c r="F610" t="s">
        <v>44</v>
      </c>
      <c r="G610">
        <v>4</v>
      </c>
      <c r="H610">
        <v>4</v>
      </c>
      <c r="I610" t="s">
        <v>39</v>
      </c>
      <c r="J610" t="s">
        <v>39</v>
      </c>
      <c r="K610" t="s">
        <v>51</v>
      </c>
      <c r="L610" t="s">
        <v>41</v>
      </c>
      <c r="M610">
        <v>1</v>
      </c>
      <c r="N610">
        <v>2</v>
      </c>
      <c r="O610">
        <v>0</v>
      </c>
      <c r="P610" t="s">
        <v>43</v>
      </c>
      <c r="Q610" t="s">
        <v>42</v>
      </c>
      <c r="R610" t="s">
        <v>43</v>
      </c>
      <c r="S610" t="s">
        <v>43</v>
      </c>
      <c r="T610" t="s">
        <v>42</v>
      </c>
      <c r="U610" t="s">
        <v>42</v>
      </c>
      <c r="V610" t="s">
        <v>42</v>
      </c>
      <c r="W610" t="s">
        <v>43</v>
      </c>
      <c r="X610">
        <v>4</v>
      </c>
      <c r="Y610">
        <v>5</v>
      </c>
      <c r="Z610">
        <v>2</v>
      </c>
      <c r="AA610">
        <v>1</v>
      </c>
      <c r="AB610">
        <v>2</v>
      </c>
      <c r="AC610">
        <v>3</v>
      </c>
      <c r="AD610">
        <v>0</v>
      </c>
      <c r="AE610">
        <v>11</v>
      </c>
      <c r="AF610">
        <v>10</v>
      </c>
      <c r="AG610">
        <v>11</v>
      </c>
    </row>
    <row r="611" spans="1:33" x14ac:dyDescent="0.35">
      <c r="A611" t="s">
        <v>33</v>
      </c>
      <c r="B611" t="s">
        <v>34</v>
      </c>
      <c r="C611">
        <v>16</v>
      </c>
      <c r="D611" t="s">
        <v>35</v>
      </c>
      <c r="E611" t="s">
        <v>36</v>
      </c>
      <c r="F611" t="s">
        <v>44</v>
      </c>
      <c r="G611">
        <v>4</v>
      </c>
      <c r="H611">
        <v>3</v>
      </c>
      <c r="I611" t="s">
        <v>28</v>
      </c>
      <c r="J611" t="s">
        <v>45</v>
      </c>
      <c r="K611" t="s">
        <v>49</v>
      </c>
      <c r="L611" t="s">
        <v>41</v>
      </c>
      <c r="M611">
        <v>1</v>
      </c>
      <c r="N611">
        <v>2</v>
      </c>
      <c r="O611">
        <v>0</v>
      </c>
      <c r="P611" t="s">
        <v>43</v>
      </c>
      <c r="Q611" t="s">
        <v>42</v>
      </c>
      <c r="R611" t="s">
        <v>43</v>
      </c>
      <c r="S611" t="s">
        <v>42</v>
      </c>
      <c r="T611" t="s">
        <v>42</v>
      </c>
      <c r="U611" t="s">
        <v>42</v>
      </c>
      <c r="V611" t="s">
        <v>42</v>
      </c>
      <c r="W611" t="s">
        <v>43</v>
      </c>
      <c r="X611">
        <v>4</v>
      </c>
      <c r="Y611">
        <v>3</v>
      </c>
      <c r="Z611">
        <v>5</v>
      </c>
      <c r="AA611">
        <v>1</v>
      </c>
      <c r="AB611">
        <v>5</v>
      </c>
      <c r="AC611">
        <v>2</v>
      </c>
      <c r="AD611">
        <v>2</v>
      </c>
      <c r="AE611">
        <v>14</v>
      </c>
      <c r="AF611">
        <v>14</v>
      </c>
      <c r="AG611">
        <v>15</v>
      </c>
    </row>
    <row r="612" spans="1:33" x14ac:dyDescent="0.35">
      <c r="A612" t="s">
        <v>33</v>
      </c>
      <c r="B612" t="s">
        <v>34</v>
      </c>
      <c r="C612">
        <v>16</v>
      </c>
      <c r="D612" t="s">
        <v>35</v>
      </c>
      <c r="E612" t="s">
        <v>36</v>
      </c>
      <c r="F612" t="s">
        <v>44</v>
      </c>
      <c r="G612">
        <v>2</v>
      </c>
      <c r="H612">
        <v>3</v>
      </c>
      <c r="I612" t="s">
        <v>45</v>
      </c>
      <c r="J612" t="s">
        <v>45</v>
      </c>
      <c r="K612" t="s">
        <v>51</v>
      </c>
      <c r="L612" t="s">
        <v>41</v>
      </c>
      <c r="M612">
        <v>1</v>
      </c>
      <c r="N612">
        <v>2</v>
      </c>
      <c r="O612">
        <v>0</v>
      </c>
      <c r="P612" t="s">
        <v>42</v>
      </c>
      <c r="Q612" t="s">
        <v>42</v>
      </c>
      <c r="R612" t="s">
        <v>43</v>
      </c>
      <c r="S612" t="s">
        <v>42</v>
      </c>
      <c r="T612" t="s">
        <v>42</v>
      </c>
      <c r="U612" t="s">
        <v>42</v>
      </c>
      <c r="V612" t="s">
        <v>43</v>
      </c>
      <c r="W612" t="s">
        <v>43</v>
      </c>
      <c r="X612">
        <v>4</v>
      </c>
      <c r="Y612">
        <v>4</v>
      </c>
      <c r="Z612">
        <v>3</v>
      </c>
      <c r="AA612">
        <v>1</v>
      </c>
      <c r="AB612">
        <v>3</v>
      </c>
      <c r="AC612">
        <v>4</v>
      </c>
      <c r="AD612">
        <v>4</v>
      </c>
      <c r="AE612">
        <v>11</v>
      </c>
      <c r="AF612">
        <v>12</v>
      </c>
      <c r="AG612">
        <v>12</v>
      </c>
    </row>
    <row r="613" spans="1:33" x14ac:dyDescent="0.35">
      <c r="A613" t="s">
        <v>33</v>
      </c>
      <c r="B613" t="s">
        <v>34</v>
      </c>
      <c r="C613">
        <v>17</v>
      </c>
      <c r="D613" t="s">
        <v>35</v>
      </c>
      <c r="E613" t="s">
        <v>36</v>
      </c>
      <c r="F613" t="s">
        <v>44</v>
      </c>
      <c r="G613">
        <v>1</v>
      </c>
      <c r="H613">
        <v>1</v>
      </c>
      <c r="I613" t="s">
        <v>45</v>
      </c>
      <c r="J613" t="s">
        <v>45</v>
      </c>
      <c r="K613" t="s">
        <v>40</v>
      </c>
      <c r="L613" t="s">
        <v>41</v>
      </c>
      <c r="M613">
        <v>1</v>
      </c>
      <c r="N613">
        <v>2</v>
      </c>
      <c r="O613">
        <v>0</v>
      </c>
      <c r="P613" t="s">
        <v>43</v>
      </c>
      <c r="Q613" t="s">
        <v>42</v>
      </c>
      <c r="R613" t="s">
        <v>43</v>
      </c>
      <c r="S613" t="s">
        <v>43</v>
      </c>
      <c r="T613" t="s">
        <v>43</v>
      </c>
      <c r="U613" t="s">
        <v>42</v>
      </c>
      <c r="V613" t="s">
        <v>43</v>
      </c>
      <c r="W613" t="s">
        <v>43</v>
      </c>
      <c r="X613">
        <v>4</v>
      </c>
      <c r="Y613">
        <v>4</v>
      </c>
      <c r="Z613">
        <v>4</v>
      </c>
      <c r="AA613">
        <v>1</v>
      </c>
      <c r="AB613">
        <v>3</v>
      </c>
      <c r="AC613">
        <v>1</v>
      </c>
      <c r="AD613">
        <v>0</v>
      </c>
      <c r="AE613">
        <v>14</v>
      </c>
      <c r="AF613">
        <v>15</v>
      </c>
      <c r="AG613">
        <v>15</v>
      </c>
    </row>
    <row r="614" spans="1:33" x14ac:dyDescent="0.35">
      <c r="A614" t="s">
        <v>33</v>
      </c>
      <c r="B614" t="s">
        <v>34</v>
      </c>
      <c r="C614">
        <v>17</v>
      </c>
      <c r="D614" t="s">
        <v>52</v>
      </c>
      <c r="E614" t="s">
        <v>36</v>
      </c>
      <c r="F614" t="s">
        <v>44</v>
      </c>
      <c r="G614">
        <v>2</v>
      </c>
      <c r="H614">
        <v>2</v>
      </c>
      <c r="I614" t="s">
        <v>45</v>
      </c>
      <c r="J614" t="s">
        <v>45</v>
      </c>
      <c r="K614" t="s">
        <v>51</v>
      </c>
      <c r="L614" t="s">
        <v>41</v>
      </c>
      <c r="M614">
        <v>1</v>
      </c>
      <c r="N614">
        <v>1</v>
      </c>
      <c r="O614">
        <v>0</v>
      </c>
      <c r="P614" t="s">
        <v>43</v>
      </c>
      <c r="Q614" t="s">
        <v>42</v>
      </c>
      <c r="R614" t="s">
        <v>43</v>
      </c>
      <c r="S614" t="s">
        <v>43</v>
      </c>
      <c r="T614" t="s">
        <v>42</v>
      </c>
      <c r="U614" t="s">
        <v>42</v>
      </c>
      <c r="V614" t="s">
        <v>42</v>
      </c>
      <c r="W614" t="s">
        <v>43</v>
      </c>
      <c r="X614">
        <v>5</v>
      </c>
      <c r="Y614">
        <v>3</v>
      </c>
      <c r="Z614">
        <v>2</v>
      </c>
      <c r="AA614">
        <v>1</v>
      </c>
      <c r="AB614">
        <v>2</v>
      </c>
      <c r="AC614">
        <v>3</v>
      </c>
      <c r="AD614">
        <v>21</v>
      </c>
      <c r="AE614">
        <v>13</v>
      </c>
      <c r="AF614">
        <v>13</v>
      </c>
      <c r="AG614">
        <v>13</v>
      </c>
    </row>
    <row r="615" spans="1:33" x14ac:dyDescent="0.35">
      <c r="A615" t="s">
        <v>33</v>
      </c>
      <c r="B615" t="s">
        <v>34</v>
      </c>
      <c r="C615">
        <v>16</v>
      </c>
      <c r="D615" t="s">
        <v>52</v>
      </c>
      <c r="E615" t="s">
        <v>36</v>
      </c>
      <c r="F615" t="s">
        <v>44</v>
      </c>
      <c r="G615">
        <v>2</v>
      </c>
      <c r="H615">
        <v>2</v>
      </c>
      <c r="I615" t="s">
        <v>48</v>
      </c>
      <c r="J615" t="s">
        <v>48</v>
      </c>
      <c r="K615" t="s">
        <v>51</v>
      </c>
      <c r="L615" t="s">
        <v>41</v>
      </c>
      <c r="M615">
        <v>2</v>
      </c>
      <c r="N615">
        <v>4</v>
      </c>
      <c r="O615">
        <v>0</v>
      </c>
      <c r="P615" t="s">
        <v>43</v>
      </c>
      <c r="Q615" t="s">
        <v>42</v>
      </c>
      <c r="R615" t="s">
        <v>43</v>
      </c>
      <c r="S615" t="s">
        <v>42</v>
      </c>
      <c r="T615" t="s">
        <v>43</v>
      </c>
      <c r="U615" t="s">
        <v>42</v>
      </c>
      <c r="V615" t="s">
        <v>42</v>
      </c>
      <c r="W615" t="s">
        <v>43</v>
      </c>
      <c r="X615">
        <v>5</v>
      </c>
      <c r="Y615">
        <v>3</v>
      </c>
      <c r="Z615">
        <v>5</v>
      </c>
      <c r="AA615">
        <v>1</v>
      </c>
      <c r="AB615">
        <v>1</v>
      </c>
      <c r="AC615">
        <v>5</v>
      </c>
      <c r="AD615">
        <v>6</v>
      </c>
      <c r="AE615">
        <v>13</v>
      </c>
      <c r="AF615">
        <v>13</v>
      </c>
      <c r="AG615">
        <v>13</v>
      </c>
    </row>
    <row r="616" spans="1:33" x14ac:dyDescent="0.35">
      <c r="A616" t="s">
        <v>33</v>
      </c>
      <c r="B616" t="s">
        <v>34</v>
      </c>
      <c r="C616">
        <v>17</v>
      </c>
      <c r="D616" t="s">
        <v>35</v>
      </c>
      <c r="E616" t="s">
        <v>36</v>
      </c>
      <c r="F616" t="s">
        <v>44</v>
      </c>
      <c r="G616">
        <v>3</v>
      </c>
      <c r="H616">
        <v>4</v>
      </c>
      <c r="I616" t="s">
        <v>38</v>
      </c>
      <c r="J616" t="s">
        <v>48</v>
      </c>
      <c r="K616" t="s">
        <v>49</v>
      </c>
      <c r="L616" t="s">
        <v>41</v>
      </c>
      <c r="M616">
        <v>1</v>
      </c>
      <c r="N616">
        <v>3</v>
      </c>
      <c r="O616">
        <v>1</v>
      </c>
      <c r="P616" t="s">
        <v>43</v>
      </c>
      <c r="Q616" t="s">
        <v>42</v>
      </c>
      <c r="R616" t="s">
        <v>42</v>
      </c>
      <c r="S616" t="s">
        <v>43</v>
      </c>
      <c r="T616" t="s">
        <v>42</v>
      </c>
      <c r="U616" t="s">
        <v>42</v>
      </c>
      <c r="V616" t="s">
        <v>42</v>
      </c>
      <c r="W616" t="s">
        <v>42</v>
      </c>
      <c r="X616">
        <v>4</v>
      </c>
      <c r="Y616">
        <v>4</v>
      </c>
      <c r="Z616">
        <v>3</v>
      </c>
      <c r="AA616">
        <v>3</v>
      </c>
      <c r="AB616">
        <v>4</v>
      </c>
      <c r="AC616">
        <v>5</v>
      </c>
      <c r="AD616">
        <v>14</v>
      </c>
      <c r="AE616">
        <v>8</v>
      </c>
      <c r="AF616">
        <v>9</v>
      </c>
      <c r="AG616">
        <v>8</v>
      </c>
    </row>
    <row r="617" spans="1:33" x14ac:dyDescent="0.35">
      <c r="A617" t="s">
        <v>33</v>
      </c>
      <c r="B617" t="s">
        <v>34</v>
      </c>
      <c r="C617">
        <v>16</v>
      </c>
      <c r="D617" t="s">
        <v>35</v>
      </c>
      <c r="E617" t="s">
        <v>36</v>
      </c>
      <c r="F617" t="s">
        <v>37</v>
      </c>
      <c r="G617">
        <v>3</v>
      </c>
      <c r="H617">
        <v>1</v>
      </c>
      <c r="I617" t="s">
        <v>48</v>
      </c>
      <c r="J617" t="s">
        <v>45</v>
      </c>
      <c r="K617" t="s">
        <v>40</v>
      </c>
      <c r="L617" t="s">
        <v>41</v>
      </c>
      <c r="M617">
        <v>1</v>
      </c>
      <c r="N617">
        <v>2</v>
      </c>
      <c r="O617">
        <v>0</v>
      </c>
      <c r="P617" t="s">
        <v>43</v>
      </c>
      <c r="Q617" t="s">
        <v>42</v>
      </c>
      <c r="R617" t="s">
        <v>43</v>
      </c>
      <c r="S617" t="s">
        <v>43</v>
      </c>
      <c r="T617" t="s">
        <v>42</v>
      </c>
      <c r="U617" t="s">
        <v>42</v>
      </c>
      <c r="V617" t="s">
        <v>42</v>
      </c>
      <c r="W617" t="s">
        <v>43</v>
      </c>
      <c r="X617">
        <v>2</v>
      </c>
      <c r="Y617">
        <v>3</v>
      </c>
      <c r="Z617">
        <v>3</v>
      </c>
      <c r="AA617">
        <v>2</v>
      </c>
      <c r="AB617">
        <v>2</v>
      </c>
      <c r="AC617">
        <v>4</v>
      </c>
      <c r="AD617">
        <v>2</v>
      </c>
      <c r="AE617">
        <v>11</v>
      </c>
      <c r="AF617">
        <v>11</v>
      </c>
      <c r="AG617">
        <v>12</v>
      </c>
    </row>
    <row r="618" spans="1:33" x14ac:dyDescent="0.35">
      <c r="A618" t="s">
        <v>33</v>
      </c>
      <c r="B618" t="s">
        <v>34</v>
      </c>
      <c r="C618">
        <v>16</v>
      </c>
      <c r="D618" t="s">
        <v>35</v>
      </c>
      <c r="E618" t="s">
        <v>36</v>
      </c>
      <c r="F618" t="s">
        <v>44</v>
      </c>
      <c r="G618">
        <v>4</v>
      </c>
      <c r="H618">
        <v>3</v>
      </c>
      <c r="I618" t="s">
        <v>39</v>
      </c>
      <c r="J618" t="s">
        <v>45</v>
      </c>
      <c r="K618" t="s">
        <v>45</v>
      </c>
      <c r="L618" t="s">
        <v>41</v>
      </c>
      <c r="M618">
        <v>1</v>
      </c>
      <c r="N618">
        <v>2</v>
      </c>
      <c r="O618">
        <v>0</v>
      </c>
      <c r="P618" t="s">
        <v>43</v>
      </c>
      <c r="Q618" t="s">
        <v>43</v>
      </c>
      <c r="R618" t="s">
        <v>43</v>
      </c>
      <c r="S618" t="s">
        <v>42</v>
      </c>
      <c r="T618" t="s">
        <v>42</v>
      </c>
      <c r="U618" t="s">
        <v>42</v>
      </c>
      <c r="V618" t="s">
        <v>42</v>
      </c>
      <c r="W618" t="s">
        <v>42</v>
      </c>
      <c r="X618">
        <v>1</v>
      </c>
      <c r="Y618">
        <v>3</v>
      </c>
      <c r="Z618">
        <v>2</v>
      </c>
      <c r="AA618">
        <v>1</v>
      </c>
      <c r="AB618">
        <v>1</v>
      </c>
      <c r="AC618">
        <v>1</v>
      </c>
      <c r="AD618">
        <v>4</v>
      </c>
      <c r="AE618">
        <v>14</v>
      </c>
      <c r="AF618">
        <v>15</v>
      </c>
      <c r="AG618">
        <v>15</v>
      </c>
    </row>
    <row r="619" spans="1:33" x14ac:dyDescent="0.35">
      <c r="A619" t="s">
        <v>33</v>
      </c>
      <c r="B619" t="s">
        <v>34</v>
      </c>
      <c r="C619">
        <v>16</v>
      </c>
      <c r="D619" t="s">
        <v>35</v>
      </c>
      <c r="E619" t="s">
        <v>36</v>
      </c>
      <c r="F619" t="s">
        <v>44</v>
      </c>
      <c r="G619">
        <v>1</v>
      </c>
      <c r="H619">
        <v>1</v>
      </c>
      <c r="I619" t="s">
        <v>38</v>
      </c>
      <c r="J619" t="s">
        <v>45</v>
      </c>
      <c r="K619" t="s">
        <v>49</v>
      </c>
      <c r="L619" t="s">
        <v>41</v>
      </c>
      <c r="M619">
        <v>2</v>
      </c>
      <c r="N619">
        <v>1</v>
      </c>
      <c r="O619">
        <v>0</v>
      </c>
      <c r="P619" t="s">
        <v>43</v>
      </c>
      <c r="Q619" t="s">
        <v>42</v>
      </c>
      <c r="R619" t="s">
        <v>43</v>
      </c>
      <c r="S619" t="s">
        <v>43</v>
      </c>
      <c r="T619" t="s">
        <v>42</v>
      </c>
      <c r="U619" t="s">
        <v>42</v>
      </c>
      <c r="V619" t="s">
        <v>43</v>
      </c>
      <c r="W619" t="s">
        <v>43</v>
      </c>
      <c r="X619">
        <v>4</v>
      </c>
      <c r="Y619">
        <v>3</v>
      </c>
      <c r="Z619">
        <v>2</v>
      </c>
      <c r="AA619">
        <v>1</v>
      </c>
      <c r="AB619">
        <v>4</v>
      </c>
      <c r="AC619">
        <v>5</v>
      </c>
      <c r="AD619">
        <v>2</v>
      </c>
      <c r="AE619">
        <v>12</v>
      </c>
      <c r="AF619">
        <v>13</v>
      </c>
      <c r="AG619">
        <v>13</v>
      </c>
    </row>
    <row r="620" spans="1:33" x14ac:dyDescent="0.35">
      <c r="A620" t="s">
        <v>33</v>
      </c>
      <c r="B620" t="s">
        <v>34</v>
      </c>
      <c r="C620">
        <v>17</v>
      </c>
      <c r="D620" t="s">
        <v>52</v>
      </c>
      <c r="E620" t="s">
        <v>36</v>
      </c>
      <c r="F620" t="s">
        <v>44</v>
      </c>
      <c r="G620">
        <v>4</v>
      </c>
      <c r="H620">
        <v>3</v>
      </c>
      <c r="I620" t="s">
        <v>39</v>
      </c>
      <c r="J620" t="s">
        <v>45</v>
      </c>
      <c r="K620" t="s">
        <v>51</v>
      </c>
      <c r="L620" t="s">
        <v>41</v>
      </c>
      <c r="M620">
        <v>2</v>
      </c>
      <c r="N620">
        <v>3</v>
      </c>
      <c r="O620">
        <v>0</v>
      </c>
      <c r="P620" t="s">
        <v>43</v>
      </c>
      <c r="Q620" t="s">
        <v>42</v>
      </c>
      <c r="R620" t="s">
        <v>43</v>
      </c>
      <c r="S620" t="s">
        <v>42</v>
      </c>
      <c r="T620" t="s">
        <v>42</v>
      </c>
      <c r="U620" t="s">
        <v>42</v>
      </c>
      <c r="V620" t="s">
        <v>42</v>
      </c>
      <c r="W620" t="s">
        <v>42</v>
      </c>
      <c r="X620">
        <v>4</v>
      </c>
      <c r="Y620">
        <v>4</v>
      </c>
      <c r="Z620">
        <v>2</v>
      </c>
      <c r="AA620">
        <v>1</v>
      </c>
      <c r="AB620">
        <v>1</v>
      </c>
      <c r="AC620">
        <v>4</v>
      </c>
      <c r="AD620">
        <v>0</v>
      </c>
      <c r="AE620">
        <v>11</v>
      </c>
      <c r="AF620">
        <v>12</v>
      </c>
      <c r="AG620">
        <v>12</v>
      </c>
    </row>
    <row r="621" spans="1:33" x14ac:dyDescent="0.35">
      <c r="A621" t="s">
        <v>33</v>
      </c>
      <c r="B621" t="s">
        <v>34</v>
      </c>
      <c r="C621">
        <v>19</v>
      </c>
      <c r="D621" t="s">
        <v>35</v>
      </c>
      <c r="E621" t="s">
        <v>36</v>
      </c>
      <c r="F621" t="s">
        <v>44</v>
      </c>
      <c r="G621">
        <v>3</v>
      </c>
      <c r="H621">
        <v>3</v>
      </c>
      <c r="I621" t="s">
        <v>45</v>
      </c>
      <c r="J621" t="s">
        <v>45</v>
      </c>
      <c r="K621" t="s">
        <v>51</v>
      </c>
      <c r="L621" t="s">
        <v>45</v>
      </c>
      <c r="M621">
        <v>1</v>
      </c>
      <c r="N621">
        <v>4</v>
      </c>
      <c r="O621">
        <v>0</v>
      </c>
      <c r="P621" t="s">
        <v>43</v>
      </c>
      <c r="Q621" t="s">
        <v>42</v>
      </c>
      <c r="R621" t="s">
        <v>43</v>
      </c>
      <c r="S621" t="s">
        <v>42</v>
      </c>
      <c r="T621" t="s">
        <v>42</v>
      </c>
      <c r="U621" t="s">
        <v>42</v>
      </c>
      <c r="V621" t="s">
        <v>42</v>
      </c>
      <c r="W621" t="s">
        <v>43</v>
      </c>
      <c r="X621">
        <v>4</v>
      </c>
      <c r="Y621">
        <v>3</v>
      </c>
      <c r="Z621">
        <v>3</v>
      </c>
      <c r="AA621">
        <v>1</v>
      </c>
      <c r="AB621">
        <v>2</v>
      </c>
      <c r="AC621">
        <v>3</v>
      </c>
      <c r="AD621">
        <v>4</v>
      </c>
      <c r="AE621">
        <v>12</v>
      </c>
      <c r="AF621">
        <v>12</v>
      </c>
      <c r="AG621">
        <v>12</v>
      </c>
    </row>
    <row r="622" spans="1:33" x14ac:dyDescent="0.35">
      <c r="A622" t="s">
        <v>33</v>
      </c>
      <c r="B622" t="s">
        <v>50</v>
      </c>
      <c r="C622">
        <v>17</v>
      </c>
      <c r="D622" t="s">
        <v>35</v>
      </c>
      <c r="E622" t="s">
        <v>47</v>
      </c>
      <c r="F622" t="s">
        <v>44</v>
      </c>
      <c r="G622">
        <v>4</v>
      </c>
      <c r="H622">
        <v>4</v>
      </c>
      <c r="I622" t="s">
        <v>48</v>
      </c>
      <c r="J622" t="s">
        <v>45</v>
      </c>
      <c r="K622" t="s">
        <v>49</v>
      </c>
      <c r="L622" t="s">
        <v>41</v>
      </c>
      <c r="M622">
        <v>1</v>
      </c>
      <c r="N622">
        <v>2</v>
      </c>
      <c r="O622">
        <v>0</v>
      </c>
      <c r="P622" t="s">
        <v>43</v>
      </c>
      <c r="Q622" t="s">
        <v>42</v>
      </c>
      <c r="R622" t="s">
        <v>43</v>
      </c>
      <c r="S622" t="s">
        <v>43</v>
      </c>
      <c r="T622" t="s">
        <v>42</v>
      </c>
      <c r="U622" t="s">
        <v>42</v>
      </c>
      <c r="V622" t="s">
        <v>42</v>
      </c>
      <c r="W622" t="s">
        <v>42</v>
      </c>
      <c r="X622">
        <v>5</v>
      </c>
      <c r="Y622">
        <v>3</v>
      </c>
      <c r="Z622">
        <v>5</v>
      </c>
      <c r="AA622">
        <v>4</v>
      </c>
      <c r="AB622">
        <v>5</v>
      </c>
      <c r="AC622">
        <v>3</v>
      </c>
      <c r="AD622">
        <v>15</v>
      </c>
      <c r="AE622">
        <v>13</v>
      </c>
      <c r="AF622">
        <v>12</v>
      </c>
      <c r="AG622">
        <v>12</v>
      </c>
    </row>
    <row r="623" spans="1:33" x14ac:dyDescent="0.35">
      <c r="A623" t="s">
        <v>33</v>
      </c>
      <c r="B623" t="s">
        <v>34</v>
      </c>
      <c r="C623">
        <v>16</v>
      </c>
      <c r="D623" t="s">
        <v>35</v>
      </c>
      <c r="E623" t="s">
        <v>36</v>
      </c>
      <c r="F623" t="s">
        <v>37</v>
      </c>
      <c r="G623">
        <v>2</v>
      </c>
      <c r="H623">
        <v>2</v>
      </c>
      <c r="I623" t="s">
        <v>45</v>
      </c>
      <c r="J623" t="s">
        <v>45</v>
      </c>
      <c r="K623" t="s">
        <v>51</v>
      </c>
      <c r="L623" t="s">
        <v>41</v>
      </c>
      <c r="M623">
        <v>1</v>
      </c>
      <c r="N623">
        <v>2</v>
      </c>
      <c r="O623">
        <v>0</v>
      </c>
      <c r="P623" t="s">
        <v>42</v>
      </c>
      <c r="Q623" t="s">
        <v>42</v>
      </c>
      <c r="R623" t="s">
        <v>43</v>
      </c>
      <c r="S623" t="s">
        <v>43</v>
      </c>
      <c r="T623" t="s">
        <v>42</v>
      </c>
      <c r="U623" t="s">
        <v>42</v>
      </c>
      <c r="V623" t="s">
        <v>42</v>
      </c>
      <c r="W623" t="s">
        <v>43</v>
      </c>
      <c r="X623">
        <v>3</v>
      </c>
      <c r="Y623">
        <v>3</v>
      </c>
      <c r="Z623">
        <v>4</v>
      </c>
      <c r="AA623">
        <v>1</v>
      </c>
      <c r="AB623">
        <v>1</v>
      </c>
      <c r="AC623">
        <v>4</v>
      </c>
      <c r="AD623">
        <v>0</v>
      </c>
      <c r="AE623">
        <v>13</v>
      </c>
      <c r="AF623">
        <v>13</v>
      </c>
      <c r="AG623">
        <v>13</v>
      </c>
    </row>
    <row r="624" spans="1:33" x14ac:dyDescent="0.35">
      <c r="A624" t="s">
        <v>33</v>
      </c>
      <c r="B624" t="s">
        <v>50</v>
      </c>
      <c r="C624">
        <v>18</v>
      </c>
      <c r="D624" t="s">
        <v>35</v>
      </c>
      <c r="E624" t="s">
        <v>36</v>
      </c>
      <c r="F624" t="s">
        <v>44</v>
      </c>
      <c r="G624">
        <v>2</v>
      </c>
      <c r="H624">
        <v>2</v>
      </c>
      <c r="I624" t="s">
        <v>48</v>
      </c>
      <c r="J624" t="s">
        <v>45</v>
      </c>
      <c r="K624" t="s">
        <v>49</v>
      </c>
      <c r="L624" t="s">
        <v>41</v>
      </c>
      <c r="M624">
        <v>1</v>
      </c>
      <c r="N624">
        <v>2</v>
      </c>
      <c r="O624">
        <v>0</v>
      </c>
      <c r="P624" t="s">
        <v>43</v>
      </c>
      <c r="Q624" t="s">
        <v>42</v>
      </c>
      <c r="R624" t="s">
        <v>43</v>
      </c>
      <c r="S624" t="s">
        <v>42</v>
      </c>
      <c r="T624" t="s">
        <v>42</v>
      </c>
      <c r="U624" t="s">
        <v>42</v>
      </c>
      <c r="V624" t="s">
        <v>42</v>
      </c>
      <c r="W624" t="s">
        <v>43</v>
      </c>
      <c r="X624">
        <v>4</v>
      </c>
      <c r="Y624">
        <v>4</v>
      </c>
      <c r="Z624">
        <v>4</v>
      </c>
      <c r="AA624">
        <v>2</v>
      </c>
      <c r="AB624">
        <v>4</v>
      </c>
      <c r="AC624">
        <v>5</v>
      </c>
      <c r="AD624">
        <v>10</v>
      </c>
      <c r="AE624">
        <v>12</v>
      </c>
      <c r="AF624">
        <v>11</v>
      </c>
      <c r="AG624">
        <v>11</v>
      </c>
    </row>
    <row r="625" spans="1:33" x14ac:dyDescent="0.35">
      <c r="A625" t="s">
        <v>33</v>
      </c>
      <c r="B625" t="s">
        <v>34</v>
      </c>
      <c r="C625">
        <v>17</v>
      </c>
      <c r="D625" t="s">
        <v>52</v>
      </c>
      <c r="E625" t="s">
        <v>47</v>
      </c>
      <c r="F625" t="s">
        <v>44</v>
      </c>
      <c r="G625">
        <v>4</v>
      </c>
      <c r="H625">
        <v>4</v>
      </c>
      <c r="I625" t="s">
        <v>48</v>
      </c>
      <c r="J625" t="s">
        <v>45</v>
      </c>
      <c r="K625" t="s">
        <v>45</v>
      </c>
      <c r="L625" t="s">
        <v>41</v>
      </c>
      <c r="M625">
        <v>1</v>
      </c>
      <c r="N625">
        <v>1</v>
      </c>
      <c r="O625">
        <v>0</v>
      </c>
      <c r="P625" t="s">
        <v>43</v>
      </c>
      <c r="Q625" t="s">
        <v>42</v>
      </c>
      <c r="R625" t="s">
        <v>43</v>
      </c>
      <c r="S625" t="s">
        <v>43</v>
      </c>
      <c r="T625" t="s">
        <v>42</v>
      </c>
      <c r="U625" t="s">
        <v>42</v>
      </c>
      <c r="V625" t="s">
        <v>43</v>
      </c>
      <c r="W625" t="s">
        <v>43</v>
      </c>
      <c r="X625">
        <v>5</v>
      </c>
      <c r="Y625">
        <v>2</v>
      </c>
      <c r="Z625">
        <v>1</v>
      </c>
      <c r="AA625">
        <v>1</v>
      </c>
      <c r="AB625">
        <v>2</v>
      </c>
      <c r="AC625">
        <v>3</v>
      </c>
      <c r="AD625">
        <v>6</v>
      </c>
      <c r="AE625">
        <v>12</v>
      </c>
      <c r="AF625">
        <v>11</v>
      </c>
      <c r="AG625">
        <v>11</v>
      </c>
    </row>
    <row r="626" spans="1:33" x14ac:dyDescent="0.35">
      <c r="A626" t="s">
        <v>33</v>
      </c>
      <c r="B626" t="s">
        <v>34</v>
      </c>
      <c r="C626">
        <v>17</v>
      </c>
      <c r="D626" t="s">
        <v>35</v>
      </c>
      <c r="E626" t="s">
        <v>47</v>
      </c>
      <c r="F626" t="s">
        <v>44</v>
      </c>
      <c r="G626">
        <v>3</v>
      </c>
      <c r="H626">
        <v>2</v>
      </c>
      <c r="I626" t="s">
        <v>45</v>
      </c>
      <c r="J626" t="s">
        <v>45</v>
      </c>
      <c r="K626" t="s">
        <v>51</v>
      </c>
      <c r="L626" t="s">
        <v>41</v>
      </c>
      <c r="M626">
        <v>2</v>
      </c>
      <c r="N626">
        <v>2</v>
      </c>
      <c r="O626">
        <v>0</v>
      </c>
      <c r="P626" t="s">
        <v>43</v>
      </c>
      <c r="Q626" t="s">
        <v>43</v>
      </c>
      <c r="R626" t="s">
        <v>43</v>
      </c>
      <c r="S626" t="s">
        <v>43</v>
      </c>
      <c r="T626" t="s">
        <v>42</v>
      </c>
      <c r="U626" t="s">
        <v>42</v>
      </c>
      <c r="V626" t="s">
        <v>42</v>
      </c>
      <c r="W626" t="s">
        <v>43</v>
      </c>
      <c r="X626">
        <v>4</v>
      </c>
      <c r="Y626">
        <v>4</v>
      </c>
      <c r="Z626">
        <v>4</v>
      </c>
      <c r="AA626">
        <v>1</v>
      </c>
      <c r="AB626">
        <v>3</v>
      </c>
      <c r="AC626">
        <v>1</v>
      </c>
      <c r="AD626">
        <v>2</v>
      </c>
      <c r="AE626">
        <v>14</v>
      </c>
      <c r="AF626">
        <v>16</v>
      </c>
      <c r="AG626">
        <v>15</v>
      </c>
    </row>
    <row r="627" spans="1:33" x14ac:dyDescent="0.35">
      <c r="A627" t="s">
        <v>33</v>
      </c>
      <c r="B627" t="s">
        <v>34</v>
      </c>
      <c r="C627">
        <v>17</v>
      </c>
      <c r="D627" t="s">
        <v>35</v>
      </c>
      <c r="E627" t="s">
        <v>36</v>
      </c>
      <c r="F627" t="s">
        <v>44</v>
      </c>
      <c r="G627">
        <v>4</v>
      </c>
      <c r="H627">
        <v>3</v>
      </c>
      <c r="I627" t="s">
        <v>45</v>
      </c>
      <c r="J627" t="s">
        <v>45</v>
      </c>
      <c r="K627" t="s">
        <v>51</v>
      </c>
      <c r="L627" t="s">
        <v>41</v>
      </c>
      <c r="M627">
        <v>1</v>
      </c>
      <c r="N627">
        <v>2</v>
      </c>
      <c r="O627">
        <v>0</v>
      </c>
      <c r="P627" t="s">
        <v>43</v>
      </c>
      <c r="Q627" t="s">
        <v>43</v>
      </c>
      <c r="R627" t="s">
        <v>43</v>
      </c>
      <c r="S627" t="s">
        <v>43</v>
      </c>
      <c r="T627" t="s">
        <v>42</v>
      </c>
      <c r="U627" t="s">
        <v>42</v>
      </c>
      <c r="V627" t="s">
        <v>42</v>
      </c>
      <c r="W627" t="s">
        <v>42</v>
      </c>
      <c r="X627">
        <v>3</v>
      </c>
      <c r="Y627">
        <v>4</v>
      </c>
      <c r="Z627">
        <v>5</v>
      </c>
      <c r="AA627">
        <v>2</v>
      </c>
      <c r="AB627">
        <v>4</v>
      </c>
      <c r="AC627">
        <v>1</v>
      </c>
      <c r="AD627">
        <v>16</v>
      </c>
      <c r="AE627">
        <v>11</v>
      </c>
      <c r="AF627">
        <v>9</v>
      </c>
      <c r="AG627">
        <v>10</v>
      </c>
    </row>
    <row r="628" spans="1:33" x14ac:dyDescent="0.35">
      <c r="A628" t="s">
        <v>33</v>
      </c>
      <c r="B628" t="s">
        <v>50</v>
      </c>
      <c r="C628">
        <v>18</v>
      </c>
      <c r="D628" t="s">
        <v>35</v>
      </c>
      <c r="E628" t="s">
        <v>47</v>
      </c>
      <c r="F628" t="s">
        <v>44</v>
      </c>
      <c r="G628">
        <v>3</v>
      </c>
      <c r="H628">
        <v>3</v>
      </c>
      <c r="I628" t="s">
        <v>48</v>
      </c>
      <c r="J628" t="s">
        <v>28</v>
      </c>
      <c r="K628" t="s">
        <v>49</v>
      </c>
      <c r="L628" t="s">
        <v>46</v>
      </c>
      <c r="M628">
        <v>1</v>
      </c>
      <c r="N628">
        <v>2</v>
      </c>
      <c r="O628">
        <v>0</v>
      </c>
      <c r="P628" t="s">
        <v>43</v>
      </c>
      <c r="Q628" t="s">
        <v>42</v>
      </c>
      <c r="R628" t="s">
        <v>43</v>
      </c>
      <c r="S628" t="s">
        <v>43</v>
      </c>
      <c r="T628" t="s">
        <v>42</v>
      </c>
      <c r="U628" t="s">
        <v>42</v>
      </c>
      <c r="V628" t="s">
        <v>42</v>
      </c>
      <c r="W628" t="s">
        <v>43</v>
      </c>
      <c r="X628">
        <v>3</v>
      </c>
      <c r="Y628">
        <v>2</v>
      </c>
      <c r="Z628">
        <v>4</v>
      </c>
      <c r="AA628">
        <v>2</v>
      </c>
      <c r="AB628">
        <v>4</v>
      </c>
      <c r="AC628">
        <v>4</v>
      </c>
      <c r="AD628">
        <v>10</v>
      </c>
      <c r="AE628">
        <v>10</v>
      </c>
      <c r="AF628">
        <v>10</v>
      </c>
      <c r="AG628">
        <v>10</v>
      </c>
    </row>
    <row r="629" spans="1:33" x14ac:dyDescent="0.35">
      <c r="A629" t="s">
        <v>33</v>
      </c>
      <c r="B629" t="s">
        <v>34</v>
      </c>
      <c r="C629">
        <v>17</v>
      </c>
      <c r="D629" t="s">
        <v>35</v>
      </c>
      <c r="E629" t="s">
        <v>36</v>
      </c>
      <c r="F629" t="s">
        <v>44</v>
      </c>
      <c r="G629">
        <v>2</v>
      </c>
      <c r="H629">
        <v>3</v>
      </c>
      <c r="I629" t="s">
        <v>38</v>
      </c>
      <c r="J629" t="s">
        <v>45</v>
      </c>
      <c r="K629" t="s">
        <v>49</v>
      </c>
      <c r="L629" t="s">
        <v>46</v>
      </c>
      <c r="M629">
        <v>2</v>
      </c>
      <c r="N629">
        <v>1</v>
      </c>
      <c r="O629">
        <v>0</v>
      </c>
      <c r="P629" t="s">
        <v>43</v>
      </c>
      <c r="Q629" t="s">
        <v>42</v>
      </c>
      <c r="R629" t="s">
        <v>43</v>
      </c>
      <c r="S629" t="s">
        <v>43</v>
      </c>
      <c r="T629" t="s">
        <v>42</v>
      </c>
      <c r="U629" t="s">
        <v>42</v>
      </c>
      <c r="V629" t="s">
        <v>43</v>
      </c>
      <c r="W629" t="s">
        <v>43</v>
      </c>
      <c r="X629">
        <v>3</v>
      </c>
      <c r="Y629">
        <v>3</v>
      </c>
      <c r="Z629">
        <v>3</v>
      </c>
      <c r="AA629">
        <v>1</v>
      </c>
      <c r="AB629">
        <v>4</v>
      </c>
      <c r="AC629">
        <v>3</v>
      </c>
      <c r="AD629">
        <v>4</v>
      </c>
      <c r="AE629">
        <v>12</v>
      </c>
      <c r="AF629">
        <v>13</v>
      </c>
      <c r="AG629">
        <v>13</v>
      </c>
    </row>
    <row r="630" spans="1:33" x14ac:dyDescent="0.35">
      <c r="A630" t="s">
        <v>33</v>
      </c>
      <c r="B630" t="s">
        <v>34</v>
      </c>
      <c r="C630">
        <v>17</v>
      </c>
      <c r="D630" t="s">
        <v>35</v>
      </c>
      <c r="E630" t="s">
        <v>36</v>
      </c>
      <c r="F630" t="s">
        <v>44</v>
      </c>
      <c r="G630">
        <v>2</v>
      </c>
      <c r="H630">
        <v>2</v>
      </c>
      <c r="I630" t="s">
        <v>38</v>
      </c>
      <c r="J630" t="s">
        <v>38</v>
      </c>
      <c r="K630" t="s">
        <v>40</v>
      </c>
      <c r="L630" t="s">
        <v>41</v>
      </c>
      <c r="M630">
        <v>1</v>
      </c>
      <c r="N630">
        <v>3</v>
      </c>
      <c r="O630">
        <v>0</v>
      </c>
      <c r="P630" t="s">
        <v>43</v>
      </c>
      <c r="Q630" t="s">
        <v>42</v>
      </c>
      <c r="R630" t="s">
        <v>43</v>
      </c>
      <c r="S630" t="s">
        <v>42</v>
      </c>
      <c r="T630" t="s">
        <v>42</v>
      </c>
      <c r="U630" t="s">
        <v>42</v>
      </c>
      <c r="V630" t="s">
        <v>42</v>
      </c>
      <c r="W630" t="s">
        <v>43</v>
      </c>
      <c r="X630">
        <v>4</v>
      </c>
      <c r="Y630">
        <v>3</v>
      </c>
      <c r="Z630">
        <v>3</v>
      </c>
      <c r="AA630">
        <v>1</v>
      </c>
      <c r="AB630">
        <v>1</v>
      </c>
      <c r="AC630">
        <v>4</v>
      </c>
      <c r="AD630">
        <v>0</v>
      </c>
      <c r="AE630">
        <v>12</v>
      </c>
      <c r="AF630">
        <v>12</v>
      </c>
      <c r="AG630">
        <v>13</v>
      </c>
    </row>
    <row r="631" spans="1:33" x14ac:dyDescent="0.35">
      <c r="A631" t="s">
        <v>33</v>
      </c>
      <c r="B631" t="s">
        <v>34</v>
      </c>
      <c r="C631">
        <v>17</v>
      </c>
      <c r="D631" t="s">
        <v>52</v>
      </c>
      <c r="E631" t="s">
        <v>36</v>
      </c>
      <c r="F631" t="s">
        <v>44</v>
      </c>
      <c r="G631">
        <v>2</v>
      </c>
      <c r="H631">
        <v>1</v>
      </c>
      <c r="I631" t="s">
        <v>38</v>
      </c>
      <c r="J631" t="s">
        <v>48</v>
      </c>
      <c r="K631" t="s">
        <v>51</v>
      </c>
      <c r="L631" t="s">
        <v>41</v>
      </c>
      <c r="M631">
        <v>2</v>
      </c>
      <c r="N631">
        <v>2</v>
      </c>
      <c r="O631">
        <v>0</v>
      </c>
      <c r="P631" t="s">
        <v>43</v>
      </c>
      <c r="Q631" t="s">
        <v>42</v>
      </c>
      <c r="R631" t="s">
        <v>43</v>
      </c>
      <c r="S631" t="s">
        <v>42</v>
      </c>
      <c r="T631" t="s">
        <v>42</v>
      </c>
      <c r="U631" t="s">
        <v>42</v>
      </c>
      <c r="V631" t="s">
        <v>42</v>
      </c>
      <c r="W631" t="s">
        <v>43</v>
      </c>
      <c r="X631">
        <v>4</v>
      </c>
      <c r="Y631">
        <v>2</v>
      </c>
      <c r="Z631">
        <v>5</v>
      </c>
      <c r="AA631">
        <v>1</v>
      </c>
      <c r="AB631">
        <v>2</v>
      </c>
      <c r="AC631">
        <v>5</v>
      </c>
      <c r="AD631">
        <v>0</v>
      </c>
      <c r="AE631">
        <v>11</v>
      </c>
      <c r="AF631">
        <v>10</v>
      </c>
      <c r="AG631">
        <v>11</v>
      </c>
    </row>
    <row r="632" spans="1:33" x14ac:dyDescent="0.35">
      <c r="A632" t="s">
        <v>33</v>
      </c>
      <c r="B632" t="s">
        <v>34</v>
      </c>
      <c r="C632">
        <v>17</v>
      </c>
      <c r="D632" t="s">
        <v>35</v>
      </c>
      <c r="E632" t="s">
        <v>36</v>
      </c>
      <c r="F632" t="s">
        <v>44</v>
      </c>
      <c r="G632">
        <v>1</v>
      </c>
      <c r="H632">
        <v>1</v>
      </c>
      <c r="I632" t="s">
        <v>38</v>
      </c>
      <c r="J632" t="s">
        <v>45</v>
      </c>
      <c r="K632" t="s">
        <v>51</v>
      </c>
      <c r="L632" t="s">
        <v>41</v>
      </c>
      <c r="M632">
        <v>1</v>
      </c>
      <c r="N632">
        <v>3</v>
      </c>
      <c r="O632">
        <v>0</v>
      </c>
      <c r="P632" t="s">
        <v>43</v>
      </c>
      <c r="Q632" t="s">
        <v>42</v>
      </c>
      <c r="R632" t="s">
        <v>43</v>
      </c>
      <c r="S632" t="s">
        <v>42</v>
      </c>
      <c r="T632" t="s">
        <v>42</v>
      </c>
      <c r="U632" t="s">
        <v>42</v>
      </c>
      <c r="V632" t="s">
        <v>43</v>
      </c>
      <c r="W632" t="s">
        <v>42</v>
      </c>
      <c r="X632">
        <v>4</v>
      </c>
      <c r="Y632">
        <v>3</v>
      </c>
      <c r="Z632">
        <v>4</v>
      </c>
      <c r="AA632">
        <v>1</v>
      </c>
      <c r="AB632">
        <v>1</v>
      </c>
      <c r="AC632">
        <v>5</v>
      </c>
      <c r="AD632">
        <v>12</v>
      </c>
      <c r="AE632">
        <v>12</v>
      </c>
      <c r="AF632">
        <v>12</v>
      </c>
      <c r="AG632">
        <v>12</v>
      </c>
    </row>
    <row r="633" spans="1:33" x14ac:dyDescent="0.35">
      <c r="A633" t="s">
        <v>33</v>
      </c>
      <c r="B633" t="s">
        <v>34</v>
      </c>
      <c r="C633">
        <v>16</v>
      </c>
      <c r="D633" t="s">
        <v>35</v>
      </c>
      <c r="E633" t="s">
        <v>36</v>
      </c>
      <c r="F633" t="s">
        <v>44</v>
      </c>
      <c r="G633">
        <v>2</v>
      </c>
      <c r="H633">
        <v>3</v>
      </c>
      <c r="I633" t="s">
        <v>48</v>
      </c>
      <c r="J633" t="s">
        <v>39</v>
      </c>
      <c r="K633" t="s">
        <v>45</v>
      </c>
      <c r="L633" t="s">
        <v>41</v>
      </c>
      <c r="M633">
        <v>1</v>
      </c>
      <c r="N633">
        <v>2</v>
      </c>
      <c r="O633">
        <v>0</v>
      </c>
      <c r="P633" t="s">
        <v>42</v>
      </c>
      <c r="Q633" t="s">
        <v>43</v>
      </c>
      <c r="R633" t="s">
        <v>43</v>
      </c>
      <c r="S633" t="s">
        <v>43</v>
      </c>
      <c r="T633" t="s">
        <v>42</v>
      </c>
      <c r="U633" t="s">
        <v>42</v>
      </c>
      <c r="V633" t="s">
        <v>42</v>
      </c>
      <c r="W633" t="s">
        <v>43</v>
      </c>
      <c r="X633">
        <v>2</v>
      </c>
      <c r="Y633">
        <v>3</v>
      </c>
      <c r="Z633">
        <v>1</v>
      </c>
      <c r="AA633">
        <v>1</v>
      </c>
      <c r="AB633">
        <v>1</v>
      </c>
      <c r="AC633">
        <v>3</v>
      </c>
      <c r="AD633">
        <v>0</v>
      </c>
      <c r="AE633">
        <v>13</v>
      </c>
      <c r="AF633">
        <v>13</v>
      </c>
      <c r="AG633">
        <v>14</v>
      </c>
    </row>
    <row r="634" spans="1:33" x14ac:dyDescent="0.35">
      <c r="A634" t="s">
        <v>33</v>
      </c>
      <c r="B634" t="s">
        <v>50</v>
      </c>
      <c r="C634">
        <v>18</v>
      </c>
      <c r="D634" t="s">
        <v>35</v>
      </c>
      <c r="E634" t="s">
        <v>36</v>
      </c>
      <c r="F634" t="s">
        <v>44</v>
      </c>
      <c r="G634">
        <v>2</v>
      </c>
      <c r="H634">
        <v>2</v>
      </c>
      <c r="I634" t="s">
        <v>45</v>
      </c>
      <c r="J634" t="s">
        <v>45</v>
      </c>
      <c r="K634" t="s">
        <v>49</v>
      </c>
      <c r="L634" t="s">
        <v>41</v>
      </c>
      <c r="M634">
        <v>2</v>
      </c>
      <c r="N634">
        <v>2</v>
      </c>
      <c r="O634">
        <v>3</v>
      </c>
      <c r="P634" t="s">
        <v>43</v>
      </c>
      <c r="Q634" t="s">
        <v>42</v>
      </c>
      <c r="R634" t="s">
        <v>42</v>
      </c>
      <c r="S634" t="s">
        <v>43</v>
      </c>
      <c r="T634" t="s">
        <v>42</v>
      </c>
      <c r="U634" t="s">
        <v>42</v>
      </c>
      <c r="V634" t="s">
        <v>42</v>
      </c>
      <c r="W634" t="s">
        <v>43</v>
      </c>
      <c r="X634">
        <v>3</v>
      </c>
      <c r="Y634">
        <v>3</v>
      </c>
      <c r="Z634">
        <v>3</v>
      </c>
      <c r="AA634">
        <v>5</v>
      </c>
      <c r="AB634">
        <v>5</v>
      </c>
      <c r="AC634">
        <v>4</v>
      </c>
      <c r="AD634">
        <v>9</v>
      </c>
      <c r="AE634">
        <v>10</v>
      </c>
      <c r="AF634">
        <v>9</v>
      </c>
      <c r="AG634">
        <v>10</v>
      </c>
    </row>
    <row r="635" spans="1:33" x14ac:dyDescent="0.35">
      <c r="A635" t="s">
        <v>33</v>
      </c>
      <c r="B635" t="s">
        <v>34</v>
      </c>
      <c r="C635">
        <v>16</v>
      </c>
      <c r="D635" t="s">
        <v>35</v>
      </c>
      <c r="E635" t="s">
        <v>36</v>
      </c>
      <c r="F635" t="s">
        <v>44</v>
      </c>
      <c r="G635">
        <v>4</v>
      </c>
      <c r="H635">
        <v>4</v>
      </c>
      <c r="I635" t="s">
        <v>39</v>
      </c>
      <c r="J635" t="s">
        <v>48</v>
      </c>
      <c r="K635" t="s">
        <v>49</v>
      </c>
      <c r="L635" t="s">
        <v>41</v>
      </c>
      <c r="M635">
        <v>1</v>
      </c>
      <c r="N635">
        <v>3</v>
      </c>
      <c r="O635">
        <v>0</v>
      </c>
      <c r="P635" t="s">
        <v>43</v>
      </c>
      <c r="Q635" t="s">
        <v>42</v>
      </c>
      <c r="R635" t="s">
        <v>43</v>
      </c>
      <c r="S635" t="s">
        <v>42</v>
      </c>
      <c r="T635" t="s">
        <v>43</v>
      </c>
      <c r="U635" t="s">
        <v>42</v>
      </c>
      <c r="V635" t="s">
        <v>42</v>
      </c>
      <c r="W635" t="s">
        <v>43</v>
      </c>
      <c r="X635">
        <v>5</v>
      </c>
      <c r="Y635">
        <v>3</v>
      </c>
      <c r="Z635">
        <v>2</v>
      </c>
      <c r="AA635">
        <v>1</v>
      </c>
      <c r="AB635">
        <v>1</v>
      </c>
      <c r="AC635">
        <v>5</v>
      </c>
      <c r="AD635">
        <v>4</v>
      </c>
      <c r="AE635">
        <v>15</v>
      </c>
      <c r="AF635">
        <v>16</v>
      </c>
      <c r="AG635">
        <v>16</v>
      </c>
    </row>
    <row r="636" spans="1:33" x14ac:dyDescent="0.35">
      <c r="A636" t="s">
        <v>33</v>
      </c>
      <c r="B636" t="s">
        <v>34</v>
      </c>
      <c r="C636">
        <v>18</v>
      </c>
      <c r="D636" t="s">
        <v>52</v>
      </c>
      <c r="E636" t="s">
        <v>36</v>
      </c>
      <c r="F636" t="s">
        <v>44</v>
      </c>
      <c r="G636">
        <v>3</v>
      </c>
      <c r="H636">
        <v>1</v>
      </c>
      <c r="I636" t="s">
        <v>45</v>
      </c>
      <c r="J636" t="s">
        <v>45</v>
      </c>
      <c r="K636" t="s">
        <v>51</v>
      </c>
      <c r="L636" t="s">
        <v>41</v>
      </c>
      <c r="M636">
        <v>1</v>
      </c>
      <c r="N636">
        <v>2</v>
      </c>
      <c r="O636">
        <v>0</v>
      </c>
      <c r="P636" t="s">
        <v>43</v>
      </c>
      <c r="Q636" t="s">
        <v>43</v>
      </c>
      <c r="R636" t="s">
        <v>43</v>
      </c>
      <c r="S636" t="s">
        <v>42</v>
      </c>
      <c r="T636" t="s">
        <v>42</v>
      </c>
      <c r="U636" t="s">
        <v>42</v>
      </c>
      <c r="V636" t="s">
        <v>42</v>
      </c>
      <c r="W636" t="s">
        <v>42</v>
      </c>
      <c r="X636">
        <v>5</v>
      </c>
      <c r="Y636">
        <v>3</v>
      </c>
      <c r="Z636">
        <v>3</v>
      </c>
      <c r="AA636">
        <v>1</v>
      </c>
      <c r="AB636">
        <v>1</v>
      </c>
      <c r="AC636">
        <v>4</v>
      </c>
      <c r="AD636">
        <v>4</v>
      </c>
      <c r="AE636">
        <v>8</v>
      </c>
      <c r="AF636">
        <v>8</v>
      </c>
      <c r="AG636">
        <v>8</v>
      </c>
    </row>
    <row r="637" spans="1:33" x14ac:dyDescent="0.35">
      <c r="A637" t="s">
        <v>33</v>
      </c>
      <c r="B637" t="s">
        <v>34</v>
      </c>
      <c r="C637">
        <v>17</v>
      </c>
      <c r="D637" t="s">
        <v>35</v>
      </c>
      <c r="E637" t="s">
        <v>36</v>
      </c>
      <c r="F637" t="s">
        <v>44</v>
      </c>
      <c r="G637">
        <v>3</v>
      </c>
      <c r="H637">
        <v>2</v>
      </c>
      <c r="I637" t="s">
        <v>45</v>
      </c>
      <c r="J637" t="s">
        <v>45</v>
      </c>
      <c r="K637" t="s">
        <v>40</v>
      </c>
      <c r="L637" t="s">
        <v>41</v>
      </c>
      <c r="M637">
        <v>1</v>
      </c>
      <c r="N637">
        <v>2</v>
      </c>
      <c r="O637">
        <v>0</v>
      </c>
      <c r="P637" t="s">
        <v>43</v>
      </c>
      <c r="Q637" t="s">
        <v>43</v>
      </c>
      <c r="R637" t="s">
        <v>43</v>
      </c>
      <c r="S637" t="s">
        <v>42</v>
      </c>
      <c r="T637" t="s">
        <v>43</v>
      </c>
      <c r="U637" t="s">
        <v>42</v>
      </c>
      <c r="V637" t="s">
        <v>42</v>
      </c>
      <c r="W637" t="s">
        <v>43</v>
      </c>
      <c r="X637">
        <v>5</v>
      </c>
      <c r="Y637">
        <v>3</v>
      </c>
      <c r="Z637">
        <v>4</v>
      </c>
      <c r="AA637">
        <v>1</v>
      </c>
      <c r="AB637">
        <v>3</v>
      </c>
      <c r="AC637">
        <v>3</v>
      </c>
      <c r="AD637">
        <v>2</v>
      </c>
      <c r="AE637">
        <v>17</v>
      </c>
      <c r="AF637">
        <v>18</v>
      </c>
      <c r="AG637">
        <v>17</v>
      </c>
    </row>
    <row r="638" spans="1:33" x14ac:dyDescent="0.35">
      <c r="A638" t="s">
        <v>33</v>
      </c>
      <c r="B638" t="s">
        <v>50</v>
      </c>
      <c r="C638">
        <v>17</v>
      </c>
      <c r="D638" t="s">
        <v>35</v>
      </c>
      <c r="E638" t="s">
        <v>47</v>
      </c>
      <c r="F638" t="s">
        <v>44</v>
      </c>
      <c r="G638">
        <v>2</v>
      </c>
      <c r="H638">
        <v>3</v>
      </c>
      <c r="I638" t="s">
        <v>48</v>
      </c>
      <c r="J638" t="s">
        <v>48</v>
      </c>
      <c r="K638" t="s">
        <v>51</v>
      </c>
      <c r="L638" t="s">
        <v>46</v>
      </c>
      <c r="M638">
        <v>1</v>
      </c>
      <c r="N638">
        <v>2</v>
      </c>
      <c r="O638">
        <v>0</v>
      </c>
      <c r="P638" t="s">
        <v>43</v>
      </c>
      <c r="Q638" t="s">
        <v>42</v>
      </c>
      <c r="R638" t="s">
        <v>43</v>
      </c>
      <c r="S638" t="s">
        <v>43</v>
      </c>
      <c r="T638" t="s">
        <v>43</v>
      </c>
      <c r="U638" t="s">
        <v>42</v>
      </c>
      <c r="V638" t="s">
        <v>42</v>
      </c>
      <c r="W638" t="s">
        <v>43</v>
      </c>
      <c r="X638">
        <v>5</v>
      </c>
      <c r="Y638">
        <v>3</v>
      </c>
      <c r="Z638">
        <v>3</v>
      </c>
      <c r="AA638">
        <v>1</v>
      </c>
      <c r="AB638">
        <v>3</v>
      </c>
      <c r="AC638">
        <v>3</v>
      </c>
      <c r="AD638">
        <v>0</v>
      </c>
      <c r="AE638">
        <v>10</v>
      </c>
      <c r="AF638">
        <v>11</v>
      </c>
      <c r="AG638">
        <v>11</v>
      </c>
    </row>
    <row r="639" spans="1:33" x14ac:dyDescent="0.35">
      <c r="A639" t="s">
        <v>33</v>
      </c>
      <c r="B639" t="s">
        <v>50</v>
      </c>
      <c r="C639">
        <v>18</v>
      </c>
      <c r="D639" t="s">
        <v>35</v>
      </c>
      <c r="E639" t="s">
        <v>47</v>
      </c>
      <c r="F639" t="s">
        <v>44</v>
      </c>
      <c r="G639">
        <v>2</v>
      </c>
      <c r="H639">
        <v>1</v>
      </c>
      <c r="I639" t="s">
        <v>38</v>
      </c>
      <c r="J639" t="s">
        <v>45</v>
      </c>
      <c r="K639" t="s">
        <v>40</v>
      </c>
      <c r="L639" t="s">
        <v>41</v>
      </c>
      <c r="M639">
        <v>4</v>
      </c>
      <c r="N639">
        <v>2</v>
      </c>
      <c r="O639">
        <v>0</v>
      </c>
      <c r="P639" t="s">
        <v>42</v>
      </c>
      <c r="Q639" t="s">
        <v>42</v>
      </c>
      <c r="R639" t="s">
        <v>43</v>
      </c>
      <c r="S639" t="s">
        <v>42</v>
      </c>
      <c r="T639" t="s">
        <v>42</v>
      </c>
      <c r="U639" t="s">
        <v>42</v>
      </c>
      <c r="V639" t="s">
        <v>42</v>
      </c>
      <c r="W639" t="s">
        <v>42</v>
      </c>
      <c r="X639">
        <v>4</v>
      </c>
      <c r="Y639">
        <v>3</v>
      </c>
      <c r="Z639">
        <v>2</v>
      </c>
      <c r="AA639">
        <v>4</v>
      </c>
      <c r="AB639">
        <v>5</v>
      </c>
      <c r="AC639">
        <v>3</v>
      </c>
      <c r="AD639">
        <v>2</v>
      </c>
      <c r="AE639">
        <v>9</v>
      </c>
      <c r="AF639">
        <v>10</v>
      </c>
      <c r="AG639">
        <v>11</v>
      </c>
    </row>
    <row r="640" spans="1:33" x14ac:dyDescent="0.35">
      <c r="A640" t="s">
        <v>33</v>
      </c>
      <c r="B640" t="s">
        <v>34</v>
      </c>
      <c r="C640">
        <v>17</v>
      </c>
      <c r="D640" t="s">
        <v>35</v>
      </c>
      <c r="E640" t="s">
        <v>36</v>
      </c>
      <c r="F640" t="s">
        <v>37</v>
      </c>
      <c r="G640">
        <v>2</v>
      </c>
      <c r="H640">
        <v>1</v>
      </c>
      <c r="I640" t="s">
        <v>45</v>
      </c>
      <c r="J640" t="s">
        <v>45</v>
      </c>
      <c r="K640" t="s">
        <v>40</v>
      </c>
      <c r="L640" t="s">
        <v>41</v>
      </c>
      <c r="M640">
        <v>2</v>
      </c>
      <c r="N640">
        <v>3</v>
      </c>
      <c r="O640">
        <v>0</v>
      </c>
      <c r="P640" t="s">
        <v>43</v>
      </c>
      <c r="Q640" t="s">
        <v>43</v>
      </c>
      <c r="R640" t="s">
        <v>43</v>
      </c>
      <c r="S640" t="s">
        <v>42</v>
      </c>
      <c r="T640" t="s">
        <v>42</v>
      </c>
      <c r="U640" t="s">
        <v>42</v>
      </c>
      <c r="V640" t="s">
        <v>42</v>
      </c>
      <c r="W640" t="s">
        <v>42</v>
      </c>
      <c r="X640">
        <v>3</v>
      </c>
      <c r="Y640">
        <v>2</v>
      </c>
      <c r="Z640">
        <v>3</v>
      </c>
      <c r="AA640">
        <v>1</v>
      </c>
      <c r="AB640">
        <v>2</v>
      </c>
      <c r="AC640">
        <v>3</v>
      </c>
      <c r="AD640">
        <v>0</v>
      </c>
      <c r="AE640">
        <v>15</v>
      </c>
      <c r="AF640">
        <v>15</v>
      </c>
      <c r="AG640">
        <v>16</v>
      </c>
    </row>
    <row r="641" spans="1:33" x14ac:dyDescent="0.35">
      <c r="A641" t="s">
        <v>33</v>
      </c>
      <c r="B641" t="s">
        <v>34</v>
      </c>
      <c r="C641">
        <v>17</v>
      </c>
      <c r="D641" t="s">
        <v>35</v>
      </c>
      <c r="E641" t="s">
        <v>47</v>
      </c>
      <c r="F641" t="s">
        <v>44</v>
      </c>
      <c r="G641">
        <v>4</v>
      </c>
      <c r="H641">
        <v>3</v>
      </c>
      <c r="I641" t="s">
        <v>28</v>
      </c>
      <c r="J641" t="s">
        <v>45</v>
      </c>
      <c r="K641" t="s">
        <v>51</v>
      </c>
      <c r="L641" t="s">
        <v>46</v>
      </c>
      <c r="M641">
        <v>1</v>
      </c>
      <c r="N641">
        <v>2</v>
      </c>
      <c r="O641">
        <v>0</v>
      </c>
      <c r="P641" t="s">
        <v>43</v>
      </c>
      <c r="Q641" t="s">
        <v>43</v>
      </c>
      <c r="R641" t="s">
        <v>43</v>
      </c>
      <c r="S641" t="s">
        <v>42</v>
      </c>
      <c r="T641" t="s">
        <v>42</v>
      </c>
      <c r="U641" t="s">
        <v>42</v>
      </c>
      <c r="V641" t="s">
        <v>42</v>
      </c>
      <c r="W641" t="s">
        <v>42</v>
      </c>
      <c r="X641">
        <v>3</v>
      </c>
      <c r="Y641">
        <v>2</v>
      </c>
      <c r="Z641">
        <v>3</v>
      </c>
      <c r="AA641">
        <v>1</v>
      </c>
      <c r="AB641">
        <v>2</v>
      </c>
      <c r="AC641">
        <v>3</v>
      </c>
      <c r="AD641">
        <v>0</v>
      </c>
      <c r="AE641">
        <v>14</v>
      </c>
      <c r="AF641">
        <v>12</v>
      </c>
      <c r="AG641">
        <v>12</v>
      </c>
    </row>
    <row r="642" spans="1:33" x14ac:dyDescent="0.35">
      <c r="A642" t="s">
        <v>33</v>
      </c>
      <c r="B642" t="s">
        <v>50</v>
      </c>
      <c r="C642">
        <v>17</v>
      </c>
      <c r="D642" t="s">
        <v>52</v>
      </c>
      <c r="E642" t="s">
        <v>36</v>
      </c>
      <c r="F642" t="s">
        <v>44</v>
      </c>
      <c r="G642">
        <v>2</v>
      </c>
      <c r="H642">
        <v>2</v>
      </c>
      <c r="I642" t="s">
        <v>45</v>
      </c>
      <c r="J642" t="s">
        <v>45</v>
      </c>
      <c r="K642" t="s">
        <v>40</v>
      </c>
      <c r="L642" t="s">
        <v>46</v>
      </c>
      <c r="M642">
        <v>2</v>
      </c>
      <c r="N642">
        <v>2</v>
      </c>
      <c r="O642">
        <v>0</v>
      </c>
      <c r="P642" t="s">
        <v>43</v>
      </c>
      <c r="Q642" t="s">
        <v>42</v>
      </c>
      <c r="R642" t="s">
        <v>43</v>
      </c>
      <c r="S642" t="s">
        <v>42</v>
      </c>
      <c r="T642" t="s">
        <v>42</v>
      </c>
      <c r="U642" t="s">
        <v>42</v>
      </c>
      <c r="V642" t="s">
        <v>42</v>
      </c>
      <c r="W642" t="s">
        <v>43</v>
      </c>
      <c r="X642">
        <v>4</v>
      </c>
      <c r="Y642">
        <v>5</v>
      </c>
      <c r="Z642">
        <v>2</v>
      </c>
      <c r="AA642">
        <v>1</v>
      </c>
      <c r="AB642">
        <v>1</v>
      </c>
      <c r="AC642">
        <v>1</v>
      </c>
      <c r="AD642">
        <v>0</v>
      </c>
      <c r="AE642">
        <v>12</v>
      </c>
      <c r="AF642">
        <v>13</v>
      </c>
      <c r="AG642">
        <v>13</v>
      </c>
    </row>
    <row r="643" spans="1:33" x14ac:dyDescent="0.35">
      <c r="A643" t="s">
        <v>33</v>
      </c>
      <c r="B643" t="s">
        <v>50</v>
      </c>
      <c r="C643">
        <v>17</v>
      </c>
      <c r="D643" t="s">
        <v>35</v>
      </c>
      <c r="E643" t="s">
        <v>36</v>
      </c>
      <c r="F643" t="s">
        <v>44</v>
      </c>
      <c r="G643">
        <v>4</v>
      </c>
      <c r="H643">
        <v>4</v>
      </c>
      <c r="I643" t="s">
        <v>39</v>
      </c>
      <c r="J643" t="s">
        <v>39</v>
      </c>
      <c r="K643" t="s">
        <v>51</v>
      </c>
      <c r="L643" t="s">
        <v>41</v>
      </c>
      <c r="M643">
        <v>1</v>
      </c>
      <c r="N643">
        <v>2</v>
      </c>
      <c r="O643">
        <v>0</v>
      </c>
      <c r="P643" t="s">
        <v>42</v>
      </c>
      <c r="Q643" t="s">
        <v>42</v>
      </c>
      <c r="R643" t="s">
        <v>43</v>
      </c>
      <c r="S643" t="s">
        <v>42</v>
      </c>
      <c r="T643" t="s">
        <v>42</v>
      </c>
      <c r="U643" t="s">
        <v>42</v>
      </c>
      <c r="V643" t="s">
        <v>42</v>
      </c>
      <c r="W643" t="s">
        <v>42</v>
      </c>
      <c r="X643">
        <v>4</v>
      </c>
      <c r="Y643">
        <v>5</v>
      </c>
      <c r="Z643">
        <v>5</v>
      </c>
      <c r="AA643">
        <v>1</v>
      </c>
      <c r="AB643">
        <v>3</v>
      </c>
      <c r="AC643">
        <v>2</v>
      </c>
      <c r="AD643">
        <v>0</v>
      </c>
      <c r="AE643">
        <v>13</v>
      </c>
      <c r="AF643">
        <v>13</v>
      </c>
      <c r="AG643">
        <v>13</v>
      </c>
    </row>
    <row r="644" spans="1:33" x14ac:dyDescent="0.35">
      <c r="A644" t="s">
        <v>33</v>
      </c>
      <c r="B644" t="s">
        <v>50</v>
      </c>
      <c r="C644">
        <v>16</v>
      </c>
      <c r="D644" t="s">
        <v>35</v>
      </c>
      <c r="E644" t="s">
        <v>36</v>
      </c>
      <c r="F644" t="s">
        <v>44</v>
      </c>
      <c r="G644">
        <v>4</v>
      </c>
      <c r="H644">
        <v>4</v>
      </c>
      <c r="I644" t="s">
        <v>28</v>
      </c>
      <c r="J644" t="s">
        <v>45</v>
      </c>
      <c r="K644" t="s">
        <v>51</v>
      </c>
      <c r="L644" t="s">
        <v>46</v>
      </c>
      <c r="M644">
        <v>1</v>
      </c>
      <c r="N644">
        <v>2</v>
      </c>
      <c r="O644">
        <v>0</v>
      </c>
      <c r="P644" t="s">
        <v>43</v>
      </c>
      <c r="Q644" t="s">
        <v>42</v>
      </c>
      <c r="R644" t="s">
        <v>43</v>
      </c>
      <c r="S644" t="s">
        <v>42</v>
      </c>
      <c r="T644" t="s">
        <v>42</v>
      </c>
      <c r="U644" t="s">
        <v>42</v>
      </c>
      <c r="V644" t="s">
        <v>42</v>
      </c>
      <c r="W644" t="s">
        <v>43</v>
      </c>
      <c r="X644">
        <v>4</v>
      </c>
      <c r="Y644">
        <v>2</v>
      </c>
      <c r="Z644">
        <v>4</v>
      </c>
      <c r="AA644">
        <v>2</v>
      </c>
      <c r="AB644">
        <v>4</v>
      </c>
      <c r="AC644">
        <v>1</v>
      </c>
      <c r="AD644">
        <v>0</v>
      </c>
      <c r="AE644">
        <v>13</v>
      </c>
      <c r="AF644">
        <v>13</v>
      </c>
      <c r="AG644">
        <v>14</v>
      </c>
    </row>
    <row r="645" spans="1:33" x14ac:dyDescent="0.35">
      <c r="A645" t="s">
        <v>33</v>
      </c>
      <c r="B645" t="s">
        <v>50</v>
      </c>
      <c r="C645">
        <v>16</v>
      </c>
      <c r="D645" t="s">
        <v>35</v>
      </c>
      <c r="E645" t="s">
        <v>47</v>
      </c>
      <c r="F645" t="s">
        <v>44</v>
      </c>
      <c r="G645">
        <v>1</v>
      </c>
      <c r="H645">
        <v>1</v>
      </c>
      <c r="I645" t="s">
        <v>45</v>
      </c>
      <c r="J645" t="s">
        <v>45</v>
      </c>
      <c r="K645" t="s">
        <v>49</v>
      </c>
      <c r="L645" t="s">
        <v>41</v>
      </c>
      <c r="M645">
        <v>2</v>
      </c>
      <c r="N645">
        <v>2</v>
      </c>
      <c r="O645">
        <v>0</v>
      </c>
      <c r="P645" t="s">
        <v>43</v>
      </c>
      <c r="Q645" t="s">
        <v>42</v>
      </c>
      <c r="R645" t="s">
        <v>43</v>
      </c>
      <c r="S645" t="s">
        <v>43</v>
      </c>
      <c r="T645" t="s">
        <v>42</v>
      </c>
      <c r="U645" t="s">
        <v>42</v>
      </c>
      <c r="V645" t="s">
        <v>42</v>
      </c>
      <c r="W645" t="s">
        <v>43</v>
      </c>
      <c r="X645">
        <v>3</v>
      </c>
      <c r="Y645">
        <v>4</v>
      </c>
      <c r="Z645">
        <v>2</v>
      </c>
      <c r="AA645">
        <v>1</v>
      </c>
      <c r="AB645">
        <v>1</v>
      </c>
      <c r="AC645">
        <v>5</v>
      </c>
      <c r="AD645">
        <v>2</v>
      </c>
      <c r="AE645">
        <v>9</v>
      </c>
      <c r="AF645">
        <v>9</v>
      </c>
      <c r="AG645">
        <v>9</v>
      </c>
    </row>
    <row r="646" spans="1:33" x14ac:dyDescent="0.35">
      <c r="A646" t="s">
        <v>33</v>
      </c>
      <c r="B646" t="s">
        <v>50</v>
      </c>
      <c r="C646">
        <v>16</v>
      </c>
      <c r="D646" t="s">
        <v>35</v>
      </c>
      <c r="E646" t="s">
        <v>36</v>
      </c>
      <c r="F646" t="s">
        <v>44</v>
      </c>
      <c r="G646">
        <v>3</v>
      </c>
      <c r="H646">
        <v>2</v>
      </c>
      <c r="I646" t="s">
        <v>38</v>
      </c>
      <c r="J646" t="s">
        <v>45</v>
      </c>
      <c r="K646" t="s">
        <v>51</v>
      </c>
      <c r="L646" t="s">
        <v>41</v>
      </c>
      <c r="M646">
        <v>2</v>
      </c>
      <c r="N646">
        <v>3</v>
      </c>
      <c r="O646">
        <v>0</v>
      </c>
      <c r="P646" t="s">
        <v>43</v>
      </c>
      <c r="Q646" t="s">
        <v>43</v>
      </c>
      <c r="R646" t="s">
        <v>43</v>
      </c>
      <c r="S646" t="s">
        <v>42</v>
      </c>
      <c r="T646" t="s">
        <v>42</v>
      </c>
      <c r="U646" t="s">
        <v>42</v>
      </c>
      <c r="V646" t="s">
        <v>42</v>
      </c>
      <c r="W646" t="s">
        <v>42</v>
      </c>
      <c r="X646">
        <v>5</v>
      </c>
      <c r="Y646">
        <v>3</v>
      </c>
      <c r="Z646">
        <v>3</v>
      </c>
      <c r="AA646">
        <v>1</v>
      </c>
      <c r="AB646">
        <v>3</v>
      </c>
      <c r="AC646">
        <v>2</v>
      </c>
      <c r="AD646">
        <v>0</v>
      </c>
      <c r="AE646">
        <v>12</v>
      </c>
      <c r="AF646">
        <v>12</v>
      </c>
      <c r="AG646">
        <v>12</v>
      </c>
    </row>
    <row r="647" spans="1:33" x14ac:dyDescent="0.35">
      <c r="A647" t="s">
        <v>33</v>
      </c>
      <c r="B647" t="s">
        <v>50</v>
      </c>
      <c r="C647">
        <v>17</v>
      </c>
      <c r="D647" t="s">
        <v>35</v>
      </c>
      <c r="E647" t="s">
        <v>47</v>
      </c>
      <c r="F647" t="s">
        <v>44</v>
      </c>
      <c r="G647">
        <v>2</v>
      </c>
      <c r="H647">
        <v>2</v>
      </c>
      <c r="I647" t="s">
        <v>45</v>
      </c>
      <c r="J647" t="s">
        <v>45</v>
      </c>
      <c r="K647" t="s">
        <v>49</v>
      </c>
      <c r="L647" t="s">
        <v>46</v>
      </c>
      <c r="M647">
        <v>1</v>
      </c>
      <c r="N647">
        <v>2</v>
      </c>
      <c r="O647">
        <v>0</v>
      </c>
      <c r="P647" t="s">
        <v>43</v>
      </c>
      <c r="Q647" t="s">
        <v>43</v>
      </c>
      <c r="R647" t="s">
        <v>43</v>
      </c>
      <c r="S647" t="s">
        <v>42</v>
      </c>
      <c r="T647" t="s">
        <v>43</v>
      </c>
      <c r="U647" t="s">
        <v>42</v>
      </c>
      <c r="V647" t="s">
        <v>42</v>
      </c>
      <c r="W647" t="s">
        <v>42</v>
      </c>
      <c r="X647">
        <v>4</v>
      </c>
      <c r="Y647">
        <v>4</v>
      </c>
      <c r="Z647">
        <v>2</v>
      </c>
      <c r="AA647">
        <v>5</v>
      </c>
      <c r="AB647">
        <v>5</v>
      </c>
      <c r="AC647">
        <v>4</v>
      </c>
      <c r="AD647">
        <v>0</v>
      </c>
      <c r="AE647">
        <v>16</v>
      </c>
      <c r="AF647">
        <v>16</v>
      </c>
      <c r="AG647">
        <v>16</v>
      </c>
    </row>
    <row r="648" spans="1:33" x14ac:dyDescent="0.35">
      <c r="A648" t="s">
        <v>33</v>
      </c>
      <c r="B648" t="s">
        <v>34</v>
      </c>
      <c r="C648">
        <v>16</v>
      </c>
      <c r="D648" t="s">
        <v>35</v>
      </c>
      <c r="E648" t="s">
        <v>36</v>
      </c>
      <c r="F648" t="s">
        <v>44</v>
      </c>
      <c r="G648">
        <v>2</v>
      </c>
      <c r="H648">
        <v>1</v>
      </c>
      <c r="I648" t="s">
        <v>45</v>
      </c>
      <c r="J648" t="s">
        <v>45</v>
      </c>
      <c r="K648" t="s">
        <v>49</v>
      </c>
      <c r="L648" t="s">
        <v>41</v>
      </c>
      <c r="M648">
        <v>1</v>
      </c>
      <c r="N648">
        <v>1</v>
      </c>
      <c r="O648">
        <v>0</v>
      </c>
      <c r="P648" t="s">
        <v>43</v>
      </c>
      <c r="Q648" t="s">
        <v>43</v>
      </c>
      <c r="R648" t="s">
        <v>43</v>
      </c>
      <c r="S648" t="s">
        <v>43</v>
      </c>
      <c r="T648" t="s">
        <v>42</v>
      </c>
      <c r="U648" t="s">
        <v>42</v>
      </c>
      <c r="V648" t="s">
        <v>42</v>
      </c>
      <c r="W648" t="s">
        <v>42</v>
      </c>
      <c r="X648">
        <v>4</v>
      </c>
      <c r="Y648">
        <v>5</v>
      </c>
      <c r="Z648">
        <v>2</v>
      </c>
      <c r="AA648">
        <v>1</v>
      </c>
      <c r="AB648">
        <v>1</v>
      </c>
      <c r="AC648">
        <v>5</v>
      </c>
      <c r="AD648">
        <v>4</v>
      </c>
      <c r="AE648">
        <v>9</v>
      </c>
      <c r="AF648">
        <v>10</v>
      </c>
      <c r="AG648">
        <v>10</v>
      </c>
    </row>
    <row r="649" spans="1:33" x14ac:dyDescent="0.35">
      <c r="A649" t="s">
        <v>33</v>
      </c>
      <c r="B649" t="s">
        <v>34</v>
      </c>
      <c r="C649">
        <v>16</v>
      </c>
      <c r="D649" t="s">
        <v>35</v>
      </c>
      <c r="E649" t="s">
        <v>36</v>
      </c>
      <c r="F649" t="s">
        <v>37</v>
      </c>
      <c r="G649">
        <v>4</v>
      </c>
      <c r="H649">
        <v>1</v>
      </c>
      <c r="I649" t="s">
        <v>45</v>
      </c>
      <c r="J649" t="s">
        <v>45</v>
      </c>
      <c r="K649" t="s">
        <v>49</v>
      </c>
      <c r="L649" t="s">
        <v>41</v>
      </c>
      <c r="M649">
        <v>1</v>
      </c>
      <c r="N649">
        <v>2</v>
      </c>
      <c r="O649">
        <v>0</v>
      </c>
      <c r="P649" t="s">
        <v>43</v>
      </c>
      <c r="Q649" t="s">
        <v>43</v>
      </c>
      <c r="R649" t="s">
        <v>43</v>
      </c>
      <c r="S649" t="s">
        <v>42</v>
      </c>
      <c r="T649" t="s">
        <v>42</v>
      </c>
      <c r="U649" t="s">
        <v>42</v>
      </c>
      <c r="V649" t="s">
        <v>42</v>
      </c>
      <c r="W649" t="s">
        <v>42</v>
      </c>
      <c r="X649">
        <v>5</v>
      </c>
      <c r="Y649">
        <v>3</v>
      </c>
      <c r="Z649">
        <v>3</v>
      </c>
      <c r="AA649">
        <v>1</v>
      </c>
      <c r="AB649">
        <v>2</v>
      </c>
      <c r="AC649">
        <v>5</v>
      </c>
      <c r="AD649">
        <v>0</v>
      </c>
      <c r="AE649">
        <v>14</v>
      </c>
      <c r="AF649">
        <v>13</v>
      </c>
      <c r="AG649">
        <v>13</v>
      </c>
    </row>
    <row r="650" spans="1:33" x14ac:dyDescent="0.35">
      <c r="A650" t="s">
        <v>33</v>
      </c>
      <c r="B650" t="s">
        <v>34</v>
      </c>
      <c r="C650">
        <v>18</v>
      </c>
      <c r="D650" t="s">
        <v>35</v>
      </c>
      <c r="E650" t="s">
        <v>47</v>
      </c>
      <c r="F650" t="s">
        <v>37</v>
      </c>
      <c r="G650">
        <v>2</v>
      </c>
      <c r="H650">
        <v>4</v>
      </c>
      <c r="I650" t="s">
        <v>48</v>
      </c>
      <c r="J650" t="s">
        <v>45</v>
      </c>
      <c r="K650" t="s">
        <v>40</v>
      </c>
      <c r="L650" t="s">
        <v>41</v>
      </c>
      <c r="M650">
        <v>2</v>
      </c>
      <c r="N650">
        <v>2</v>
      </c>
      <c r="O650">
        <v>1</v>
      </c>
      <c r="P650" t="s">
        <v>43</v>
      </c>
      <c r="Q650" t="s">
        <v>42</v>
      </c>
      <c r="R650" t="s">
        <v>43</v>
      </c>
      <c r="S650" t="s">
        <v>43</v>
      </c>
      <c r="T650" t="s">
        <v>42</v>
      </c>
      <c r="U650" t="s">
        <v>42</v>
      </c>
      <c r="V650" t="s">
        <v>42</v>
      </c>
      <c r="W650" t="s">
        <v>43</v>
      </c>
      <c r="X650">
        <v>4</v>
      </c>
      <c r="Y650">
        <v>3</v>
      </c>
      <c r="Z650">
        <v>3</v>
      </c>
      <c r="AA650">
        <v>1</v>
      </c>
      <c r="AB650">
        <v>1</v>
      </c>
      <c r="AC650">
        <v>3</v>
      </c>
      <c r="AD650">
        <v>18</v>
      </c>
      <c r="AE650">
        <v>10</v>
      </c>
      <c r="AF650">
        <v>10</v>
      </c>
      <c r="AG650">
        <v>10</v>
      </c>
    </row>
    <row r="651" spans="1:33" x14ac:dyDescent="0.35">
      <c r="A651" t="s">
        <v>33</v>
      </c>
      <c r="B651" t="s">
        <v>34</v>
      </c>
      <c r="C651">
        <v>18</v>
      </c>
      <c r="D651" t="s">
        <v>35</v>
      </c>
      <c r="E651" t="s">
        <v>47</v>
      </c>
      <c r="F651" t="s">
        <v>44</v>
      </c>
      <c r="G651">
        <v>2</v>
      </c>
      <c r="H651">
        <v>2</v>
      </c>
      <c r="I651" t="s">
        <v>38</v>
      </c>
      <c r="J651" t="s">
        <v>48</v>
      </c>
      <c r="K651" t="s">
        <v>40</v>
      </c>
      <c r="L651" t="s">
        <v>41</v>
      </c>
      <c r="M651">
        <v>1</v>
      </c>
      <c r="N651">
        <v>2</v>
      </c>
      <c r="O651">
        <v>1</v>
      </c>
      <c r="P651" t="s">
        <v>43</v>
      </c>
      <c r="Q651" t="s">
        <v>42</v>
      </c>
      <c r="R651" t="s">
        <v>43</v>
      </c>
      <c r="S651" t="s">
        <v>43</v>
      </c>
      <c r="T651" t="s">
        <v>43</v>
      </c>
      <c r="U651" t="s">
        <v>42</v>
      </c>
      <c r="V651" t="s">
        <v>42</v>
      </c>
      <c r="W651" t="s">
        <v>42</v>
      </c>
      <c r="X651">
        <v>5</v>
      </c>
      <c r="Y651">
        <v>3</v>
      </c>
      <c r="Z651">
        <v>1</v>
      </c>
      <c r="AA651">
        <v>1</v>
      </c>
      <c r="AB651">
        <v>1</v>
      </c>
      <c r="AC651">
        <v>5</v>
      </c>
      <c r="AD651">
        <v>16</v>
      </c>
      <c r="AE651">
        <v>9</v>
      </c>
      <c r="AF651">
        <v>8</v>
      </c>
      <c r="AG651">
        <v>10</v>
      </c>
    </row>
    <row r="652" spans="1:33" x14ac:dyDescent="0.35">
      <c r="A652" t="s">
        <v>33</v>
      </c>
      <c r="B652" t="s">
        <v>34</v>
      </c>
      <c r="C652">
        <v>18</v>
      </c>
      <c r="D652" t="s">
        <v>35</v>
      </c>
      <c r="E652" t="s">
        <v>36</v>
      </c>
      <c r="F652" t="s">
        <v>44</v>
      </c>
      <c r="G652">
        <v>3</v>
      </c>
      <c r="H652">
        <v>3</v>
      </c>
      <c r="I652" t="s">
        <v>45</v>
      </c>
      <c r="J652" t="s">
        <v>45</v>
      </c>
      <c r="K652" t="s">
        <v>40</v>
      </c>
      <c r="L652" t="s">
        <v>41</v>
      </c>
      <c r="M652">
        <v>2</v>
      </c>
      <c r="N652">
        <v>1</v>
      </c>
      <c r="O652">
        <v>1</v>
      </c>
      <c r="P652" t="s">
        <v>43</v>
      </c>
      <c r="Q652" t="s">
        <v>43</v>
      </c>
      <c r="R652" t="s">
        <v>43</v>
      </c>
      <c r="S652" t="s">
        <v>43</v>
      </c>
      <c r="T652" t="s">
        <v>42</v>
      </c>
      <c r="U652" t="s">
        <v>43</v>
      </c>
      <c r="V652" t="s">
        <v>42</v>
      </c>
      <c r="W652" t="s">
        <v>43</v>
      </c>
      <c r="X652">
        <v>4</v>
      </c>
      <c r="Y652">
        <v>1</v>
      </c>
      <c r="Z652">
        <v>1</v>
      </c>
      <c r="AA652">
        <v>1</v>
      </c>
      <c r="AB652">
        <v>1</v>
      </c>
      <c r="AC652">
        <v>3</v>
      </c>
      <c r="AD652">
        <v>14</v>
      </c>
      <c r="AE652">
        <v>8</v>
      </c>
      <c r="AF652">
        <v>7</v>
      </c>
      <c r="AG652">
        <v>7</v>
      </c>
    </row>
    <row r="653" spans="1:33" x14ac:dyDescent="0.35">
      <c r="A653" t="s">
        <v>33</v>
      </c>
      <c r="B653" t="s">
        <v>50</v>
      </c>
      <c r="C653">
        <v>18</v>
      </c>
      <c r="D653" t="s">
        <v>35</v>
      </c>
      <c r="E653" t="s">
        <v>36</v>
      </c>
      <c r="F653" t="s">
        <v>44</v>
      </c>
      <c r="G653">
        <v>2</v>
      </c>
      <c r="H653">
        <v>2</v>
      </c>
      <c r="I653" t="s">
        <v>45</v>
      </c>
      <c r="J653" t="s">
        <v>38</v>
      </c>
      <c r="K653" t="s">
        <v>40</v>
      </c>
      <c r="L653" t="s">
        <v>45</v>
      </c>
      <c r="M653">
        <v>1</v>
      </c>
      <c r="N653">
        <v>1</v>
      </c>
      <c r="O653">
        <v>1</v>
      </c>
      <c r="P653" t="s">
        <v>43</v>
      </c>
      <c r="Q653" t="s">
        <v>42</v>
      </c>
      <c r="R653" t="s">
        <v>43</v>
      </c>
      <c r="S653" t="s">
        <v>42</v>
      </c>
      <c r="T653" t="s">
        <v>43</v>
      </c>
      <c r="U653" t="s">
        <v>43</v>
      </c>
      <c r="V653" t="s">
        <v>42</v>
      </c>
      <c r="W653" t="s">
        <v>42</v>
      </c>
      <c r="X653">
        <v>4</v>
      </c>
      <c r="Y653">
        <v>4</v>
      </c>
      <c r="Z653">
        <v>3</v>
      </c>
      <c r="AA653">
        <v>2</v>
      </c>
      <c r="AB653">
        <v>2</v>
      </c>
      <c r="AC653">
        <v>1</v>
      </c>
      <c r="AD653">
        <v>26</v>
      </c>
      <c r="AE653">
        <v>7</v>
      </c>
      <c r="AF653">
        <v>8</v>
      </c>
      <c r="AG653">
        <v>8</v>
      </c>
    </row>
    <row r="654" spans="1:33" x14ac:dyDescent="0.35">
      <c r="A654" t="s">
        <v>33</v>
      </c>
      <c r="B654" t="s">
        <v>50</v>
      </c>
      <c r="C654">
        <v>17</v>
      </c>
      <c r="D654" t="s">
        <v>35</v>
      </c>
      <c r="E654" t="s">
        <v>36</v>
      </c>
      <c r="F654" t="s">
        <v>44</v>
      </c>
      <c r="G654">
        <v>4</v>
      </c>
      <c r="H654">
        <v>4</v>
      </c>
      <c r="I654" t="s">
        <v>39</v>
      </c>
      <c r="J654" t="s">
        <v>39</v>
      </c>
      <c r="K654" t="s">
        <v>40</v>
      </c>
      <c r="L654" t="s">
        <v>41</v>
      </c>
      <c r="M654">
        <v>1</v>
      </c>
      <c r="N654">
        <v>1</v>
      </c>
      <c r="O654">
        <v>0</v>
      </c>
      <c r="P654" t="s">
        <v>43</v>
      </c>
      <c r="Q654" t="s">
        <v>42</v>
      </c>
      <c r="R654" t="s">
        <v>43</v>
      </c>
      <c r="S654" t="s">
        <v>42</v>
      </c>
      <c r="T654" t="s">
        <v>43</v>
      </c>
      <c r="U654" t="s">
        <v>42</v>
      </c>
      <c r="V654" t="s">
        <v>42</v>
      </c>
      <c r="W654" t="s">
        <v>43</v>
      </c>
      <c r="X654">
        <v>4</v>
      </c>
      <c r="Y654">
        <v>2</v>
      </c>
      <c r="Z654">
        <v>1</v>
      </c>
      <c r="AA654">
        <v>1</v>
      </c>
      <c r="AB654">
        <v>2</v>
      </c>
      <c r="AC654">
        <v>5</v>
      </c>
      <c r="AD654">
        <v>6</v>
      </c>
      <c r="AE654">
        <v>10</v>
      </c>
      <c r="AF654">
        <v>8</v>
      </c>
      <c r="AG654">
        <v>9</v>
      </c>
    </row>
    <row r="655" spans="1:33" x14ac:dyDescent="0.35">
      <c r="A655" t="s">
        <v>33</v>
      </c>
      <c r="B655" t="s">
        <v>34</v>
      </c>
      <c r="C655">
        <v>17</v>
      </c>
      <c r="D655" t="s">
        <v>35</v>
      </c>
      <c r="E655" t="s">
        <v>36</v>
      </c>
      <c r="F655" t="s">
        <v>44</v>
      </c>
      <c r="G655">
        <v>3</v>
      </c>
      <c r="H655">
        <v>2</v>
      </c>
      <c r="I655" t="s">
        <v>45</v>
      </c>
      <c r="J655" t="s">
        <v>45</v>
      </c>
      <c r="K655" t="s">
        <v>40</v>
      </c>
      <c r="L655" t="s">
        <v>46</v>
      </c>
      <c r="M655">
        <v>1</v>
      </c>
      <c r="N655">
        <v>2</v>
      </c>
      <c r="O655">
        <v>0</v>
      </c>
      <c r="P655" t="s">
        <v>43</v>
      </c>
      <c r="Q655" t="s">
        <v>43</v>
      </c>
      <c r="R655" t="s">
        <v>43</v>
      </c>
      <c r="S655" t="s">
        <v>42</v>
      </c>
      <c r="T655" t="s">
        <v>42</v>
      </c>
      <c r="U655" t="s">
        <v>42</v>
      </c>
      <c r="V655" t="s">
        <v>43</v>
      </c>
      <c r="W655" t="s">
        <v>43</v>
      </c>
      <c r="X655">
        <v>5</v>
      </c>
      <c r="Y655">
        <v>4</v>
      </c>
      <c r="Z655">
        <v>2</v>
      </c>
      <c r="AA655">
        <v>1</v>
      </c>
      <c r="AB655">
        <v>1</v>
      </c>
      <c r="AC655">
        <v>3</v>
      </c>
      <c r="AD655">
        <v>4</v>
      </c>
      <c r="AE655">
        <v>14</v>
      </c>
      <c r="AF655">
        <v>14</v>
      </c>
      <c r="AG655">
        <v>15</v>
      </c>
    </row>
    <row r="656" spans="1:33" x14ac:dyDescent="0.35">
      <c r="A656" t="s">
        <v>33</v>
      </c>
      <c r="B656" t="s">
        <v>34</v>
      </c>
      <c r="C656">
        <v>17</v>
      </c>
      <c r="D656" t="s">
        <v>35</v>
      </c>
      <c r="E656" t="s">
        <v>47</v>
      </c>
      <c r="F656" t="s">
        <v>44</v>
      </c>
      <c r="G656">
        <v>1</v>
      </c>
      <c r="H656">
        <v>1</v>
      </c>
      <c r="I656" t="s">
        <v>38</v>
      </c>
      <c r="J656" t="s">
        <v>38</v>
      </c>
      <c r="K656" t="s">
        <v>40</v>
      </c>
      <c r="L656" t="s">
        <v>41</v>
      </c>
      <c r="M656">
        <v>1</v>
      </c>
      <c r="N656">
        <v>3</v>
      </c>
      <c r="O656">
        <v>0</v>
      </c>
      <c r="P656" t="s">
        <v>43</v>
      </c>
      <c r="Q656" t="s">
        <v>42</v>
      </c>
      <c r="R656" t="s">
        <v>43</v>
      </c>
      <c r="S656" t="s">
        <v>42</v>
      </c>
      <c r="T656" t="s">
        <v>42</v>
      </c>
      <c r="U656" t="s">
        <v>42</v>
      </c>
      <c r="V656" t="s">
        <v>42</v>
      </c>
      <c r="W656" t="s">
        <v>42</v>
      </c>
      <c r="X656">
        <v>4</v>
      </c>
      <c r="Y656">
        <v>3</v>
      </c>
      <c r="Z656">
        <v>2</v>
      </c>
      <c r="AA656">
        <v>1</v>
      </c>
      <c r="AB656">
        <v>2</v>
      </c>
      <c r="AC656">
        <v>4</v>
      </c>
      <c r="AD656">
        <v>10</v>
      </c>
      <c r="AE656">
        <v>11</v>
      </c>
      <c r="AF656">
        <v>10</v>
      </c>
      <c r="AG656">
        <v>10</v>
      </c>
    </row>
    <row r="657" spans="1:33" x14ac:dyDescent="0.35">
      <c r="A657" t="s">
        <v>33</v>
      </c>
      <c r="B657" t="s">
        <v>34</v>
      </c>
      <c r="C657">
        <v>16</v>
      </c>
      <c r="D657" t="s">
        <v>35</v>
      </c>
      <c r="E657" t="s">
        <v>36</v>
      </c>
      <c r="F657" t="s">
        <v>44</v>
      </c>
      <c r="G657">
        <v>1</v>
      </c>
      <c r="H657">
        <v>2</v>
      </c>
      <c r="I657" t="s">
        <v>45</v>
      </c>
      <c r="J657" t="s">
        <v>45</v>
      </c>
      <c r="K657" t="s">
        <v>40</v>
      </c>
      <c r="L657" t="s">
        <v>41</v>
      </c>
      <c r="M657">
        <v>1</v>
      </c>
      <c r="N657">
        <v>1</v>
      </c>
      <c r="O657">
        <v>0</v>
      </c>
      <c r="P657" t="s">
        <v>43</v>
      </c>
      <c r="Q657" t="s">
        <v>43</v>
      </c>
      <c r="R657" t="s">
        <v>43</v>
      </c>
      <c r="S657" t="s">
        <v>43</v>
      </c>
      <c r="T657" t="s">
        <v>42</v>
      </c>
      <c r="U657" t="s">
        <v>43</v>
      </c>
      <c r="V657" t="s">
        <v>42</v>
      </c>
      <c r="W657" t="s">
        <v>43</v>
      </c>
      <c r="X657">
        <v>5</v>
      </c>
      <c r="Y657">
        <v>3</v>
      </c>
      <c r="Z657">
        <v>5</v>
      </c>
      <c r="AA657">
        <v>1</v>
      </c>
      <c r="AB657">
        <v>2</v>
      </c>
      <c r="AC657">
        <v>5</v>
      </c>
      <c r="AD657">
        <v>4</v>
      </c>
      <c r="AE657">
        <v>12</v>
      </c>
      <c r="AF657">
        <v>11</v>
      </c>
      <c r="AG657">
        <v>11</v>
      </c>
    </row>
    <row r="658" spans="1:33" x14ac:dyDescent="0.35">
      <c r="A658" t="s">
        <v>33</v>
      </c>
      <c r="B658" t="s">
        <v>34</v>
      </c>
      <c r="C658">
        <v>17</v>
      </c>
      <c r="D658" t="s">
        <v>52</v>
      </c>
      <c r="E658" t="s">
        <v>36</v>
      </c>
      <c r="F658" t="s">
        <v>44</v>
      </c>
      <c r="G658">
        <v>2</v>
      </c>
      <c r="H658">
        <v>1</v>
      </c>
      <c r="I658" t="s">
        <v>38</v>
      </c>
      <c r="J658" t="s">
        <v>48</v>
      </c>
      <c r="K658" t="s">
        <v>40</v>
      </c>
      <c r="L658" t="s">
        <v>41</v>
      </c>
      <c r="M658">
        <v>3</v>
      </c>
      <c r="N658">
        <v>2</v>
      </c>
      <c r="O658">
        <v>0</v>
      </c>
      <c r="P658" t="s">
        <v>43</v>
      </c>
      <c r="Q658" t="s">
        <v>43</v>
      </c>
      <c r="R658" t="s">
        <v>43</v>
      </c>
      <c r="S658" t="s">
        <v>42</v>
      </c>
      <c r="T658" t="s">
        <v>42</v>
      </c>
      <c r="U658" t="s">
        <v>42</v>
      </c>
      <c r="V658" t="s">
        <v>43</v>
      </c>
      <c r="W658" t="s">
        <v>43</v>
      </c>
      <c r="X658">
        <v>2</v>
      </c>
      <c r="Y658">
        <v>1</v>
      </c>
      <c r="Z658">
        <v>1</v>
      </c>
      <c r="AA658">
        <v>1</v>
      </c>
      <c r="AB658">
        <v>1</v>
      </c>
      <c r="AC658">
        <v>3</v>
      </c>
      <c r="AD658">
        <v>2</v>
      </c>
      <c r="AE658">
        <v>13</v>
      </c>
      <c r="AF658">
        <v>13</v>
      </c>
      <c r="AG658">
        <v>13</v>
      </c>
    </row>
    <row r="659" spans="1:33" x14ac:dyDescent="0.35">
      <c r="A659" t="s">
        <v>33</v>
      </c>
      <c r="B659" t="s">
        <v>34</v>
      </c>
      <c r="C659">
        <v>17</v>
      </c>
      <c r="D659" t="s">
        <v>52</v>
      </c>
      <c r="E659" t="s">
        <v>47</v>
      </c>
      <c r="F659" t="s">
        <v>37</v>
      </c>
      <c r="G659">
        <v>1</v>
      </c>
      <c r="H659">
        <v>4</v>
      </c>
      <c r="I659" t="s">
        <v>45</v>
      </c>
      <c r="J659" t="s">
        <v>45</v>
      </c>
      <c r="K659" t="s">
        <v>40</v>
      </c>
      <c r="L659" t="s">
        <v>45</v>
      </c>
      <c r="M659">
        <v>4</v>
      </c>
      <c r="N659">
        <v>1</v>
      </c>
      <c r="O659">
        <v>1</v>
      </c>
      <c r="P659" t="s">
        <v>43</v>
      </c>
      <c r="Q659" t="s">
        <v>42</v>
      </c>
      <c r="R659" t="s">
        <v>43</v>
      </c>
      <c r="S659" t="s">
        <v>43</v>
      </c>
      <c r="T659" t="s">
        <v>42</v>
      </c>
      <c r="U659" t="s">
        <v>42</v>
      </c>
      <c r="V659" t="s">
        <v>42</v>
      </c>
      <c r="W659" t="s">
        <v>43</v>
      </c>
      <c r="X659">
        <v>5</v>
      </c>
      <c r="Y659">
        <v>5</v>
      </c>
      <c r="Z659">
        <v>4</v>
      </c>
      <c r="AA659">
        <v>1</v>
      </c>
      <c r="AB659">
        <v>1</v>
      </c>
      <c r="AC659">
        <v>5</v>
      </c>
      <c r="AD659">
        <v>14</v>
      </c>
      <c r="AE659">
        <v>9</v>
      </c>
      <c r="AF659">
        <v>9</v>
      </c>
      <c r="AG659">
        <v>8</v>
      </c>
    </row>
    <row r="660" spans="1:33" x14ac:dyDescent="0.35">
      <c r="A660" t="s">
        <v>33</v>
      </c>
      <c r="B660" t="s">
        <v>50</v>
      </c>
      <c r="C660">
        <v>18</v>
      </c>
      <c r="D660" t="s">
        <v>35</v>
      </c>
      <c r="E660" t="s">
        <v>36</v>
      </c>
      <c r="F660" t="s">
        <v>44</v>
      </c>
      <c r="G660">
        <v>2</v>
      </c>
      <c r="H660">
        <v>2</v>
      </c>
      <c r="I660" t="s">
        <v>45</v>
      </c>
      <c r="J660" t="s">
        <v>48</v>
      </c>
      <c r="K660" t="s">
        <v>51</v>
      </c>
      <c r="L660" t="s">
        <v>46</v>
      </c>
      <c r="M660">
        <v>1</v>
      </c>
      <c r="N660">
        <v>2</v>
      </c>
      <c r="O660">
        <v>0</v>
      </c>
      <c r="P660" t="s">
        <v>43</v>
      </c>
      <c r="Q660" t="s">
        <v>43</v>
      </c>
      <c r="R660" t="s">
        <v>43</v>
      </c>
      <c r="S660" t="s">
        <v>43</v>
      </c>
      <c r="T660" t="s">
        <v>42</v>
      </c>
      <c r="U660" t="s">
        <v>43</v>
      </c>
      <c r="V660" t="s">
        <v>42</v>
      </c>
      <c r="W660" t="s">
        <v>43</v>
      </c>
      <c r="X660">
        <v>5</v>
      </c>
      <c r="Y660">
        <v>5</v>
      </c>
      <c r="Z660">
        <v>4</v>
      </c>
      <c r="AA660">
        <v>3</v>
      </c>
      <c r="AB660">
        <v>5</v>
      </c>
      <c r="AC660">
        <v>2</v>
      </c>
      <c r="AD660">
        <v>16</v>
      </c>
      <c r="AE660">
        <v>8</v>
      </c>
      <c r="AF660">
        <v>7</v>
      </c>
      <c r="AG660">
        <v>8</v>
      </c>
    </row>
    <row r="661" spans="1:33" x14ac:dyDescent="0.35">
      <c r="A661" t="s">
        <v>33</v>
      </c>
      <c r="B661" t="s">
        <v>34</v>
      </c>
      <c r="C661">
        <v>17</v>
      </c>
      <c r="D661" t="s">
        <v>35</v>
      </c>
      <c r="E661" t="s">
        <v>47</v>
      </c>
      <c r="F661" t="s">
        <v>37</v>
      </c>
      <c r="G661">
        <v>2</v>
      </c>
      <c r="H661">
        <v>2</v>
      </c>
      <c r="I661" t="s">
        <v>45</v>
      </c>
      <c r="J661" t="s">
        <v>45</v>
      </c>
      <c r="K661" t="s">
        <v>49</v>
      </c>
      <c r="L661" t="s">
        <v>41</v>
      </c>
      <c r="M661">
        <v>1</v>
      </c>
      <c r="N661">
        <v>1</v>
      </c>
      <c r="O661">
        <v>1</v>
      </c>
      <c r="P661" t="s">
        <v>43</v>
      </c>
      <c r="Q661" t="s">
        <v>42</v>
      </c>
      <c r="R661" t="s">
        <v>43</v>
      </c>
      <c r="S661" t="s">
        <v>43</v>
      </c>
      <c r="T661" t="s">
        <v>43</v>
      </c>
      <c r="U661" t="s">
        <v>43</v>
      </c>
      <c r="V661" t="s">
        <v>42</v>
      </c>
      <c r="W661" t="s">
        <v>43</v>
      </c>
      <c r="X661">
        <v>3</v>
      </c>
      <c r="Y661">
        <v>1</v>
      </c>
      <c r="Z661">
        <v>2</v>
      </c>
      <c r="AA661">
        <v>1</v>
      </c>
      <c r="AB661">
        <v>1</v>
      </c>
      <c r="AC661">
        <v>1</v>
      </c>
      <c r="AD661">
        <v>8</v>
      </c>
      <c r="AE661">
        <v>11</v>
      </c>
      <c r="AF661">
        <v>9</v>
      </c>
      <c r="AG661">
        <v>10</v>
      </c>
    </row>
    <row r="662" spans="1:33" x14ac:dyDescent="0.35">
      <c r="A662" t="s">
        <v>33</v>
      </c>
      <c r="B662" t="s">
        <v>34</v>
      </c>
      <c r="C662">
        <v>17</v>
      </c>
      <c r="D662" t="s">
        <v>52</v>
      </c>
      <c r="E662" t="s">
        <v>47</v>
      </c>
      <c r="F662" t="s">
        <v>44</v>
      </c>
      <c r="G662">
        <v>1</v>
      </c>
      <c r="H662">
        <v>1</v>
      </c>
      <c r="I662" t="s">
        <v>38</v>
      </c>
      <c r="J662" t="s">
        <v>45</v>
      </c>
      <c r="K662" t="s">
        <v>40</v>
      </c>
      <c r="L662" t="s">
        <v>41</v>
      </c>
      <c r="M662">
        <v>2</v>
      </c>
      <c r="N662">
        <v>3</v>
      </c>
      <c r="O662">
        <v>0</v>
      </c>
      <c r="P662" t="s">
        <v>43</v>
      </c>
      <c r="Q662" t="s">
        <v>43</v>
      </c>
      <c r="R662" t="s">
        <v>43</v>
      </c>
      <c r="S662" t="s">
        <v>42</v>
      </c>
      <c r="T662" t="s">
        <v>42</v>
      </c>
      <c r="U662" t="s">
        <v>42</v>
      </c>
      <c r="V662" t="s">
        <v>42</v>
      </c>
      <c r="W662" t="s">
        <v>43</v>
      </c>
      <c r="X662">
        <v>4</v>
      </c>
      <c r="Y662">
        <v>3</v>
      </c>
      <c r="Z662">
        <v>3</v>
      </c>
      <c r="AA662">
        <v>1</v>
      </c>
      <c r="AB662">
        <v>3</v>
      </c>
      <c r="AC662">
        <v>5</v>
      </c>
      <c r="AD662">
        <v>4</v>
      </c>
      <c r="AE662">
        <v>15</v>
      </c>
      <c r="AF662">
        <v>14</v>
      </c>
      <c r="AG662">
        <v>15</v>
      </c>
    </row>
    <row r="663" spans="1:33" x14ac:dyDescent="0.35">
      <c r="A663" t="s">
        <v>33</v>
      </c>
      <c r="B663" t="s">
        <v>34</v>
      </c>
      <c r="C663">
        <v>17</v>
      </c>
      <c r="D663" t="s">
        <v>35</v>
      </c>
      <c r="E663" t="s">
        <v>47</v>
      </c>
      <c r="F663" t="s">
        <v>37</v>
      </c>
      <c r="G663">
        <v>4</v>
      </c>
      <c r="H663">
        <v>2</v>
      </c>
      <c r="I663" t="s">
        <v>39</v>
      </c>
      <c r="J663" t="s">
        <v>45</v>
      </c>
      <c r="K663" t="s">
        <v>40</v>
      </c>
      <c r="L663" t="s">
        <v>41</v>
      </c>
      <c r="M663">
        <v>1</v>
      </c>
      <c r="N663">
        <v>2</v>
      </c>
      <c r="O663">
        <v>0</v>
      </c>
      <c r="P663" t="s">
        <v>43</v>
      </c>
      <c r="Q663" t="s">
        <v>42</v>
      </c>
      <c r="R663" t="s">
        <v>43</v>
      </c>
      <c r="S663" t="s">
        <v>42</v>
      </c>
      <c r="T663" t="s">
        <v>42</v>
      </c>
      <c r="U663" t="s">
        <v>42</v>
      </c>
      <c r="V663" t="s">
        <v>43</v>
      </c>
      <c r="W663" t="s">
        <v>43</v>
      </c>
      <c r="X663">
        <v>4</v>
      </c>
      <c r="Y663">
        <v>3</v>
      </c>
      <c r="Z663">
        <v>2</v>
      </c>
      <c r="AA663">
        <v>1</v>
      </c>
      <c r="AB663">
        <v>1</v>
      </c>
      <c r="AC663">
        <v>4</v>
      </c>
      <c r="AD663">
        <v>4</v>
      </c>
      <c r="AE663">
        <v>15</v>
      </c>
      <c r="AF663">
        <v>14</v>
      </c>
      <c r="AG663">
        <v>14</v>
      </c>
    </row>
    <row r="664" spans="1:33" x14ac:dyDescent="0.35">
      <c r="A664" t="s">
        <v>33</v>
      </c>
      <c r="B664" t="s">
        <v>50</v>
      </c>
      <c r="C664">
        <v>17</v>
      </c>
      <c r="D664" t="s">
        <v>35</v>
      </c>
      <c r="E664" t="s">
        <v>47</v>
      </c>
      <c r="F664" t="s">
        <v>44</v>
      </c>
      <c r="G664">
        <v>4</v>
      </c>
      <c r="H664">
        <v>3</v>
      </c>
      <c r="I664" t="s">
        <v>28</v>
      </c>
      <c r="J664" t="s">
        <v>45</v>
      </c>
      <c r="K664" t="s">
        <v>40</v>
      </c>
      <c r="L664" t="s">
        <v>41</v>
      </c>
      <c r="M664">
        <v>2</v>
      </c>
      <c r="N664">
        <v>2</v>
      </c>
      <c r="O664">
        <v>0</v>
      </c>
      <c r="P664" t="s">
        <v>43</v>
      </c>
      <c r="Q664" t="s">
        <v>43</v>
      </c>
      <c r="R664" t="s">
        <v>43</v>
      </c>
      <c r="S664" t="s">
        <v>42</v>
      </c>
      <c r="T664" t="s">
        <v>42</v>
      </c>
      <c r="U664" t="s">
        <v>42</v>
      </c>
      <c r="V664" t="s">
        <v>42</v>
      </c>
      <c r="W664" t="s">
        <v>42</v>
      </c>
      <c r="X664">
        <v>2</v>
      </c>
      <c r="Y664">
        <v>5</v>
      </c>
      <c r="Z664">
        <v>5</v>
      </c>
      <c r="AA664">
        <v>1</v>
      </c>
      <c r="AB664">
        <v>4</v>
      </c>
      <c r="AC664">
        <v>5</v>
      </c>
      <c r="AD664">
        <v>8</v>
      </c>
      <c r="AE664">
        <v>15</v>
      </c>
      <c r="AF664">
        <v>15</v>
      </c>
      <c r="AG664">
        <v>15</v>
      </c>
    </row>
    <row r="665" spans="1:33" x14ac:dyDescent="0.35">
      <c r="A665" t="s">
        <v>33</v>
      </c>
      <c r="B665" t="s">
        <v>50</v>
      </c>
      <c r="C665">
        <v>17</v>
      </c>
      <c r="D665" t="s">
        <v>52</v>
      </c>
      <c r="E665" t="s">
        <v>47</v>
      </c>
      <c r="F665" t="s">
        <v>37</v>
      </c>
      <c r="G665">
        <v>4</v>
      </c>
      <c r="H665">
        <v>4</v>
      </c>
      <c r="I665" t="s">
        <v>39</v>
      </c>
      <c r="J665" t="s">
        <v>45</v>
      </c>
      <c r="K665" t="s">
        <v>40</v>
      </c>
      <c r="L665" t="s">
        <v>41</v>
      </c>
      <c r="M665">
        <v>2</v>
      </c>
      <c r="N665">
        <v>2</v>
      </c>
      <c r="O665">
        <v>0</v>
      </c>
      <c r="P665" t="s">
        <v>43</v>
      </c>
      <c r="Q665" t="s">
        <v>42</v>
      </c>
      <c r="R665" t="s">
        <v>43</v>
      </c>
      <c r="S665" t="s">
        <v>43</v>
      </c>
      <c r="T665" t="s">
        <v>42</v>
      </c>
      <c r="U665" t="s">
        <v>42</v>
      </c>
      <c r="V665" t="s">
        <v>42</v>
      </c>
      <c r="W665" t="s">
        <v>43</v>
      </c>
      <c r="X665">
        <v>3</v>
      </c>
      <c r="Y665">
        <v>3</v>
      </c>
      <c r="Z665">
        <v>3</v>
      </c>
      <c r="AA665">
        <v>2</v>
      </c>
      <c r="AB665">
        <v>3</v>
      </c>
      <c r="AC665">
        <v>4</v>
      </c>
      <c r="AD665">
        <v>0</v>
      </c>
      <c r="AE665">
        <v>12</v>
      </c>
      <c r="AF665">
        <v>12</v>
      </c>
      <c r="AG665">
        <v>12</v>
      </c>
    </row>
    <row r="666" spans="1:33" x14ac:dyDescent="0.35">
      <c r="A666" t="s">
        <v>33</v>
      </c>
      <c r="B666" t="s">
        <v>50</v>
      </c>
      <c r="C666">
        <v>16</v>
      </c>
      <c r="D666" t="s">
        <v>35</v>
      </c>
      <c r="E666" t="s">
        <v>47</v>
      </c>
      <c r="F666" t="s">
        <v>44</v>
      </c>
      <c r="G666">
        <v>4</v>
      </c>
      <c r="H666">
        <v>3</v>
      </c>
      <c r="I666" t="s">
        <v>39</v>
      </c>
      <c r="J666" t="s">
        <v>45</v>
      </c>
      <c r="K666" t="s">
        <v>40</v>
      </c>
      <c r="L666" t="s">
        <v>41</v>
      </c>
      <c r="M666">
        <v>1</v>
      </c>
      <c r="N666">
        <v>1</v>
      </c>
      <c r="O666">
        <v>0</v>
      </c>
      <c r="P666" t="s">
        <v>43</v>
      </c>
      <c r="Q666" t="s">
        <v>43</v>
      </c>
      <c r="R666" t="s">
        <v>43</v>
      </c>
      <c r="S666" t="s">
        <v>42</v>
      </c>
      <c r="T666" t="s">
        <v>43</v>
      </c>
      <c r="U666" t="s">
        <v>42</v>
      </c>
      <c r="V666" t="s">
        <v>42</v>
      </c>
      <c r="W666" t="s">
        <v>43</v>
      </c>
      <c r="X666">
        <v>5</v>
      </c>
      <c r="Y666">
        <v>4</v>
      </c>
      <c r="Z666">
        <v>5</v>
      </c>
      <c r="AA666">
        <v>1</v>
      </c>
      <c r="AB666">
        <v>1</v>
      </c>
      <c r="AC666">
        <v>3</v>
      </c>
      <c r="AD666">
        <v>7</v>
      </c>
      <c r="AE666">
        <v>14</v>
      </c>
      <c r="AF666">
        <v>14</v>
      </c>
      <c r="AG666">
        <v>15</v>
      </c>
    </row>
    <row r="667" spans="1:33" x14ac:dyDescent="0.35">
      <c r="A667" t="s">
        <v>33</v>
      </c>
      <c r="B667" t="s">
        <v>50</v>
      </c>
      <c r="C667">
        <v>16</v>
      </c>
      <c r="D667" t="s">
        <v>35</v>
      </c>
      <c r="E667" t="s">
        <v>36</v>
      </c>
      <c r="F667" t="s">
        <v>44</v>
      </c>
      <c r="G667">
        <v>4</v>
      </c>
      <c r="H667">
        <v>4</v>
      </c>
      <c r="I667" t="s">
        <v>48</v>
      </c>
      <c r="J667" t="s">
        <v>48</v>
      </c>
      <c r="K667" t="s">
        <v>40</v>
      </c>
      <c r="L667" t="s">
        <v>41</v>
      </c>
      <c r="M667">
        <v>1</v>
      </c>
      <c r="N667">
        <v>1</v>
      </c>
      <c r="O667">
        <v>0</v>
      </c>
      <c r="P667" t="s">
        <v>43</v>
      </c>
      <c r="Q667" t="s">
        <v>43</v>
      </c>
      <c r="R667" t="s">
        <v>42</v>
      </c>
      <c r="S667" t="s">
        <v>42</v>
      </c>
      <c r="T667" t="s">
        <v>42</v>
      </c>
      <c r="U667" t="s">
        <v>42</v>
      </c>
      <c r="V667" t="s">
        <v>42</v>
      </c>
      <c r="W667" t="s">
        <v>43</v>
      </c>
      <c r="X667">
        <v>5</v>
      </c>
      <c r="Y667">
        <v>3</v>
      </c>
      <c r="Z667">
        <v>2</v>
      </c>
      <c r="AA667">
        <v>1</v>
      </c>
      <c r="AB667">
        <v>2</v>
      </c>
      <c r="AC667">
        <v>5</v>
      </c>
      <c r="AD667">
        <v>4</v>
      </c>
      <c r="AE667">
        <v>14</v>
      </c>
      <c r="AF667">
        <v>15</v>
      </c>
      <c r="AG667">
        <v>15</v>
      </c>
    </row>
    <row r="668" spans="1:33" x14ac:dyDescent="0.35">
      <c r="A668" t="s">
        <v>33</v>
      </c>
      <c r="B668" t="s">
        <v>34</v>
      </c>
      <c r="C668">
        <v>17</v>
      </c>
      <c r="D668" t="s">
        <v>35</v>
      </c>
      <c r="E668" t="s">
        <v>36</v>
      </c>
      <c r="F668" t="s">
        <v>44</v>
      </c>
      <c r="G668">
        <v>4</v>
      </c>
      <c r="H668">
        <v>4</v>
      </c>
      <c r="I668" t="s">
        <v>39</v>
      </c>
      <c r="J668" t="s">
        <v>48</v>
      </c>
      <c r="K668" t="s">
        <v>40</v>
      </c>
      <c r="L668" t="s">
        <v>41</v>
      </c>
      <c r="M668">
        <v>1</v>
      </c>
      <c r="N668">
        <v>2</v>
      </c>
      <c r="O668">
        <v>0</v>
      </c>
      <c r="P668" t="s">
        <v>43</v>
      </c>
      <c r="Q668" t="s">
        <v>42</v>
      </c>
      <c r="R668" t="s">
        <v>42</v>
      </c>
      <c r="S668" t="s">
        <v>43</v>
      </c>
      <c r="T668" t="s">
        <v>42</v>
      </c>
      <c r="U668" t="s">
        <v>42</v>
      </c>
      <c r="V668" t="s">
        <v>42</v>
      </c>
      <c r="W668" t="s">
        <v>42</v>
      </c>
      <c r="X668">
        <v>5</v>
      </c>
      <c r="Y668">
        <v>3</v>
      </c>
      <c r="Z668">
        <v>1</v>
      </c>
      <c r="AA668">
        <v>1</v>
      </c>
      <c r="AB668">
        <v>4</v>
      </c>
      <c r="AC668">
        <v>5</v>
      </c>
      <c r="AD668">
        <v>2</v>
      </c>
      <c r="AE668">
        <v>11</v>
      </c>
      <c r="AF668">
        <v>11</v>
      </c>
      <c r="AG668">
        <v>12</v>
      </c>
    </row>
    <row r="669" spans="1:33" x14ac:dyDescent="0.35">
      <c r="A669" t="s">
        <v>33</v>
      </c>
      <c r="B669" t="s">
        <v>50</v>
      </c>
      <c r="C669">
        <v>17</v>
      </c>
      <c r="D669" t="s">
        <v>52</v>
      </c>
      <c r="E669" t="s">
        <v>36</v>
      </c>
      <c r="F669" t="s">
        <v>44</v>
      </c>
      <c r="G669">
        <v>1</v>
      </c>
      <c r="H669">
        <v>1</v>
      </c>
      <c r="I669" t="s">
        <v>45</v>
      </c>
      <c r="J669" t="s">
        <v>45</v>
      </c>
      <c r="K669" t="s">
        <v>49</v>
      </c>
      <c r="L669" t="s">
        <v>46</v>
      </c>
      <c r="M669">
        <v>2</v>
      </c>
      <c r="N669">
        <v>3</v>
      </c>
      <c r="O669">
        <v>0</v>
      </c>
      <c r="P669" t="s">
        <v>43</v>
      </c>
      <c r="Q669" t="s">
        <v>43</v>
      </c>
      <c r="R669" t="s">
        <v>43</v>
      </c>
      <c r="S669" t="s">
        <v>43</v>
      </c>
      <c r="T669" t="s">
        <v>43</v>
      </c>
      <c r="U669" t="s">
        <v>42</v>
      </c>
      <c r="V669" t="s">
        <v>42</v>
      </c>
      <c r="W669" t="s">
        <v>42</v>
      </c>
      <c r="X669">
        <v>4</v>
      </c>
      <c r="Y669">
        <v>3</v>
      </c>
      <c r="Z669">
        <v>3</v>
      </c>
      <c r="AA669">
        <v>1</v>
      </c>
      <c r="AB669">
        <v>1</v>
      </c>
      <c r="AC669">
        <v>1</v>
      </c>
      <c r="AD669">
        <v>2</v>
      </c>
      <c r="AE669">
        <v>13</v>
      </c>
      <c r="AF669">
        <v>14</v>
      </c>
      <c r="AG669">
        <v>15</v>
      </c>
    </row>
    <row r="670" spans="1:33" x14ac:dyDescent="0.35">
      <c r="A670" t="s">
        <v>33</v>
      </c>
      <c r="B670" t="s">
        <v>34</v>
      </c>
      <c r="C670">
        <v>17</v>
      </c>
      <c r="D670" t="s">
        <v>35</v>
      </c>
      <c r="E670" t="s">
        <v>36</v>
      </c>
      <c r="F670" t="s">
        <v>44</v>
      </c>
      <c r="G670">
        <v>3</v>
      </c>
      <c r="H670">
        <v>3</v>
      </c>
      <c r="I670" t="s">
        <v>48</v>
      </c>
      <c r="J670" t="s">
        <v>45</v>
      </c>
      <c r="K670" t="s">
        <v>49</v>
      </c>
      <c r="L670" t="s">
        <v>41</v>
      </c>
      <c r="M670">
        <v>2</v>
      </c>
      <c r="N670">
        <v>3</v>
      </c>
      <c r="O670">
        <v>0</v>
      </c>
      <c r="P670" t="s">
        <v>43</v>
      </c>
      <c r="Q670" t="s">
        <v>42</v>
      </c>
      <c r="R670" t="s">
        <v>43</v>
      </c>
      <c r="S670" t="s">
        <v>43</v>
      </c>
      <c r="T670" t="s">
        <v>42</v>
      </c>
      <c r="U670" t="s">
        <v>42</v>
      </c>
      <c r="V670" t="s">
        <v>42</v>
      </c>
      <c r="W670" t="s">
        <v>42</v>
      </c>
      <c r="X670">
        <v>4</v>
      </c>
      <c r="Y670">
        <v>2</v>
      </c>
      <c r="Z670">
        <v>2</v>
      </c>
      <c r="AA670">
        <v>2</v>
      </c>
      <c r="AB670">
        <v>3</v>
      </c>
      <c r="AC670">
        <v>5</v>
      </c>
      <c r="AD670">
        <v>10</v>
      </c>
      <c r="AE670">
        <v>11</v>
      </c>
      <c r="AF670">
        <v>11</v>
      </c>
      <c r="AG670">
        <v>11</v>
      </c>
    </row>
    <row r="671" spans="1:33" x14ac:dyDescent="0.35">
      <c r="A671" t="s">
        <v>33</v>
      </c>
      <c r="B671" t="s">
        <v>34</v>
      </c>
      <c r="C671">
        <v>17</v>
      </c>
      <c r="D671" t="s">
        <v>35</v>
      </c>
      <c r="E671" t="s">
        <v>36</v>
      </c>
      <c r="F671" t="s">
        <v>44</v>
      </c>
      <c r="G671">
        <v>1</v>
      </c>
      <c r="H671">
        <v>1</v>
      </c>
      <c r="I671" t="s">
        <v>38</v>
      </c>
      <c r="J671" t="s">
        <v>45</v>
      </c>
      <c r="K671" t="s">
        <v>40</v>
      </c>
      <c r="L671" t="s">
        <v>41</v>
      </c>
      <c r="M671">
        <v>1</v>
      </c>
      <c r="N671">
        <v>2</v>
      </c>
      <c r="O671">
        <v>0</v>
      </c>
      <c r="P671" t="s">
        <v>42</v>
      </c>
      <c r="Q671" t="s">
        <v>43</v>
      </c>
      <c r="R671" t="s">
        <v>43</v>
      </c>
      <c r="S671" t="s">
        <v>43</v>
      </c>
      <c r="T671" t="s">
        <v>43</v>
      </c>
      <c r="U671" t="s">
        <v>42</v>
      </c>
      <c r="V671" t="s">
        <v>43</v>
      </c>
      <c r="W671" t="s">
        <v>42</v>
      </c>
      <c r="X671">
        <v>4</v>
      </c>
      <c r="Y671">
        <v>3</v>
      </c>
      <c r="Z671">
        <v>2</v>
      </c>
      <c r="AA671">
        <v>1</v>
      </c>
      <c r="AB671">
        <v>1</v>
      </c>
      <c r="AC671">
        <v>4</v>
      </c>
      <c r="AD671">
        <v>10</v>
      </c>
      <c r="AE671">
        <v>10</v>
      </c>
      <c r="AF671">
        <v>9</v>
      </c>
      <c r="AG671">
        <v>10</v>
      </c>
    </row>
    <row r="672" spans="1:33" x14ac:dyDescent="0.35">
      <c r="A672" t="s">
        <v>33</v>
      </c>
      <c r="B672" t="s">
        <v>34</v>
      </c>
      <c r="C672">
        <v>18</v>
      </c>
      <c r="D672" t="s">
        <v>35</v>
      </c>
      <c r="E672" t="s">
        <v>36</v>
      </c>
      <c r="F672" t="s">
        <v>44</v>
      </c>
      <c r="G672">
        <v>2</v>
      </c>
      <c r="H672">
        <v>1</v>
      </c>
      <c r="I672" t="s">
        <v>45</v>
      </c>
      <c r="J672" t="s">
        <v>45</v>
      </c>
      <c r="K672" t="s">
        <v>40</v>
      </c>
      <c r="L672" t="s">
        <v>45</v>
      </c>
      <c r="M672">
        <v>2</v>
      </c>
      <c r="N672">
        <v>3</v>
      </c>
      <c r="O672">
        <v>0</v>
      </c>
      <c r="P672" t="s">
        <v>43</v>
      </c>
      <c r="Q672" t="s">
        <v>42</v>
      </c>
      <c r="R672" t="s">
        <v>43</v>
      </c>
      <c r="S672" t="s">
        <v>43</v>
      </c>
      <c r="T672" t="s">
        <v>43</v>
      </c>
      <c r="U672" t="s">
        <v>42</v>
      </c>
      <c r="V672" t="s">
        <v>42</v>
      </c>
      <c r="W672" t="s">
        <v>42</v>
      </c>
      <c r="X672">
        <v>4</v>
      </c>
      <c r="Y672">
        <v>4</v>
      </c>
      <c r="Z672">
        <v>4</v>
      </c>
      <c r="AA672">
        <v>1</v>
      </c>
      <c r="AB672">
        <v>1</v>
      </c>
      <c r="AC672">
        <v>3</v>
      </c>
      <c r="AD672">
        <v>10</v>
      </c>
      <c r="AE672">
        <v>12</v>
      </c>
      <c r="AF672">
        <v>10</v>
      </c>
      <c r="AG672">
        <v>11</v>
      </c>
    </row>
    <row r="673" spans="1:33" x14ac:dyDescent="0.35">
      <c r="A673" t="s">
        <v>33</v>
      </c>
      <c r="B673" t="s">
        <v>50</v>
      </c>
      <c r="C673">
        <v>16</v>
      </c>
      <c r="D673" t="s">
        <v>35</v>
      </c>
      <c r="E673" t="s">
        <v>36</v>
      </c>
      <c r="F673" t="s">
        <v>44</v>
      </c>
      <c r="G673">
        <v>2</v>
      </c>
      <c r="H673">
        <v>1</v>
      </c>
      <c r="I673" t="s">
        <v>45</v>
      </c>
      <c r="J673" t="s">
        <v>45</v>
      </c>
      <c r="K673" t="s">
        <v>40</v>
      </c>
      <c r="L673" t="s">
        <v>41</v>
      </c>
      <c r="M673">
        <v>3</v>
      </c>
      <c r="N673">
        <v>1</v>
      </c>
      <c r="O673">
        <v>0</v>
      </c>
      <c r="P673" t="s">
        <v>43</v>
      </c>
      <c r="Q673" t="s">
        <v>43</v>
      </c>
      <c r="R673" t="s">
        <v>43</v>
      </c>
      <c r="S673" t="s">
        <v>43</v>
      </c>
      <c r="T673" t="s">
        <v>42</v>
      </c>
      <c r="U673" t="s">
        <v>42</v>
      </c>
      <c r="V673" t="s">
        <v>42</v>
      </c>
      <c r="W673" t="s">
        <v>43</v>
      </c>
      <c r="X673">
        <v>4</v>
      </c>
      <c r="Y673">
        <v>3</v>
      </c>
      <c r="Z673">
        <v>3</v>
      </c>
      <c r="AA673">
        <v>1</v>
      </c>
      <c r="AB673">
        <v>1</v>
      </c>
      <c r="AC673">
        <v>4</v>
      </c>
      <c r="AD673">
        <v>7</v>
      </c>
      <c r="AE673">
        <v>15</v>
      </c>
      <c r="AF673">
        <v>16</v>
      </c>
      <c r="AG673">
        <v>16</v>
      </c>
    </row>
    <row r="674" spans="1:33" x14ac:dyDescent="0.35">
      <c r="A674" t="s">
        <v>33</v>
      </c>
      <c r="B674" t="s">
        <v>34</v>
      </c>
      <c r="C674">
        <v>17</v>
      </c>
      <c r="D674" t="s">
        <v>35</v>
      </c>
      <c r="E674" t="s">
        <v>36</v>
      </c>
      <c r="F674" t="s">
        <v>44</v>
      </c>
      <c r="G674">
        <v>1</v>
      </c>
      <c r="H674">
        <v>1</v>
      </c>
      <c r="I674" t="s">
        <v>45</v>
      </c>
      <c r="J674" t="s">
        <v>48</v>
      </c>
      <c r="K674" t="s">
        <v>40</v>
      </c>
      <c r="L674" t="s">
        <v>46</v>
      </c>
      <c r="M674">
        <v>1</v>
      </c>
      <c r="N674">
        <v>2</v>
      </c>
      <c r="O674">
        <v>0</v>
      </c>
      <c r="P674" t="s">
        <v>43</v>
      </c>
      <c r="Q674" t="s">
        <v>42</v>
      </c>
      <c r="R674" t="s">
        <v>43</v>
      </c>
      <c r="S674" t="s">
        <v>43</v>
      </c>
      <c r="T674" t="s">
        <v>42</v>
      </c>
      <c r="U674" t="s">
        <v>42</v>
      </c>
      <c r="V674" t="s">
        <v>43</v>
      </c>
      <c r="W674" t="s">
        <v>43</v>
      </c>
      <c r="X674">
        <v>4</v>
      </c>
      <c r="Y674">
        <v>3</v>
      </c>
      <c r="Z674">
        <v>4</v>
      </c>
      <c r="AA674">
        <v>1</v>
      </c>
      <c r="AB674">
        <v>2</v>
      </c>
      <c r="AC674">
        <v>5</v>
      </c>
      <c r="AD674">
        <v>4</v>
      </c>
      <c r="AE674">
        <v>11</v>
      </c>
      <c r="AF674">
        <v>10</v>
      </c>
      <c r="AG674">
        <v>11</v>
      </c>
    </row>
    <row r="675" spans="1:33" x14ac:dyDescent="0.35">
      <c r="A675" t="s">
        <v>33</v>
      </c>
      <c r="B675" t="s">
        <v>50</v>
      </c>
      <c r="C675">
        <v>17</v>
      </c>
      <c r="D675" t="s">
        <v>35</v>
      </c>
      <c r="E675" t="s">
        <v>36</v>
      </c>
      <c r="F675" t="s">
        <v>44</v>
      </c>
      <c r="G675">
        <v>2</v>
      </c>
      <c r="H675">
        <v>3</v>
      </c>
      <c r="I675" t="s">
        <v>45</v>
      </c>
      <c r="J675" t="s">
        <v>45</v>
      </c>
      <c r="K675" t="s">
        <v>40</v>
      </c>
      <c r="L675" t="s">
        <v>46</v>
      </c>
      <c r="M675">
        <v>2</v>
      </c>
      <c r="N675">
        <v>1</v>
      </c>
      <c r="O675">
        <v>0</v>
      </c>
      <c r="P675" t="s">
        <v>43</v>
      </c>
      <c r="Q675" t="s">
        <v>43</v>
      </c>
      <c r="R675" t="s">
        <v>43</v>
      </c>
      <c r="S675" t="s">
        <v>43</v>
      </c>
      <c r="T675" t="s">
        <v>42</v>
      </c>
      <c r="U675" t="s">
        <v>42</v>
      </c>
      <c r="V675" t="s">
        <v>42</v>
      </c>
      <c r="W675" t="s">
        <v>43</v>
      </c>
      <c r="X675">
        <v>5</v>
      </c>
      <c r="Y675">
        <v>2</v>
      </c>
      <c r="Z675">
        <v>2</v>
      </c>
      <c r="AA675">
        <v>1</v>
      </c>
      <c r="AB675">
        <v>1</v>
      </c>
      <c r="AC675">
        <v>2</v>
      </c>
      <c r="AD675">
        <v>2</v>
      </c>
      <c r="AE675">
        <v>9</v>
      </c>
      <c r="AF675">
        <v>12</v>
      </c>
      <c r="AG675">
        <v>13</v>
      </c>
    </row>
    <row r="676" spans="1:33" x14ac:dyDescent="0.35">
      <c r="A676" t="s">
        <v>33</v>
      </c>
      <c r="B676" t="s">
        <v>50</v>
      </c>
      <c r="C676">
        <v>22</v>
      </c>
      <c r="D676" t="s">
        <v>35</v>
      </c>
      <c r="E676" t="s">
        <v>36</v>
      </c>
      <c r="F676" t="s">
        <v>44</v>
      </c>
      <c r="G676">
        <v>3</v>
      </c>
      <c r="H676">
        <v>1</v>
      </c>
      <c r="I676" t="s">
        <v>48</v>
      </c>
      <c r="J676" t="s">
        <v>48</v>
      </c>
      <c r="K676" t="s">
        <v>45</v>
      </c>
      <c r="L676" t="s">
        <v>41</v>
      </c>
      <c r="M676">
        <v>1</v>
      </c>
      <c r="N676">
        <v>1</v>
      </c>
      <c r="O676">
        <v>3</v>
      </c>
      <c r="P676" t="s">
        <v>43</v>
      </c>
      <c r="Q676" t="s">
        <v>43</v>
      </c>
      <c r="R676" t="s">
        <v>43</v>
      </c>
      <c r="S676" t="s">
        <v>43</v>
      </c>
      <c r="T676" t="s">
        <v>43</v>
      </c>
      <c r="U676" t="s">
        <v>43</v>
      </c>
      <c r="V676" t="s">
        <v>42</v>
      </c>
      <c r="W676" t="s">
        <v>42</v>
      </c>
      <c r="X676">
        <v>5</v>
      </c>
      <c r="Y676">
        <v>4</v>
      </c>
      <c r="Z676">
        <v>5</v>
      </c>
      <c r="AA676">
        <v>5</v>
      </c>
      <c r="AB676">
        <v>5</v>
      </c>
      <c r="AC676">
        <v>1</v>
      </c>
      <c r="AD676">
        <v>12</v>
      </c>
      <c r="AE676">
        <v>7</v>
      </c>
      <c r="AF676">
        <v>8</v>
      </c>
      <c r="AG676">
        <v>5</v>
      </c>
    </row>
    <row r="677" spans="1:33" x14ac:dyDescent="0.35">
      <c r="A677" t="s">
        <v>33</v>
      </c>
      <c r="B677" t="s">
        <v>50</v>
      </c>
      <c r="C677">
        <v>18</v>
      </c>
      <c r="D677" t="s">
        <v>52</v>
      </c>
      <c r="E677" t="s">
        <v>47</v>
      </c>
      <c r="F677" t="s">
        <v>44</v>
      </c>
      <c r="G677">
        <v>3</v>
      </c>
      <c r="H677">
        <v>3</v>
      </c>
      <c r="I677" t="s">
        <v>45</v>
      </c>
      <c r="J677" t="s">
        <v>48</v>
      </c>
      <c r="K677" t="s">
        <v>40</v>
      </c>
      <c r="L677" t="s">
        <v>41</v>
      </c>
      <c r="M677">
        <v>1</v>
      </c>
      <c r="N677">
        <v>2</v>
      </c>
      <c r="O677">
        <v>0</v>
      </c>
      <c r="P677" t="s">
        <v>43</v>
      </c>
      <c r="Q677" t="s">
        <v>42</v>
      </c>
      <c r="R677" t="s">
        <v>43</v>
      </c>
      <c r="S677" t="s">
        <v>43</v>
      </c>
      <c r="T677" t="s">
        <v>42</v>
      </c>
      <c r="U677" t="s">
        <v>42</v>
      </c>
      <c r="V677" t="s">
        <v>42</v>
      </c>
      <c r="W677" t="s">
        <v>42</v>
      </c>
      <c r="X677">
        <v>4</v>
      </c>
      <c r="Y677">
        <v>3</v>
      </c>
      <c r="Z677">
        <v>3</v>
      </c>
      <c r="AA677">
        <v>1</v>
      </c>
      <c r="AB677">
        <v>3</v>
      </c>
      <c r="AC677">
        <v>5</v>
      </c>
      <c r="AD677">
        <v>8</v>
      </c>
      <c r="AE677">
        <v>10</v>
      </c>
      <c r="AF677">
        <v>9</v>
      </c>
      <c r="AG677">
        <v>10</v>
      </c>
    </row>
    <row r="678" spans="1:33" x14ac:dyDescent="0.35">
      <c r="A678" t="s">
        <v>33</v>
      </c>
      <c r="B678" t="s">
        <v>50</v>
      </c>
      <c r="C678">
        <v>16</v>
      </c>
      <c r="D678" t="s">
        <v>35</v>
      </c>
      <c r="E678" t="s">
        <v>36</v>
      </c>
      <c r="F678" t="s">
        <v>44</v>
      </c>
      <c r="G678">
        <v>0</v>
      </c>
      <c r="H678">
        <v>2</v>
      </c>
      <c r="I678" t="s">
        <v>45</v>
      </c>
      <c r="J678" t="s">
        <v>45</v>
      </c>
      <c r="K678" t="s">
        <v>45</v>
      </c>
      <c r="L678" t="s">
        <v>41</v>
      </c>
      <c r="M678">
        <v>1</v>
      </c>
      <c r="N678">
        <v>1</v>
      </c>
      <c r="O678">
        <v>0</v>
      </c>
      <c r="P678" t="s">
        <v>43</v>
      </c>
      <c r="Q678" t="s">
        <v>43</v>
      </c>
      <c r="R678" t="s">
        <v>43</v>
      </c>
      <c r="S678" t="s">
        <v>43</v>
      </c>
      <c r="T678" t="s">
        <v>43</v>
      </c>
      <c r="U678" t="s">
        <v>42</v>
      </c>
      <c r="V678" t="s">
        <v>42</v>
      </c>
      <c r="W678" t="s">
        <v>43</v>
      </c>
      <c r="X678">
        <v>4</v>
      </c>
      <c r="Y678">
        <v>3</v>
      </c>
      <c r="Z678">
        <v>2</v>
      </c>
      <c r="AA678">
        <v>2</v>
      </c>
      <c r="AB678">
        <v>4</v>
      </c>
      <c r="AC678">
        <v>5</v>
      </c>
      <c r="AD678">
        <v>0</v>
      </c>
      <c r="AE678">
        <v>11</v>
      </c>
      <c r="AF678">
        <v>12</v>
      </c>
      <c r="AG678">
        <v>11</v>
      </c>
    </row>
    <row r="679" spans="1:33" x14ac:dyDescent="0.35">
      <c r="A679" t="s">
        <v>33</v>
      </c>
      <c r="B679" t="s">
        <v>50</v>
      </c>
      <c r="C679">
        <v>18</v>
      </c>
      <c r="D679" t="s">
        <v>35</v>
      </c>
      <c r="E679" t="s">
        <v>36</v>
      </c>
      <c r="F679" t="s">
        <v>44</v>
      </c>
      <c r="G679">
        <v>3</v>
      </c>
      <c r="H679">
        <v>2</v>
      </c>
      <c r="I679" t="s">
        <v>48</v>
      </c>
      <c r="J679" t="s">
        <v>45</v>
      </c>
      <c r="K679" t="s">
        <v>40</v>
      </c>
      <c r="L679" t="s">
        <v>41</v>
      </c>
      <c r="M679">
        <v>2</v>
      </c>
      <c r="N679">
        <v>1</v>
      </c>
      <c r="O679">
        <v>0</v>
      </c>
      <c r="P679" t="s">
        <v>43</v>
      </c>
      <c r="Q679" t="s">
        <v>43</v>
      </c>
      <c r="R679" t="s">
        <v>43</v>
      </c>
      <c r="S679" t="s">
        <v>43</v>
      </c>
      <c r="T679" t="s">
        <v>42</v>
      </c>
      <c r="U679" t="s">
        <v>43</v>
      </c>
      <c r="V679" t="s">
        <v>42</v>
      </c>
      <c r="W679" t="s">
        <v>43</v>
      </c>
      <c r="X679">
        <v>4</v>
      </c>
      <c r="Y679">
        <v>4</v>
      </c>
      <c r="Z679">
        <v>5</v>
      </c>
      <c r="AA679">
        <v>2</v>
      </c>
      <c r="AB679">
        <v>4</v>
      </c>
      <c r="AC679">
        <v>5</v>
      </c>
      <c r="AD679">
        <v>8</v>
      </c>
      <c r="AE679">
        <v>7</v>
      </c>
      <c r="AF679">
        <v>8</v>
      </c>
      <c r="AG679">
        <v>7</v>
      </c>
    </row>
    <row r="680" spans="1:33" x14ac:dyDescent="0.35">
      <c r="A680" t="s">
        <v>33</v>
      </c>
      <c r="B680" t="s">
        <v>50</v>
      </c>
      <c r="C680">
        <v>16</v>
      </c>
      <c r="D680" t="s">
        <v>35</v>
      </c>
      <c r="E680" t="s">
        <v>36</v>
      </c>
      <c r="F680" t="s">
        <v>44</v>
      </c>
      <c r="G680">
        <v>3</v>
      </c>
      <c r="H680">
        <v>3</v>
      </c>
      <c r="I680" t="s">
        <v>38</v>
      </c>
      <c r="J680" t="s">
        <v>45</v>
      </c>
      <c r="K680" t="s">
        <v>51</v>
      </c>
      <c r="L680" t="s">
        <v>45</v>
      </c>
      <c r="M680">
        <v>3</v>
      </c>
      <c r="N680">
        <v>2</v>
      </c>
      <c r="O680">
        <v>1</v>
      </c>
      <c r="P680" t="s">
        <v>42</v>
      </c>
      <c r="Q680" t="s">
        <v>42</v>
      </c>
      <c r="R680" t="s">
        <v>43</v>
      </c>
      <c r="S680" t="s">
        <v>43</v>
      </c>
      <c r="T680" t="s">
        <v>43</v>
      </c>
      <c r="U680" t="s">
        <v>42</v>
      </c>
      <c r="V680" t="s">
        <v>42</v>
      </c>
      <c r="W680" t="s">
        <v>43</v>
      </c>
      <c r="X680">
        <v>5</v>
      </c>
      <c r="Y680">
        <v>3</v>
      </c>
      <c r="Z680">
        <v>3</v>
      </c>
      <c r="AA680">
        <v>1</v>
      </c>
      <c r="AB680">
        <v>3</v>
      </c>
      <c r="AC680">
        <v>2</v>
      </c>
      <c r="AD680">
        <v>4</v>
      </c>
      <c r="AE680">
        <v>9</v>
      </c>
      <c r="AF680">
        <v>11</v>
      </c>
      <c r="AG680">
        <v>10</v>
      </c>
    </row>
    <row r="681" spans="1:33" x14ac:dyDescent="0.35">
      <c r="A681" t="s">
        <v>33</v>
      </c>
      <c r="B681" t="s">
        <v>50</v>
      </c>
      <c r="C681">
        <v>18</v>
      </c>
      <c r="D681" t="s">
        <v>35</v>
      </c>
      <c r="E681" t="s">
        <v>36</v>
      </c>
      <c r="F681" t="s">
        <v>44</v>
      </c>
      <c r="G681">
        <v>2</v>
      </c>
      <c r="H681">
        <v>1</v>
      </c>
      <c r="I681" t="s">
        <v>48</v>
      </c>
      <c r="J681" t="s">
        <v>48</v>
      </c>
      <c r="K681" t="s">
        <v>45</v>
      </c>
      <c r="L681" t="s">
        <v>41</v>
      </c>
      <c r="M681">
        <v>1</v>
      </c>
      <c r="N681">
        <v>1</v>
      </c>
      <c r="O681">
        <v>2</v>
      </c>
      <c r="P681" t="s">
        <v>43</v>
      </c>
      <c r="Q681" t="s">
        <v>43</v>
      </c>
      <c r="R681" t="s">
        <v>43</v>
      </c>
      <c r="S681" t="s">
        <v>43</v>
      </c>
      <c r="T681" t="s">
        <v>43</v>
      </c>
      <c r="U681" t="s">
        <v>43</v>
      </c>
      <c r="V681" t="s">
        <v>42</v>
      </c>
      <c r="W681" t="s">
        <v>43</v>
      </c>
      <c r="X681">
        <v>3</v>
      </c>
      <c r="Y681">
        <v>2</v>
      </c>
      <c r="Z681">
        <v>5</v>
      </c>
      <c r="AA681">
        <v>2</v>
      </c>
      <c r="AB681">
        <v>5</v>
      </c>
      <c r="AC681">
        <v>5</v>
      </c>
      <c r="AD681">
        <v>4</v>
      </c>
      <c r="AE681">
        <v>7</v>
      </c>
      <c r="AF681">
        <v>8</v>
      </c>
      <c r="AG681">
        <v>6</v>
      </c>
    </row>
    <row r="682" spans="1:33" x14ac:dyDescent="0.35">
      <c r="A682" t="s">
        <v>33</v>
      </c>
      <c r="B682" t="s">
        <v>50</v>
      </c>
      <c r="C682">
        <v>16</v>
      </c>
      <c r="D682" t="s">
        <v>52</v>
      </c>
      <c r="E682" t="s">
        <v>36</v>
      </c>
      <c r="F682" t="s">
        <v>44</v>
      </c>
      <c r="G682">
        <v>2</v>
      </c>
      <c r="H682">
        <v>1</v>
      </c>
      <c r="I682" t="s">
        <v>45</v>
      </c>
      <c r="J682" t="s">
        <v>45</v>
      </c>
      <c r="K682" t="s">
        <v>40</v>
      </c>
      <c r="L682" t="s">
        <v>41</v>
      </c>
      <c r="M682">
        <v>2</v>
      </c>
      <c r="N682">
        <v>1</v>
      </c>
      <c r="O682">
        <v>0</v>
      </c>
      <c r="P682" t="s">
        <v>43</v>
      </c>
      <c r="Q682" t="s">
        <v>43</v>
      </c>
      <c r="R682" t="s">
        <v>43</v>
      </c>
      <c r="S682" t="s">
        <v>42</v>
      </c>
      <c r="T682" t="s">
        <v>43</v>
      </c>
      <c r="U682" t="s">
        <v>42</v>
      </c>
      <c r="V682" t="s">
        <v>43</v>
      </c>
      <c r="W682" t="s">
        <v>43</v>
      </c>
      <c r="X682">
        <v>3</v>
      </c>
      <c r="Y682">
        <v>3</v>
      </c>
      <c r="Z682">
        <v>2</v>
      </c>
      <c r="AA682">
        <v>1</v>
      </c>
      <c r="AB682">
        <v>3</v>
      </c>
      <c r="AC682">
        <v>3</v>
      </c>
      <c r="AD682">
        <v>2</v>
      </c>
      <c r="AE682">
        <v>14</v>
      </c>
      <c r="AF682">
        <v>13</v>
      </c>
      <c r="AG682">
        <v>12</v>
      </c>
    </row>
    <row r="683" spans="1:33" x14ac:dyDescent="0.35">
      <c r="A683" t="s">
        <v>33</v>
      </c>
      <c r="B683" t="s">
        <v>50</v>
      </c>
      <c r="C683">
        <v>17</v>
      </c>
      <c r="D683" t="s">
        <v>52</v>
      </c>
      <c r="E683" t="s">
        <v>36</v>
      </c>
      <c r="F683" t="s">
        <v>44</v>
      </c>
      <c r="G683">
        <v>2</v>
      </c>
      <c r="H683">
        <v>1</v>
      </c>
      <c r="I683" t="s">
        <v>45</v>
      </c>
      <c r="J683" t="s">
        <v>45</v>
      </c>
      <c r="K683" t="s">
        <v>40</v>
      </c>
      <c r="L683" t="s">
        <v>41</v>
      </c>
      <c r="M683">
        <v>1</v>
      </c>
      <c r="N683">
        <v>1</v>
      </c>
      <c r="O683">
        <v>0</v>
      </c>
      <c r="P683" t="s">
        <v>43</v>
      </c>
      <c r="Q683" t="s">
        <v>43</v>
      </c>
      <c r="R683" t="s">
        <v>43</v>
      </c>
      <c r="S683" t="s">
        <v>43</v>
      </c>
      <c r="T683" t="s">
        <v>43</v>
      </c>
      <c r="U683" t="s">
        <v>42</v>
      </c>
      <c r="V683" t="s">
        <v>42</v>
      </c>
      <c r="W683" t="s">
        <v>43</v>
      </c>
      <c r="X683">
        <v>4</v>
      </c>
      <c r="Y683">
        <v>4</v>
      </c>
      <c r="Z683">
        <v>2</v>
      </c>
      <c r="AA683">
        <v>2</v>
      </c>
      <c r="AB683">
        <v>4</v>
      </c>
      <c r="AC683">
        <v>5</v>
      </c>
      <c r="AD683">
        <v>0</v>
      </c>
      <c r="AE683">
        <v>12</v>
      </c>
      <c r="AF683">
        <v>12</v>
      </c>
      <c r="AG683">
        <v>13</v>
      </c>
    </row>
    <row r="684" spans="1:33" x14ac:dyDescent="0.35">
      <c r="A684" t="s">
        <v>33</v>
      </c>
      <c r="B684" t="s">
        <v>50</v>
      </c>
      <c r="C684">
        <v>17</v>
      </c>
      <c r="D684" t="s">
        <v>35</v>
      </c>
      <c r="E684" t="s">
        <v>47</v>
      </c>
      <c r="F684" t="s">
        <v>44</v>
      </c>
      <c r="G684">
        <v>1</v>
      </c>
      <c r="H684">
        <v>1</v>
      </c>
      <c r="I684" t="s">
        <v>28</v>
      </c>
      <c r="J684" t="s">
        <v>45</v>
      </c>
      <c r="K684" t="s">
        <v>40</v>
      </c>
      <c r="L684" t="s">
        <v>41</v>
      </c>
      <c r="M684">
        <v>2</v>
      </c>
      <c r="N684">
        <v>1</v>
      </c>
      <c r="O684">
        <v>1</v>
      </c>
      <c r="P684" t="s">
        <v>43</v>
      </c>
      <c r="Q684" t="s">
        <v>42</v>
      </c>
      <c r="R684" t="s">
        <v>43</v>
      </c>
      <c r="S684" t="s">
        <v>42</v>
      </c>
      <c r="T684" t="s">
        <v>42</v>
      </c>
      <c r="U684" t="s">
        <v>42</v>
      </c>
      <c r="V684" t="s">
        <v>42</v>
      </c>
      <c r="W684" t="s">
        <v>43</v>
      </c>
      <c r="X684">
        <v>4</v>
      </c>
      <c r="Y684">
        <v>4</v>
      </c>
      <c r="Z684">
        <v>4</v>
      </c>
      <c r="AA684">
        <v>1</v>
      </c>
      <c r="AB684">
        <v>2</v>
      </c>
      <c r="AC684">
        <v>5</v>
      </c>
      <c r="AD684">
        <v>0</v>
      </c>
      <c r="AE684">
        <v>9</v>
      </c>
      <c r="AF684">
        <v>10</v>
      </c>
      <c r="AG684">
        <v>10</v>
      </c>
    </row>
    <row r="685" spans="1:33" x14ac:dyDescent="0.35">
      <c r="A685" t="s">
        <v>33</v>
      </c>
      <c r="B685" t="s">
        <v>34</v>
      </c>
      <c r="C685">
        <v>18</v>
      </c>
      <c r="D685" t="s">
        <v>35</v>
      </c>
      <c r="E685" t="s">
        <v>47</v>
      </c>
      <c r="F685" t="s">
        <v>37</v>
      </c>
      <c r="G685">
        <v>2</v>
      </c>
      <c r="H685">
        <v>1</v>
      </c>
      <c r="I685" t="s">
        <v>45</v>
      </c>
      <c r="J685" t="s">
        <v>45</v>
      </c>
      <c r="K685" t="s">
        <v>40</v>
      </c>
      <c r="L685" t="s">
        <v>41</v>
      </c>
      <c r="M685">
        <v>1</v>
      </c>
      <c r="N685">
        <v>2</v>
      </c>
      <c r="O685">
        <v>0</v>
      </c>
      <c r="P685" t="s">
        <v>43</v>
      </c>
      <c r="Q685" t="s">
        <v>42</v>
      </c>
      <c r="R685" t="s">
        <v>43</v>
      </c>
      <c r="S685" t="s">
        <v>43</v>
      </c>
      <c r="T685" t="s">
        <v>43</v>
      </c>
      <c r="U685" t="s">
        <v>42</v>
      </c>
      <c r="V685" t="s">
        <v>42</v>
      </c>
      <c r="W685" t="s">
        <v>42</v>
      </c>
      <c r="X685">
        <v>4</v>
      </c>
      <c r="Y685">
        <v>3</v>
      </c>
      <c r="Z685">
        <v>4</v>
      </c>
      <c r="AA685">
        <v>1</v>
      </c>
      <c r="AB685">
        <v>3</v>
      </c>
      <c r="AC685">
        <v>5</v>
      </c>
      <c r="AD685">
        <v>2</v>
      </c>
      <c r="AE685">
        <v>12</v>
      </c>
      <c r="AF685">
        <v>12</v>
      </c>
      <c r="AG685">
        <v>13</v>
      </c>
    </row>
    <row r="686" spans="1:33" x14ac:dyDescent="0.35">
      <c r="A686" t="s">
        <v>33</v>
      </c>
      <c r="B686" t="s">
        <v>34</v>
      </c>
      <c r="C686">
        <v>17</v>
      </c>
      <c r="D686" t="s">
        <v>35</v>
      </c>
      <c r="E686" t="s">
        <v>47</v>
      </c>
      <c r="F686" t="s">
        <v>44</v>
      </c>
      <c r="G686">
        <v>4</v>
      </c>
      <c r="H686">
        <v>2</v>
      </c>
      <c r="I686" t="s">
        <v>39</v>
      </c>
      <c r="J686" t="s">
        <v>48</v>
      </c>
      <c r="K686" t="s">
        <v>51</v>
      </c>
      <c r="L686" t="s">
        <v>41</v>
      </c>
      <c r="M686">
        <v>1</v>
      </c>
      <c r="N686">
        <v>4</v>
      </c>
      <c r="O686">
        <v>0</v>
      </c>
      <c r="P686" t="s">
        <v>43</v>
      </c>
      <c r="Q686" t="s">
        <v>42</v>
      </c>
      <c r="R686" t="s">
        <v>43</v>
      </c>
      <c r="S686" t="s">
        <v>42</v>
      </c>
      <c r="T686" t="s">
        <v>42</v>
      </c>
      <c r="U686" t="s">
        <v>42</v>
      </c>
      <c r="V686" t="s">
        <v>42</v>
      </c>
      <c r="W686" t="s">
        <v>43</v>
      </c>
      <c r="X686">
        <v>4</v>
      </c>
      <c r="Y686">
        <v>2</v>
      </c>
      <c r="Z686">
        <v>3</v>
      </c>
      <c r="AA686">
        <v>1</v>
      </c>
      <c r="AB686">
        <v>1</v>
      </c>
      <c r="AC686">
        <v>4</v>
      </c>
      <c r="AD686">
        <v>2</v>
      </c>
      <c r="AE686">
        <v>14</v>
      </c>
      <c r="AF686">
        <v>15</v>
      </c>
      <c r="AG686">
        <v>17</v>
      </c>
    </row>
    <row r="687" spans="1:33" x14ac:dyDescent="0.35">
      <c r="A687" t="s">
        <v>33</v>
      </c>
      <c r="B687" t="s">
        <v>34</v>
      </c>
      <c r="C687">
        <v>19</v>
      </c>
      <c r="D687" t="s">
        <v>35</v>
      </c>
      <c r="E687" t="s">
        <v>36</v>
      </c>
      <c r="F687" t="s">
        <v>44</v>
      </c>
      <c r="G687">
        <v>2</v>
      </c>
      <c r="H687">
        <v>2</v>
      </c>
      <c r="I687" t="s">
        <v>48</v>
      </c>
      <c r="J687" t="s">
        <v>48</v>
      </c>
      <c r="K687" t="s">
        <v>49</v>
      </c>
      <c r="L687" t="s">
        <v>41</v>
      </c>
      <c r="M687">
        <v>1</v>
      </c>
      <c r="N687">
        <v>2</v>
      </c>
      <c r="O687">
        <v>0</v>
      </c>
      <c r="P687" t="s">
        <v>43</v>
      </c>
      <c r="Q687" t="s">
        <v>42</v>
      </c>
      <c r="R687" t="s">
        <v>43</v>
      </c>
      <c r="S687" t="s">
        <v>43</v>
      </c>
      <c r="T687" t="s">
        <v>42</v>
      </c>
      <c r="U687" t="s">
        <v>42</v>
      </c>
      <c r="V687" t="s">
        <v>42</v>
      </c>
      <c r="W687" t="s">
        <v>43</v>
      </c>
      <c r="X687">
        <v>4</v>
      </c>
      <c r="Y687">
        <v>3</v>
      </c>
      <c r="Z687">
        <v>3</v>
      </c>
      <c r="AA687">
        <v>1</v>
      </c>
      <c r="AB687">
        <v>1</v>
      </c>
      <c r="AC687">
        <v>5</v>
      </c>
      <c r="AD687">
        <v>0</v>
      </c>
      <c r="AE687">
        <v>10</v>
      </c>
      <c r="AF687">
        <v>10</v>
      </c>
      <c r="AG687">
        <v>11</v>
      </c>
    </row>
    <row r="688" spans="1:33" x14ac:dyDescent="0.35">
      <c r="A688" t="s">
        <v>33</v>
      </c>
      <c r="B688" t="s">
        <v>50</v>
      </c>
      <c r="C688">
        <v>18</v>
      </c>
      <c r="D688" t="s">
        <v>35</v>
      </c>
      <c r="E688" t="s">
        <v>47</v>
      </c>
      <c r="F688" t="s">
        <v>44</v>
      </c>
      <c r="G688">
        <v>2</v>
      </c>
      <c r="H688">
        <v>1</v>
      </c>
      <c r="I688" t="s">
        <v>48</v>
      </c>
      <c r="J688" t="s">
        <v>45</v>
      </c>
      <c r="K688" t="s">
        <v>40</v>
      </c>
      <c r="L688" t="s">
        <v>41</v>
      </c>
      <c r="M688">
        <v>3</v>
      </c>
      <c r="N688">
        <v>2</v>
      </c>
      <c r="O688">
        <v>1</v>
      </c>
      <c r="P688" t="s">
        <v>43</v>
      </c>
      <c r="Q688" t="s">
        <v>43</v>
      </c>
      <c r="R688" t="s">
        <v>43</v>
      </c>
      <c r="S688" t="s">
        <v>42</v>
      </c>
      <c r="T688" t="s">
        <v>43</v>
      </c>
      <c r="U688" t="s">
        <v>43</v>
      </c>
      <c r="V688" t="s">
        <v>42</v>
      </c>
      <c r="W688" t="s">
        <v>43</v>
      </c>
      <c r="X688">
        <v>4</v>
      </c>
      <c r="Y688">
        <v>4</v>
      </c>
      <c r="Z688">
        <v>5</v>
      </c>
      <c r="AA688">
        <v>4</v>
      </c>
      <c r="AB688">
        <v>4</v>
      </c>
      <c r="AC688">
        <v>5</v>
      </c>
      <c r="AD688">
        <v>4</v>
      </c>
      <c r="AE688">
        <v>11</v>
      </c>
      <c r="AF688">
        <v>10</v>
      </c>
      <c r="AG688">
        <v>11</v>
      </c>
    </row>
    <row r="689" spans="1:33" x14ac:dyDescent="0.35">
      <c r="A689" t="s">
        <v>33</v>
      </c>
      <c r="B689" t="s">
        <v>34</v>
      </c>
      <c r="C689">
        <v>17</v>
      </c>
      <c r="D689" t="s">
        <v>52</v>
      </c>
      <c r="E689" t="s">
        <v>36</v>
      </c>
      <c r="F689" t="s">
        <v>44</v>
      </c>
      <c r="G689">
        <v>4</v>
      </c>
      <c r="H689">
        <v>2</v>
      </c>
      <c r="I689" t="s">
        <v>45</v>
      </c>
      <c r="J689" t="s">
        <v>45</v>
      </c>
      <c r="K689" t="s">
        <v>40</v>
      </c>
      <c r="L689" t="s">
        <v>41</v>
      </c>
      <c r="M689">
        <v>1</v>
      </c>
      <c r="N689">
        <v>3</v>
      </c>
      <c r="O689">
        <v>0</v>
      </c>
      <c r="P689" t="s">
        <v>43</v>
      </c>
      <c r="Q689" t="s">
        <v>42</v>
      </c>
      <c r="R689" t="s">
        <v>43</v>
      </c>
      <c r="S689" t="s">
        <v>42</v>
      </c>
      <c r="T689" t="s">
        <v>42</v>
      </c>
      <c r="U689" t="s">
        <v>42</v>
      </c>
      <c r="V689" t="s">
        <v>42</v>
      </c>
      <c r="W689" t="s">
        <v>43</v>
      </c>
      <c r="X689">
        <v>4</v>
      </c>
      <c r="Y689">
        <v>3</v>
      </c>
      <c r="Z689">
        <v>4</v>
      </c>
      <c r="AA689">
        <v>1</v>
      </c>
      <c r="AB689">
        <v>3</v>
      </c>
      <c r="AC689">
        <v>5</v>
      </c>
      <c r="AD689">
        <v>2</v>
      </c>
      <c r="AE689">
        <v>11</v>
      </c>
      <c r="AF689">
        <v>12</v>
      </c>
      <c r="AG689">
        <v>14</v>
      </c>
    </row>
    <row r="690" spans="1:33" x14ac:dyDescent="0.35">
      <c r="A690" t="s">
        <v>33</v>
      </c>
      <c r="B690" t="s">
        <v>34</v>
      </c>
      <c r="C690">
        <v>18</v>
      </c>
      <c r="D690" t="s">
        <v>35</v>
      </c>
      <c r="E690" t="s">
        <v>47</v>
      </c>
      <c r="F690" t="s">
        <v>44</v>
      </c>
      <c r="G690">
        <v>1</v>
      </c>
      <c r="H690">
        <v>1</v>
      </c>
      <c r="I690" t="s">
        <v>45</v>
      </c>
      <c r="J690" t="s">
        <v>38</v>
      </c>
      <c r="K690" t="s">
        <v>49</v>
      </c>
      <c r="L690" t="s">
        <v>41</v>
      </c>
      <c r="M690">
        <v>1</v>
      </c>
      <c r="N690">
        <v>3</v>
      </c>
      <c r="O690">
        <v>0</v>
      </c>
      <c r="P690" t="s">
        <v>43</v>
      </c>
      <c r="Q690" t="s">
        <v>42</v>
      </c>
      <c r="R690" t="s">
        <v>43</v>
      </c>
      <c r="S690" t="s">
        <v>43</v>
      </c>
      <c r="T690" t="s">
        <v>43</v>
      </c>
      <c r="U690" t="s">
        <v>42</v>
      </c>
      <c r="V690" t="s">
        <v>43</v>
      </c>
      <c r="W690" t="s">
        <v>43</v>
      </c>
      <c r="X690">
        <v>4</v>
      </c>
      <c r="Y690">
        <v>4</v>
      </c>
      <c r="Z690">
        <v>3</v>
      </c>
      <c r="AA690">
        <v>2</v>
      </c>
      <c r="AB690">
        <v>3</v>
      </c>
      <c r="AC690">
        <v>3</v>
      </c>
      <c r="AD690">
        <v>4</v>
      </c>
      <c r="AE690">
        <v>11</v>
      </c>
      <c r="AF690">
        <v>12</v>
      </c>
      <c r="AG690">
        <v>14</v>
      </c>
    </row>
    <row r="691" spans="1:33" x14ac:dyDescent="0.35">
      <c r="A691" t="s">
        <v>33</v>
      </c>
      <c r="B691" t="s">
        <v>34</v>
      </c>
      <c r="C691">
        <v>18</v>
      </c>
      <c r="D691" t="s">
        <v>52</v>
      </c>
      <c r="E691" t="s">
        <v>36</v>
      </c>
      <c r="F691" t="s">
        <v>44</v>
      </c>
      <c r="G691">
        <v>2</v>
      </c>
      <c r="H691">
        <v>2</v>
      </c>
      <c r="I691" t="s">
        <v>45</v>
      </c>
      <c r="J691" t="s">
        <v>45</v>
      </c>
      <c r="K691" t="s">
        <v>49</v>
      </c>
      <c r="L691" t="s">
        <v>41</v>
      </c>
      <c r="M691">
        <v>1</v>
      </c>
      <c r="N691">
        <v>2</v>
      </c>
      <c r="O691">
        <v>0</v>
      </c>
      <c r="P691" t="s">
        <v>42</v>
      </c>
      <c r="Q691" t="s">
        <v>43</v>
      </c>
      <c r="R691" t="s">
        <v>43</v>
      </c>
      <c r="S691" t="s">
        <v>43</v>
      </c>
      <c r="T691" t="s">
        <v>42</v>
      </c>
      <c r="U691" t="s">
        <v>42</v>
      </c>
      <c r="V691" t="s">
        <v>43</v>
      </c>
      <c r="W691" t="s">
        <v>43</v>
      </c>
      <c r="X691">
        <v>3</v>
      </c>
      <c r="Y691">
        <v>2</v>
      </c>
      <c r="Z691">
        <v>3</v>
      </c>
      <c r="AA691">
        <v>1</v>
      </c>
      <c r="AB691">
        <v>1</v>
      </c>
      <c r="AC691">
        <v>5</v>
      </c>
      <c r="AD691">
        <v>4</v>
      </c>
      <c r="AE691">
        <v>11</v>
      </c>
      <c r="AF691">
        <v>11</v>
      </c>
      <c r="AG691">
        <v>13</v>
      </c>
    </row>
    <row r="692" spans="1:33" x14ac:dyDescent="0.35">
      <c r="A692" t="s">
        <v>33</v>
      </c>
      <c r="B692" t="s">
        <v>50</v>
      </c>
      <c r="C692">
        <v>19</v>
      </c>
      <c r="D692" t="s">
        <v>35</v>
      </c>
      <c r="E692" t="s">
        <v>47</v>
      </c>
      <c r="F692" t="s">
        <v>37</v>
      </c>
      <c r="G692">
        <v>4</v>
      </c>
      <c r="H692">
        <v>3</v>
      </c>
      <c r="I692" t="s">
        <v>48</v>
      </c>
      <c r="J692" t="s">
        <v>38</v>
      </c>
      <c r="K692" t="s">
        <v>51</v>
      </c>
      <c r="L692" t="s">
        <v>41</v>
      </c>
      <c r="M692">
        <v>1</v>
      </c>
      <c r="N692">
        <v>2</v>
      </c>
      <c r="O692">
        <v>0</v>
      </c>
      <c r="P692" t="s">
        <v>43</v>
      </c>
      <c r="Q692" t="s">
        <v>42</v>
      </c>
      <c r="R692" t="s">
        <v>43</v>
      </c>
      <c r="S692" t="s">
        <v>43</v>
      </c>
      <c r="T692" t="s">
        <v>42</v>
      </c>
      <c r="U692" t="s">
        <v>42</v>
      </c>
      <c r="V692" t="s">
        <v>42</v>
      </c>
      <c r="W692" t="s">
        <v>43</v>
      </c>
      <c r="X692">
        <v>4</v>
      </c>
      <c r="Y692">
        <v>3</v>
      </c>
      <c r="Z692">
        <v>1</v>
      </c>
      <c r="AA692">
        <v>1</v>
      </c>
      <c r="AB692">
        <v>1</v>
      </c>
      <c r="AC692">
        <v>1</v>
      </c>
      <c r="AD692">
        <v>4</v>
      </c>
      <c r="AE692">
        <v>11</v>
      </c>
      <c r="AF692">
        <v>13</v>
      </c>
      <c r="AG692">
        <v>14</v>
      </c>
    </row>
    <row r="693" spans="1:33" x14ac:dyDescent="0.35">
      <c r="A693" t="s">
        <v>33</v>
      </c>
      <c r="B693" t="s">
        <v>50</v>
      </c>
      <c r="C693">
        <v>18</v>
      </c>
      <c r="D693" t="s">
        <v>35</v>
      </c>
      <c r="E693" t="s">
        <v>36</v>
      </c>
      <c r="F693" t="s">
        <v>44</v>
      </c>
      <c r="G693">
        <v>2</v>
      </c>
      <c r="H693">
        <v>1</v>
      </c>
      <c r="I693" t="s">
        <v>45</v>
      </c>
      <c r="J693" t="s">
        <v>45</v>
      </c>
      <c r="K693" t="s">
        <v>49</v>
      </c>
      <c r="L693" t="s">
        <v>41</v>
      </c>
      <c r="M693">
        <v>1</v>
      </c>
      <c r="N693">
        <v>2</v>
      </c>
      <c r="O693">
        <v>0</v>
      </c>
      <c r="P693" t="s">
        <v>43</v>
      </c>
      <c r="Q693" t="s">
        <v>43</v>
      </c>
      <c r="R693" t="s">
        <v>43</v>
      </c>
      <c r="S693" t="s">
        <v>42</v>
      </c>
      <c r="T693" t="s">
        <v>42</v>
      </c>
      <c r="U693" t="s">
        <v>42</v>
      </c>
      <c r="V693" t="s">
        <v>42</v>
      </c>
      <c r="W693" t="s">
        <v>43</v>
      </c>
      <c r="X693">
        <v>5</v>
      </c>
      <c r="Y693">
        <v>2</v>
      </c>
      <c r="Z693">
        <v>4</v>
      </c>
      <c r="AA693">
        <v>1</v>
      </c>
      <c r="AB693">
        <v>2</v>
      </c>
      <c r="AC693">
        <v>4</v>
      </c>
      <c r="AD693">
        <v>2</v>
      </c>
      <c r="AE693">
        <v>16</v>
      </c>
      <c r="AF693">
        <v>16</v>
      </c>
      <c r="AG693">
        <v>16</v>
      </c>
    </row>
    <row r="694" spans="1:33" x14ac:dyDescent="0.35">
      <c r="A694" t="s">
        <v>33</v>
      </c>
      <c r="B694" t="s">
        <v>50</v>
      </c>
      <c r="C694">
        <v>17</v>
      </c>
      <c r="D694" t="s">
        <v>52</v>
      </c>
      <c r="E694" t="s">
        <v>36</v>
      </c>
      <c r="F694" t="s">
        <v>44</v>
      </c>
      <c r="G694">
        <v>2</v>
      </c>
      <c r="H694">
        <v>2</v>
      </c>
      <c r="I694" t="s">
        <v>45</v>
      </c>
      <c r="J694" t="s">
        <v>48</v>
      </c>
      <c r="K694" t="s">
        <v>45</v>
      </c>
      <c r="L694" t="s">
        <v>41</v>
      </c>
      <c r="M694">
        <v>2</v>
      </c>
      <c r="N694">
        <v>1</v>
      </c>
      <c r="O694">
        <v>0</v>
      </c>
      <c r="P694" t="s">
        <v>43</v>
      </c>
      <c r="Q694" t="s">
        <v>43</v>
      </c>
      <c r="R694" t="s">
        <v>43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>
        <v>5</v>
      </c>
      <c r="Y694">
        <v>2</v>
      </c>
      <c r="Z694">
        <v>2</v>
      </c>
      <c r="AA694">
        <v>1</v>
      </c>
      <c r="AB694">
        <v>1</v>
      </c>
      <c r="AC694">
        <v>4</v>
      </c>
      <c r="AD694">
        <v>0</v>
      </c>
      <c r="AE694">
        <v>9</v>
      </c>
      <c r="AF694">
        <v>10</v>
      </c>
      <c r="AG694">
        <v>10</v>
      </c>
    </row>
    <row r="695" spans="1:33" x14ac:dyDescent="0.35">
      <c r="A695" t="s">
        <v>33</v>
      </c>
      <c r="B695" t="s">
        <v>34</v>
      </c>
      <c r="C695">
        <v>17</v>
      </c>
      <c r="D695" t="s">
        <v>35</v>
      </c>
      <c r="E695" t="s">
        <v>47</v>
      </c>
      <c r="F695" t="s">
        <v>44</v>
      </c>
      <c r="G695">
        <v>2</v>
      </c>
      <c r="H695">
        <v>2</v>
      </c>
      <c r="I695" t="s">
        <v>48</v>
      </c>
      <c r="J695" t="s">
        <v>48</v>
      </c>
      <c r="K695" t="s">
        <v>40</v>
      </c>
      <c r="L695" t="s">
        <v>46</v>
      </c>
      <c r="M695">
        <v>1</v>
      </c>
      <c r="N695">
        <v>4</v>
      </c>
      <c r="O695">
        <v>0</v>
      </c>
      <c r="P695" t="s">
        <v>43</v>
      </c>
      <c r="Q695" t="s">
        <v>43</v>
      </c>
      <c r="R695" t="s">
        <v>43</v>
      </c>
      <c r="S695" t="s">
        <v>42</v>
      </c>
      <c r="T695" t="s">
        <v>42</v>
      </c>
      <c r="U695" t="s">
        <v>42</v>
      </c>
      <c r="V695" t="s">
        <v>42</v>
      </c>
      <c r="W695" t="s">
        <v>42</v>
      </c>
      <c r="X695">
        <v>3</v>
      </c>
      <c r="Y695">
        <v>4</v>
      </c>
      <c r="Z695">
        <v>1</v>
      </c>
      <c r="AA695">
        <v>1</v>
      </c>
      <c r="AB695">
        <v>1</v>
      </c>
      <c r="AC695">
        <v>2</v>
      </c>
      <c r="AD695">
        <v>2</v>
      </c>
      <c r="AE695">
        <v>10</v>
      </c>
      <c r="AF695">
        <v>11</v>
      </c>
      <c r="AG695">
        <v>12</v>
      </c>
    </row>
    <row r="696" spans="1:33" x14ac:dyDescent="0.35">
      <c r="A696" t="s">
        <v>33</v>
      </c>
      <c r="B696" t="s">
        <v>34</v>
      </c>
      <c r="C696">
        <v>20</v>
      </c>
      <c r="D696" t="s">
        <v>52</v>
      </c>
      <c r="E696" t="s">
        <v>36</v>
      </c>
      <c r="F696" t="s">
        <v>44</v>
      </c>
      <c r="G696">
        <v>2</v>
      </c>
      <c r="H696">
        <v>1</v>
      </c>
      <c r="I696" t="s">
        <v>45</v>
      </c>
      <c r="J696" t="s">
        <v>45</v>
      </c>
      <c r="K696" t="s">
        <v>40</v>
      </c>
      <c r="L696" t="s">
        <v>45</v>
      </c>
      <c r="M696">
        <v>2</v>
      </c>
      <c r="N696">
        <v>2</v>
      </c>
      <c r="O696">
        <v>0</v>
      </c>
      <c r="P696" t="s">
        <v>43</v>
      </c>
      <c r="Q696" t="s">
        <v>42</v>
      </c>
      <c r="R696" t="s">
        <v>42</v>
      </c>
      <c r="S696" t="s">
        <v>42</v>
      </c>
      <c r="T696" t="s">
        <v>42</v>
      </c>
      <c r="U696" t="s">
        <v>43</v>
      </c>
      <c r="V696" t="s">
        <v>42</v>
      </c>
      <c r="W696" t="s">
        <v>42</v>
      </c>
      <c r="X696">
        <v>1</v>
      </c>
      <c r="Y696">
        <v>2</v>
      </c>
      <c r="Z696">
        <v>3</v>
      </c>
      <c r="AA696">
        <v>1</v>
      </c>
      <c r="AB696">
        <v>2</v>
      </c>
      <c r="AC696">
        <v>2</v>
      </c>
      <c r="AD696">
        <v>8</v>
      </c>
      <c r="AE696">
        <v>10</v>
      </c>
      <c r="AF696">
        <v>12</v>
      </c>
      <c r="AG696">
        <v>12</v>
      </c>
    </row>
    <row r="697" spans="1:33" x14ac:dyDescent="0.35">
      <c r="A697" t="s">
        <v>33</v>
      </c>
      <c r="B697" t="s">
        <v>34</v>
      </c>
      <c r="C697">
        <v>18</v>
      </c>
      <c r="D697" t="s">
        <v>35</v>
      </c>
      <c r="E697" t="s">
        <v>36</v>
      </c>
      <c r="F697" t="s">
        <v>44</v>
      </c>
      <c r="G697">
        <v>4</v>
      </c>
      <c r="H697">
        <v>3</v>
      </c>
      <c r="I697" t="s">
        <v>48</v>
      </c>
      <c r="J697" t="s">
        <v>45</v>
      </c>
      <c r="K697" t="s">
        <v>49</v>
      </c>
      <c r="L697" t="s">
        <v>46</v>
      </c>
      <c r="M697">
        <v>1</v>
      </c>
      <c r="N697">
        <v>2</v>
      </c>
      <c r="O697">
        <v>0</v>
      </c>
      <c r="P697" t="s">
        <v>43</v>
      </c>
      <c r="Q697" t="s">
        <v>42</v>
      </c>
      <c r="R697" t="s">
        <v>43</v>
      </c>
      <c r="S697" t="s">
        <v>43</v>
      </c>
      <c r="T697" t="s">
        <v>42</v>
      </c>
      <c r="U697" t="s">
        <v>42</v>
      </c>
      <c r="V697" t="s">
        <v>42</v>
      </c>
      <c r="W697" t="s">
        <v>42</v>
      </c>
      <c r="X697">
        <v>3</v>
      </c>
      <c r="Y697">
        <v>1</v>
      </c>
      <c r="Z697">
        <v>2</v>
      </c>
      <c r="AA697">
        <v>1</v>
      </c>
      <c r="AB697">
        <v>3</v>
      </c>
      <c r="AC697">
        <v>2</v>
      </c>
      <c r="AD697">
        <v>2</v>
      </c>
      <c r="AE697">
        <v>15</v>
      </c>
      <c r="AF697">
        <v>15</v>
      </c>
      <c r="AG697">
        <v>15</v>
      </c>
    </row>
    <row r="698" spans="1:33" x14ac:dyDescent="0.35">
      <c r="A698" t="s">
        <v>33</v>
      </c>
      <c r="B698" t="s">
        <v>50</v>
      </c>
      <c r="C698">
        <v>18</v>
      </c>
      <c r="D698" t="s">
        <v>35</v>
      </c>
      <c r="E698" t="s">
        <v>36</v>
      </c>
      <c r="F698" t="s">
        <v>44</v>
      </c>
      <c r="G698">
        <v>4</v>
      </c>
      <c r="H698">
        <v>3</v>
      </c>
      <c r="I698" t="s">
        <v>39</v>
      </c>
      <c r="J698" t="s">
        <v>45</v>
      </c>
      <c r="K698" t="s">
        <v>40</v>
      </c>
      <c r="L698" t="s">
        <v>41</v>
      </c>
      <c r="M698">
        <v>1</v>
      </c>
      <c r="N698">
        <v>2</v>
      </c>
      <c r="O698">
        <v>0</v>
      </c>
      <c r="P698" t="s">
        <v>43</v>
      </c>
      <c r="Q698" t="s">
        <v>42</v>
      </c>
      <c r="R698" t="s">
        <v>43</v>
      </c>
      <c r="S698" t="s">
        <v>43</v>
      </c>
      <c r="T698" t="s">
        <v>43</v>
      </c>
      <c r="U698" t="s">
        <v>42</v>
      </c>
      <c r="V698" t="s">
        <v>42</v>
      </c>
      <c r="W698" t="s">
        <v>43</v>
      </c>
      <c r="X698">
        <v>4</v>
      </c>
      <c r="Y698">
        <v>3</v>
      </c>
      <c r="Z698">
        <v>2</v>
      </c>
      <c r="AA698">
        <v>1</v>
      </c>
      <c r="AB698">
        <v>1</v>
      </c>
      <c r="AC698">
        <v>3</v>
      </c>
      <c r="AD698">
        <v>2</v>
      </c>
      <c r="AE698">
        <v>10</v>
      </c>
      <c r="AF698">
        <v>10</v>
      </c>
      <c r="AG698">
        <v>11</v>
      </c>
    </row>
    <row r="699" spans="1:33" x14ac:dyDescent="0.35">
      <c r="A699" t="s">
        <v>33</v>
      </c>
      <c r="B699" t="s">
        <v>50</v>
      </c>
      <c r="C699">
        <v>18</v>
      </c>
      <c r="D699" t="s">
        <v>52</v>
      </c>
      <c r="E699" t="s">
        <v>36</v>
      </c>
      <c r="F699" t="s">
        <v>44</v>
      </c>
      <c r="G699">
        <v>3</v>
      </c>
      <c r="H699">
        <v>2</v>
      </c>
      <c r="I699" t="s">
        <v>45</v>
      </c>
      <c r="J699" t="s">
        <v>45</v>
      </c>
      <c r="K699" t="s">
        <v>40</v>
      </c>
      <c r="L699" t="s">
        <v>41</v>
      </c>
      <c r="M699">
        <v>1</v>
      </c>
      <c r="N699">
        <v>3</v>
      </c>
      <c r="O699">
        <v>0</v>
      </c>
      <c r="P699" t="s">
        <v>43</v>
      </c>
      <c r="Q699" t="s">
        <v>43</v>
      </c>
      <c r="R699" t="s">
        <v>43</v>
      </c>
      <c r="S699" t="s">
        <v>42</v>
      </c>
      <c r="T699" t="s">
        <v>43</v>
      </c>
      <c r="U699" t="s">
        <v>42</v>
      </c>
      <c r="V699" t="s">
        <v>43</v>
      </c>
      <c r="W699" t="s">
        <v>43</v>
      </c>
      <c r="X699">
        <v>5</v>
      </c>
      <c r="Y699">
        <v>3</v>
      </c>
      <c r="Z699">
        <v>2</v>
      </c>
      <c r="AA699">
        <v>1</v>
      </c>
      <c r="AB699">
        <v>1</v>
      </c>
      <c r="AC699">
        <v>3</v>
      </c>
      <c r="AD699">
        <v>2</v>
      </c>
      <c r="AE699">
        <v>10</v>
      </c>
      <c r="AF699">
        <v>11</v>
      </c>
      <c r="AG699">
        <v>12</v>
      </c>
    </row>
    <row r="700" spans="1:33" x14ac:dyDescent="0.35">
      <c r="A700" t="s">
        <v>33</v>
      </c>
      <c r="B700" t="s">
        <v>34</v>
      </c>
      <c r="C700">
        <v>17</v>
      </c>
      <c r="D700" t="s">
        <v>35</v>
      </c>
      <c r="E700" t="s">
        <v>36</v>
      </c>
      <c r="F700" t="s">
        <v>44</v>
      </c>
      <c r="G700">
        <v>3</v>
      </c>
      <c r="H700">
        <v>3</v>
      </c>
      <c r="I700" t="s">
        <v>45</v>
      </c>
      <c r="J700" t="s">
        <v>45</v>
      </c>
      <c r="K700" t="s">
        <v>49</v>
      </c>
      <c r="L700" t="s">
        <v>41</v>
      </c>
      <c r="M700">
        <v>1</v>
      </c>
      <c r="N700">
        <v>3</v>
      </c>
      <c r="O700">
        <v>0</v>
      </c>
      <c r="P700" t="s">
        <v>43</v>
      </c>
      <c r="Q700" t="s">
        <v>43</v>
      </c>
      <c r="R700" t="s">
        <v>43</v>
      </c>
      <c r="S700" t="s">
        <v>42</v>
      </c>
      <c r="T700" t="s">
        <v>43</v>
      </c>
      <c r="U700" t="s">
        <v>42</v>
      </c>
      <c r="V700" t="s">
        <v>43</v>
      </c>
      <c r="W700" t="s">
        <v>43</v>
      </c>
      <c r="X700">
        <v>3</v>
      </c>
      <c r="Y700">
        <v>2</v>
      </c>
      <c r="Z700">
        <v>3</v>
      </c>
      <c r="AA700">
        <v>1</v>
      </c>
      <c r="AB700">
        <v>1</v>
      </c>
      <c r="AC700">
        <v>4</v>
      </c>
      <c r="AD700">
        <v>2</v>
      </c>
      <c r="AE700">
        <v>15</v>
      </c>
      <c r="AF700">
        <v>12</v>
      </c>
      <c r="AG700">
        <v>13</v>
      </c>
    </row>
    <row r="701" spans="1:33" x14ac:dyDescent="0.35">
      <c r="A701" t="s">
        <v>33</v>
      </c>
      <c r="B701" t="s">
        <v>34</v>
      </c>
      <c r="C701">
        <v>18</v>
      </c>
      <c r="D701" t="s">
        <v>35</v>
      </c>
      <c r="E701" t="s">
        <v>36</v>
      </c>
      <c r="F701" t="s">
        <v>44</v>
      </c>
      <c r="G701">
        <v>2</v>
      </c>
      <c r="H701">
        <v>2</v>
      </c>
      <c r="I701" t="s">
        <v>38</v>
      </c>
      <c r="J701" t="s">
        <v>48</v>
      </c>
      <c r="K701" t="s">
        <v>49</v>
      </c>
      <c r="L701" t="s">
        <v>41</v>
      </c>
      <c r="M701">
        <v>1</v>
      </c>
      <c r="N701">
        <v>3</v>
      </c>
      <c r="O701">
        <v>0</v>
      </c>
      <c r="P701" t="s">
        <v>43</v>
      </c>
      <c r="Q701" t="s">
        <v>42</v>
      </c>
      <c r="R701" t="s">
        <v>43</v>
      </c>
      <c r="S701" t="s">
        <v>42</v>
      </c>
      <c r="T701" t="s">
        <v>42</v>
      </c>
      <c r="U701" t="s">
        <v>42</v>
      </c>
      <c r="V701" t="s">
        <v>42</v>
      </c>
      <c r="W701" t="s">
        <v>42</v>
      </c>
      <c r="X701">
        <v>4</v>
      </c>
      <c r="Y701">
        <v>3</v>
      </c>
      <c r="Z701">
        <v>3</v>
      </c>
      <c r="AA701">
        <v>1</v>
      </c>
      <c r="AB701">
        <v>1</v>
      </c>
      <c r="AC701">
        <v>3</v>
      </c>
      <c r="AD701">
        <v>0</v>
      </c>
      <c r="AE701">
        <v>11</v>
      </c>
      <c r="AF701">
        <v>12</v>
      </c>
      <c r="AG701">
        <v>13</v>
      </c>
    </row>
    <row r="702" spans="1:33" x14ac:dyDescent="0.35">
      <c r="A702" t="s">
        <v>33</v>
      </c>
      <c r="B702" t="s">
        <v>50</v>
      </c>
      <c r="C702">
        <v>17</v>
      </c>
      <c r="D702" t="s">
        <v>35</v>
      </c>
      <c r="E702" t="s">
        <v>36</v>
      </c>
      <c r="F702" t="s">
        <v>44</v>
      </c>
      <c r="G702">
        <v>2</v>
      </c>
      <c r="H702">
        <v>2</v>
      </c>
      <c r="I702" t="s">
        <v>45</v>
      </c>
      <c r="J702" t="s">
        <v>45</v>
      </c>
      <c r="K702" t="s">
        <v>49</v>
      </c>
      <c r="L702" t="s">
        <v>46</v>
      </c>
      <c r="M702">
        <v>2</v>
      </c>
      <c r="N702">
        <v>1</v>
      </c>
      <c r="O702">
        <v>0</v>
      </c>
      <c r="P702" t="s">
        <v>43</v>
      </c>
      <c r="Q702" t="s">
        <v>43</v>
      </c>
      <c r="R702" t="s">
        <v>43</v>
      </c>
      <c r="S702" t="s">
        <v>43</v>
      </c>
      <c r="T702" t="s">
        <v>42</v>
      </c>
      <c r="U702" t="s">
        <v>43</v>
      </c>
      <c r="V702" t="s">
        <v>42</v>
      </c>
      <c r="W702" t="s">
        <v>43</v>
      </c>
      <c r="X702">
        <v>4</v>
      </c>
      <c r="Y702">
        <v>4</v>
      </c>
      <c r="Z702">
        <v>4</v>
      </c>
      <c r="AA702">
        <v>2</v>
      </c>
      <c r="AB702">
        <v>3</v>
      </c>
      <c r="AC702">
        <v>4</v>
      </c>
      <c r="AD702">
        <v>8</v>
      </c>
      <c r="AE702">
        <v>8</v>
      </c>
      <c r="AF702">
        <v>8</v>
      </c>
      <c r="AG702">
        <v>9</v>
      </c>
    </row>
    <row r="703" spans="1:33" x14ac:dyDescent="0.35">
      <c r="A703" t="s">
        <v>33</v>
      </c>
      <c r="B703" t="s">
        <v>50</v>
      </c>
      <c r="C703">
        <v>18</v>
      </c>
      <c r="D703" t="s">
        <v>52</v>
      </c>
      <c r="E703" t="s">
        <v>47</v>
      </c>
      <c r="F703" t="s">
        <v>37</v>
      </c>
      <c r="G703">
        <v>3</v>
      </c>
      <c r="H703">
        <v>4</v>
      </c>
      <c r="I703" t="s">
        <v>45</v>
      </c>
      <c r="J703" t="s">
        <v>45</v>
      </c>
      <c r="K703" t="s">
        <v>51</v>
      </c>
      <c r="L703" t="s">
        <v>41</v>
      </c>
      <c r="M703">
        <v>2</v>
      </c>
      <c r="N703">
        <v>2</v>
      </c>
      <c r="O703">
        <v>0</v>
      </c>
      <c r="P703" t="s">
        <v>43</v>
      </c>
      <c r="Q703" t="s">
        <v>42</v>
      </c>
      <c r="R703" t="s">
        <v>43</v>
      </c>
      <c r="S703" t="s">
        <v>42</v>
      </c>
      <c r="T703" t="s">
        <v>42</v>
      </c>
      <c r="U703" t="s">
        <v>42</v>
      </c>
      <c r="V703" t="s">
        <v>42</v>
      </c>
      <c r="W703" t="s">
        <v>43</v>
      </c>
      <c r="X703">
        <v>4</v>
      </c>
      <c r="Y703">
        <v>2</v>
      </c>
      <c r="Z703">
        <v>5</v>
      </c>
      <c r="AA703">
        <v>3</v>
      </c>
      <c r="AB703">
        <v>4</v>
      </c>
      <c r="AC703">
        <v>1</v>
      </c>
      <c r="AD703">
        <v>6</v>
      </c>
      <c r="AE703">
        <v>15</v>
      </c>
      <c r="AF703">
        <v>16</v>
      </c>
      <c r="AG703">
        <v>16</v>
      </c>
    </row>
    <row r="704" spans="1:33" x14ac:dyDescent="0.35">
      <c r="A704" t="s">
        <v>33</v>
      </c>
      <c r="B704" t="s">
        <v>50</v>
      </c>
      <c r="C704">
        <v>17</v>
      </c>
      <c r="D704" t="s">
        <v>35</v>
      </c>
      <c r="E704" t="s">
        <v>36</v>
      </c>
      <c r="F704" t="s">
        <v>44</v>
      </c>
      <c r="G704">
        <v>3</v>
      </c>
      <c r="H704">
        <v>1</v>
      </c>
      <c r="I704" t="s">
        <v>48</v>
      </c>
      <c r="J704" t="s">
        <v>45</v>
      </c>
      <c r="K704" t="s">
        <v>45</v>
      </c>
      <c r="L704" t="s">
        <v>41</v>
      </c>
      <c r="M704">
        <v>1</v>
      </c>
      <c r="N704">
        <v>2</v>
      </c>
      <c r="O704">
        <v>0</v>
      </c>
      <c r="P704" t="s">
        <v>43</v>
      </c>
      <c r="Q704" t="s">
        <v>43</v>
      </c>
      <c r="R704" t="s">
        <v>43</v>
      </c>
      <c r="S704" t="s">
        <v>42</v>
      </c>
      <c r="T704" t="s">
        <v>42</v>
      </c>
      <c r="U704" t="s">
        <v>42</v>
      </c>
      <c r="V704" t="s">
        <v>42</v>
      </c>
      <c r="W704" t="s">
        <v>42</v>
      </c>
      <c r="X704">
        <v>5</v>
      </c>
      <c r="Y704">
        <v>4</v>
      </c>
      <c r="Z704">
        <v>4</v>
      </c>
      <c r="AA704">
        <v>3</v>
      </c>
      <c r="AB704">
        <v>4</v>
      </c>
      <c r="AC704">
        <v>5</v>
      </c>
      <c r="AD704">
        <v>0</v>
      </c>
      <c r="AE704">
        <v>11</v>
      </c>
      <c r="AF704">
        <v>11</v>
      </c>
      <c r="AG704">
        <v>14</v>
      </c>
    </row>
    <row r="705" spans="1:33" x14ac:dyDescent="0.35">
      <c r="A705" t="s">
        <v>33</v>
      </c>
      <c r="B705" t="s">
        <v>34</v>
      </c>
      <c r="C705">
        <v>18</v>
      </c>
      <c r="D705" t="s">
        <v>52</v>
      </c>
      <c r="E705" t="s">
        <v>36</v>
      </c>
      <c r="F705" t="s">
        <v>44</v>
      </c>
      <c r="G705">
        <v>4</v>
      </c>
      <c r="H705">
        <v>4</v>
      </c>
      <c r="I705" t="s">
        <v>39</v>
      </c>
      <c r="J705" t="s">
        <v>45</v>
      </c>
      <c r="K705" t="s">
        <v>51</v>
      </c>
      <c r="L705" t="s">
        <v>41</v>
      </c>
      <c r="M705">
        <v>2</v>
      </c>
      <c r="N705">
        <v>2</v>
      </c>
      <c r="O705">
        <v>0</v>
      </c>
      <c r="P705" t="s">
        <v>43</v>
      </c>
      <c r="Q705" t="s">
        <v>43</v>
      </c>
      <c r="R705" t="s">
        <v>43</v>
      </c>
      <c r="S705" t="s">
        <v>42</v>
      </c>
      <c r="T705" t="s">
        <v>42</v>
      </c>
      <c r="U705" t="s">
        <v>42</v>
      </c>
      <c r="V705" t="s">
        <v>42</v>
      </c>
      <c r="W705" t="s">
        <v>43</v>
      </c>
      <c r="X705">
        <v>4</v>
      </c>
      <c r="Y705">
        <v>3</v>
      </c>
      <c r="Z705">
        <v>4</v>
      </c>
      <c r="AA705">
        <v>2</v>
      </c>
      <c r="AB705">
        <v>2</v>
      </c>
      <c r="AC705">
        <v>4</v>
      </c>
      <c r="AD705">
        <v>8</v>
      </c>
      <c r="AE705">
        <v>10</v>
      </c>
      <c r="AF705">
        <v>11</v>
      </c>
      <c r="AG705">
        <v>12</v>
      </c>
    </row>
    <row r="706" spans="1:33" x14ac:dyDescent="0.35">
      <c r="A706" t="s">
        <v>33</v>
      </c>
      <c r="B706" t="s">
        <v>50</v>
      </c>
      <c r="C706">
        <v>18</v>
      </c>
      <c r="D706" t="s">
        <v>35</v>
      </c>
      <c r="E706" t="s">
        <v>36</v>
      </c>
      <c r="F706" t="s">
        <v>44</v>
      </c>
      <c r="G706">
        <v>4</v>
      </c>
      <c r="H706">
        <v>2</v>
      </c>
      <c r="I706" t="s">
        <v>28</v>
      </c>
      <c r="J706" t="s">
        <v>45</v>
      </c>
      <c r="K706" t="s">
        <v>51</v>
      </c>
      <c r="L706" t="s">
        <v>46</v>
      </c>
      <c r="M706">
        <v>1</v>
      </c>
      <c r="N706">
        <v>2</v>
      </c>
      <c r="O706">
        <v>0</v>
      </c>
      <c r="P706" t="s">
        <v>43</v>
      </c>
      <c r="Q706" t="s">
        <v>42</v>
      </c>
      <c r="R706" t="s">
        <v>43</v>
      </c>
      <c r="S706" t="s">
        <v>42</v>
      </c>
      <c r="T706" t="s">
        <v>42</v>
      </c>
      <c r="U706" t="s">
        <v>42</v>
      </c>
      <c r="V706" t="s">
        <v>42</v>
      </c>
      <c r="W706" t="s">
        <v>42</v>
      </c>
      <c r="X706">
        <v>5</v>
      </c>
      <c r="Y706">
        <v>4</v>
      </c>
      <c r="Z706">
        <v>5</v>
      </c>
      <c r="AA706">
        <v>1</v>
      </c>
      <c r="AB706">
        <v>3</v>
      </c>
      <c r="AC706">
        <v>5</v>
      </c>
      <c r="AD706">
        <v>4</v>
      </c>
      <c r="AE706">
        <v>10</v>
      </c>
      <c r="AF706">
        <v>12</v>
      </c>
      <c r="AG706">
        <v>14</v>
      </c>
    </row>
    <row r="707" spans="1:33" x14ac:dyDescent="0.35">
      <c r="A707" t="s">
        <v>33</v>
      </c>
      <c r="B707" t="s">
        <v>34</v>
      </c>
      <c r="C707">
        <v>18</v>
      </c>
      <c r="D707" t="s">
        <v>52</v>
      </c>
      <c r="E707" t="s">
        <v>36</v>
      </c>
      <c r="F707" t="s">
        <v>44</v>
      </c>
      <c r="G707">
        <v>2</v>
      </c>
      <c r="H707">
        <v>1</v>
      </c>
      <c r="I707" t="s">
        <v>45</v>
      </c>
      <c r="J707" t="s">
        <v>45</v>
      </c>
      <c r="K707" t="s">
        <v>51</v>
      </c>
      <c r="L707" t="s">
        <v>41</v>
      </c>
      <c r="M707">
        <v>2</v>
      </c>
      <c r="N707">
        <v>2</v>
      </c>
      <c r="O707">
        <v>0</v>
      </c>
      <c r="P707" t="s">
        <v>43</v>
      </c>
      <c r="Q707" t="s">
        <v>42</v>
      </c>
      <c r="R707" t="s">
        <v>43</v>
      </c>
      <c r="S707" t="s">
        <v>43</v>
      </c>
      <c r="T707" t="s">
        <v>42</v>
      </c>
      <c r="U707" t="s">
        <v>43</v>
      </c>
      <c r="V707" t="s">
        <v>42</v>
      </c>
      <c r="W707" t="s">
        <v>42</v>
      </c>
      <c r="X707">
        <v>4</v>
      </c>
      <c r="Y707">
        <v>3</v>
      </c>
      <c r="Z707">
        <v>5</v>
      </c>
      <c r="AA707">
        <v>1</v>
      </c>
      <c r="AB707">
        <v>2</v>
      </c>
      <c r="AC707">
        <v>3</v>
      </c>
      <c r="AD707">
        <v>12</v>
      </c>
      <c r="AE707">
        <v>8</v>
      </c>
      <c r="AF707">
        <v>9</v>
      </c>
      <c r="AG707">
        <v>10</v>
      </c>
    </row>
    <row r="708" spans="1:33" x14ac:dyDescent="0.35">
      <c r="A708" t="s">
        <v>33</v>
      </c>
      <c r="B708" t="s">
        <v>34</v>
      </c>
      <c r="C708">
        <v>19</v>
      </c>
      <c r="D708" t="s">
        <v>35</v>
      </c>
      <c r="E708" t="s">
        <v>36</v>
      </c>
      <c r="F708" t="s">
        <v>44</v>
      </c>
      <c r="G708">
        <v>3</v>
      </c>
      <c r="H708">
        <v>3</v>
      </c>
      <c r="I708" t="s">
        <v>45</v>
      </c>
      <c r="J708" t="s">
        <v>48</v>
      </c>
      <c r="K708" t="s">
        <v>49</v>
      </c>
      <c r="L708" t="s">
        <v>45</v>
      </c>
      <c r="M708">
        <v>1</v>
      </c>
      <c r="N708">
        <v>2</v>
      </c>
      <c r="O708">
        <v>0</v>
      </c>
      <c r="P708" t="s">
        <v>43</v>
      </c>
      <c r="Q708" t="s">
        <v>42</v>
      </c>
      <c r="R708" t="s">
        <v>43</v>
      </c>
      <c r="S708" t="s">
        <v>42</v>
      </c>
      <c r="T708" t="s">
        <v>42</v>
      </c>
      <c r="U708" t="s">
        <v>42</v>
      </c>
      <c r="V708" t="s">
        <v>42</v>
      </c>
      <c r="W708" t="s">
        <v>43</v>
      </c>
      <c r="X708">
        <v>4</v>
      </c>
      <c r="Y708">
        <v>3</v>
      </c>
      <c r="Z708">
        <v>5</v>
      </c>
      <c r="AA708">
        <v>3</v>
      </c>
      <c r="AB708">
        <v>3</v>
      </c>
      <c r="AC708">
        <v>5</v>
      </c>
      <c r="AD708">
        <v>16</v>
      </c>
      <c r="AE708">
        <v>11</v>
      </c>
      <c r="AF708">
        <v>12</v>
      </c>
      <c r="AG708">
        <v>12</v>
      </c>
    </row>
    <row r="709" spans="1:33" x14ac:dyDescent="0.35">
      <c r="A709" t="s">
        <v>33</v>
      </c>
      <c r="B709" t="s">
        <v>34</v>
      </c>
      <c r="C709">
        <v>18</v>
      </c>
      <c r="D709" t="s">
        <v>35</v>
      </c>
      <c r="E709" t="s">
        <v>36</v>
      </c>
      <c r="F709" t="s">
        <v>44</v>
      </c>
      <c r="G709">
        <v>2</v>
      </c>
      <c r="H709">
        <v>3</v>
      </c>
      <c r="I709" t="s">
        <v>45</v>
      </c>
      <c r="J709" t="s">
        <v>48</v>
      </c>
      <c r="K709" t="s">
        <v>51</v>
      </c>
      <c r="L709" t="s">
        <v>46</v>
      </c>
      <c r="M709">
        <v>1</v>
      </c>
      <c r="N709">
        <v>4</v>
      </c>
      <c r="O709">
        <v>0</v>
      </c>
      <c r="P709" t="s">
        <v>43</v>
      </c>
      <c r="Q709" t="s">
        <v>42</v>
      </c>
      <c r="R709" t="s">
        <v>43</v>
      </c>
      <c r="S709" t="s">
        <v>42</v>
      </c>
      <c r="T709" t="s">
        <v>42</v>
      </c>
      <c r="U709" t="s">
        <v>42</v>
      </c>
      <c r="V709" t="s">
        <v>42</v>
      </c>
      <c r="W709" t="s">
        <v>42</v>
      </c>
      <c r="X709">
        <v>4</v>
      </c>
      <c r="Y709">
        <v>5</v>
      </c>
      <c r="Z709">
        <v>5</v>
      </c>
      <c r="AA709">
        <v>1</v>
      </c>
      <c r="AB709">
        <v>3</v>
      </c>
      <c r="AC709">
        <v>2</v>
      </c>
      <c r="AD709">
        <v>10</v>
      </c>
      <c r="AE709">
        <v>16</v>
      </c>
      <c r="AF709">
        <v>16</v>
      </c>
      <c r="AG709">
        <v>16</v>
      </c>
    </row>
    <row r="710" spans="1:33" x14ac:dyDescent="0.35">
      <c r="A710" t="s">
        <v>33</v>
      </c>
      <c r="B710" t="s">
        <v>34</v>
      </c>
      <c r="C710">
        <v>18</v>
      </c>
      <c r="D710" t="s">
        <v>35</v>
      </c>
      <c r="E710" t="s">
        <v>47</v>
      </c>
      <c r="F710" t="s">
        <v>44</v>
      </c>
      <c r="G710">
        <v>1</v>
      </c>
      <c r="H710">
        <v>1</v>
      </c>
      <c r="I710" t="s">
        <v>45</v>
      </c>
      <c r="J710" t="s">
        <v>45</v>
      </c>
      <c r="K710" t="s">
        <v>49</v>
      </c>
      <c r="L710" t="s">
        <v>41</v>
      </c>
      <c r="M710">
        <v>2</v>
      </c>
      <c r="N710">
        <v>2</v>
      </c>
      <c r="O710">
        <v>0</v>
      </c>
      <c r="P710" t="s">
        <v>43</v>
      </c>
      <c r="Q710" t="s">
        <v>42</v>
      </c>
      <c r="R710" t="s">
        <v>43</v>
      </c>
      <c r="S710" t="s">
        <v>43</v>
      </c>
      <c r="T710" t="s">
        <v>43</v>
      </c>
      <c r="U710" t="s">
        <v>42</v>
      </c>
      <c r="V710" t="s">
        <v>43</v>
      </c>
      <c r="W710" t="s">
        <v>43</v>
      </c>
      <c r="X710">
        <v>4</v>
      </c>
      <c r="Y710">
        <v>4</v>
      </c>
      <c r="Z710">
        <v>3</v>
      </c>
      <c r="AA710">
        <v>1</v>
      </c>
      <c r="AB710">
        <v>1</v>
      </c>
      <c r="AC710">
        <v>3</v>
      </c>
      <c r="AD710">
        <v>2</v>
      </c>
      <c r="AE710">
        <v>13</v>
      </c>
      <c r="AF710">
        <v>13</v>
      </c>
      <c r="AG710">
        <v>13</v>
      </c>
    </row>
    <row r="711" spans="1:33" x14ac:dyDescent="0.35">
      <c r="A711" t="s">
        <v>33</v>
      </c>
      <c r="B711" t="s">
        <v>50</v>
      </c>
      <c r="C711">
        <v>17</v>
      </c>
      <c r="D711" t="s">
        <v>52</v>
      </c>
      <c r="E711" t="s">
        <v>36</v>
      </c>
      <c r="F711" t="s">
        <v>44</v>
      </c>
      <c r="G711">
        <v>1</v>
      </c>
      <c r="H711">
        <v>2</v>
      </c>
      <c r="I711" t="s">
        <v>38</v>
      </c>
      <c r="J711" t="s">
        <v>38</v>
      </c>
      <c r="K711" t="s">
        <v>49</v>
      </c>
      <c r="L711" t="s">
        <v>41</v>
      </c>
      <c r="M711">
        <v>1</v>
      </c>
      <c r="N711">
        <v>2</v>
      </c>
      <c r="O711">
        <v>0</v>
      </c>
      <c r="P711" t="s">
        <v>43</v>
      </c>
      <c r="Q711" t="s">
        <v>42</v>
      </c>
      <c r="R711" t="s">
        <v>43</v>
      </c>
      <c r="S711" t="s">
        <v>42</v>
      </c>
      <c r="T711" t="s">
        <v>43</v>
      </c>
      <c r="U711" t="s">
        <v>42</v>
      </c>
      <c r="V711" t="s">
        <v>43</v>
      </c>
      <c r="W711" t="s">
        <v>42</v>
      </c>
      <c r="X711">
        <v>3</v>
      </c>
      <c r="Y711">
        <v>5</v>
      </c>
      <c r="Z711">
        <v>2</v>
      </c>
      <c r="AA711">
        <v>2</v>
      </c>
      <c r="AB711">
        <v>2</v>
      </c>
      <c r="AC711">
        <v>1</v>
      </c>
      <c r="AD711">
        <v>2</v>
      </c>
      <c r="AE711">
        <v>16</v>
      </c>
      <c r="AF711">
        <v>17</v>
      </c>
      <c r="AG711">
        <v>18</v>
      </c>
    </row>
    <row r="712" spans="1:33" x14ac:dyDescent="0.35">
      <c r="A712" t="s">
        <v>33</v>
      </c>
      <c r="B712" t="s">
        <v>34</v>
      </c>
      <c r="C712">
        <v>18</v>
      </c>
      <c r="D712" t="s">
        <v>35</v>
      </c>
      <c r="E712" t="s">
        <v>36</v>
      </c>
      <c r="F712" t="s">
        <v>44</v>
      </c>
      <c r="G712">
        <v>2</v>
      </c>
      <c r="H712">
        <v>1</v>
      </c>
      <c r="I712" t="s">
        <v>45</v>
      </c>
      <c r="J712" t="s">
        <v>45</v>
      </c>
      <c r="K712" t="s">
        <v>49</v>
      </c>
      <c r="L712" t="s">
        <v>41</v>
      </c>
      <c r="M712">
        <v>1</v>
      </c>
      <c r="N712">
        <v>2</v>
      </c>
      <c r="O712">
        <v>0</v>
      </c>
      <c r="P712" t="s">
        <v>43</v>
      </c>
      <c r="Q712" t="s">
        <v>42</v>
      </c>
      <c r="R712" t="s">
        <v>43</v>
      </c>
      <c r="S712" t="s">
        <v>43</v>
      </c>
      <c r="T712" t="s">
        <v>42</v>
      </c>
      <c r="U712" t="s">
        <v>42</v>
      </c>
      <c r="V712" t="s">
        <v>42</v>
      </c>
      <c r="W712" t="s">
        <v>42</v>
      </c>
      <c r="X712">
        <v>4</v>
      </c>
      <c r="Y712">
        <v>2</v>
      </c>
      <c r="Z712">
        <v>5</v>
      </c>
      <c r="AA712">
        <v>1</v>
      </c>
      <c r="AB712">
        <v>2</v>
      </c>
      <c r="AC712">
        <v>1</v>
      </c>
      <c r="AD712">
        <v>8</v>
      </c>
      <c r="AE712">
        <v>14</v>
      </c>
      <c r="AF712">
        <v>14</v>
      </c>
      <c r="AG712">
        <v>15</v>
      </c>
    </row>
    <row r="713" spans="1:33" x14ac:dyDescent="0.35">
      <c r="A713" t="s">
        <v>33</v>
      </c>
      <c r="B713" t="s">
        <v>34</v>
      </c>
      <c r="C713">
        <v>17</v>
      </c>
      <c r="D713" t="s">
        <v>35</v>
      </c>
      <c r="E713" t="s">
        <v>36</v>
      </c>
      <c r="F713" t="s">
        <v>44</v>
      </c>
      <c r="G713">
        <v>2</v>
      </c>
      <c r="H713">
        <v>4</v>
      </c>
      <c r="I713" t="s">
        <v>38</v>
      </c>
      <c r="J713" t="s">
        <v>28</v>
      </c>
      <c r="K713" t="s">
        <v>51</v>
      </c>
      <c r="L713" t="s">
        <v>41</v>
      </c>
      <c r="M713">
        <v>2</v>
      </c>
      <c r="N713">
        <v>2</v>
      </c>
      <c r="O713">
        <v>0</v>
      </c>
      <c r="P713" t="s">
        <v>43</v>
      </c>
      <c r="Q713" t="s">
        <v>42</v>
      </c>
      <c r="R713" t="s">
        <v>43</v>
      </c>
      <c r="S713" t="s">
        <v>43</v>
      </c>
      <c r="T713" t="s">
        <v>42</v>
      </c>
      <c r="U713" t="s">
        <v>42</v>
      </c>
      <c r="V713" t="s">
        <v>42</v>
      </c>
      <c r="W713" t="s">
        <v>42</v>
      </c>
      <c r="X713">
        <v>4</v>
      </c>
      <c r="Y713">
        <v>3</v>
      </c>
      <c r="Z713">
        <v>3</v>
      </c>
      <c r="AA713">
        <v>1</v>
      </c>
      <c r="AB713">
        <v>1</v>
      </c>
      <c r="AC713">
        <v>1</v>
      </c>
      <c r="AD713">
        <v>6</v>
      </c>
      <c r="AE713">
        <v>15</v>
      </c>
      <c r="AF713">
        <v>16</v>
      </c>
      <c r="AG713">
        <v>16</v>
      </c>
    </row>
    <row r="714" spans="1:33" x14ac:dyDescent="0.35">
      <c r="A714" t="s">
        <v>33</v>
      </c>
      <c r="B714" t="s">
        <v>34</v>
      </c>
      <c r="C714">
        <v>17</v>
      </c>
      <c r="D714" t="s">
        <v>35</v>
      </c>
      <c r="E714" t="s">
        <v>47</v>
      </c>
      <c r="F714" t="s">
        <v>44</v>
      </c>
      <c r="G714">
        <v>2</v>
      </c>
      <c r="H714">
        <v>2</v>
      </c>
      <c r="I714" t="s">
        <v>48</v>
      </c>
      <c r="J714" t="s">
        <v>45</v>
      </c>
      <c r="K714" t="s">
        <v>40</v>
      </c>
      <c r="L714" t="s">
        <v>41</v>
      </c>
      <c r="M714">
        <v>2</v>
      </c>
      <c r="N714">
        <v>2</v>
      </c>
      <c r="O714">
        <v>0</v>
      </c>
      <c r="P714" t="s">
        <v>42</v>
      </c>
      <c r="Q714" t="s">
        <v>42</v>
      </c>
      <c r="R714" t="s">
        <v>43</v>
      </c>
      <c r="S714" t="s">
        <v>43</v>
      </c>
      <c r="T714" t="s">
        <v>42</v>
      </c>
      <c r="U714" t="s">
        <v>42</v>
      </c>
      <c r="V714" t="s">
        <v>42</v>
      </c>
      <c r="W714" t="s">
        <v>42</v>
      </c>
      <c r="X714">
        <v>4</v>
      </c>
      <c r="Y714">
        <v>4</v>
      </c>
      <c r="Z714">
        <v>4</v>
      </c>
      <c r="AA714">
        <v>2</v>
      </c>
      <c r="AB714">
        <v>3</v>
      </c>
      <c r="AC714">
        <v>5</v>
      </c>
      <c r="AD714">
        <v>6</v>
      </c>
      <c r="AE714">
        <v>12</v>
      </c>
      <c r="AF714">
        <v>12</v>
      </c>
      <c r="AG714">
        <v>12</v>
      </c>
    </row>
    <row r="715" spans="1:33" x14ac:dyDescent="0.35">
      <c r="A715" t="s">
        <v>33</v>
      </c>
      <c r="B715" t="s">
        <v>34</v>
      </c>
      <c r="C715">
        <v>18</v>
      </c>
      <c r="D715" t="s">
        <v>52</v>
      </c>
      <c r="E715" t="s">
        <v>36</v>
      </c>
      <c r="F715" t="s">
        <v>37</v>
      </c>
      <c r="G715">
        <v>3</v>
      </c>
      <c r="H715">
        <v>2</v>
      </c>
      <c r="I715" t="s">
        <v>45</v>
      </c>
      <c r="J715" t="s">
        <v>48</v>
      </c>
      <c r="K715" t="s">
        <v>49</v>
      </c>
      <c r="L715" t="s">
        <v>41</v>
      </c>
      <c r="M715">
        <v>2</v>
      </c>
      <c r="N715">
        <v>2</v>
      </c>
      <c r="O715">
        <v>0</v>
      </c>
      <c r="P715" t="s">
        <v>43</v>
      </c>
      <c r="Q715" t="s">
        <v>43</v>
      </c>
      <c r="R715" t="s">
        <v>43</v>
      </c>
      <c r="S715" t="s">
        <v>43</v>
      </c>
      <c r="T715" t="s">
        <v>43</v>
      </c>
      <c r="U715" t="s">
        <v>43</v>
      </c>
      <c r="V715" t="s">
        <v>42</v>
      </c>
      <c r="W715" t="s">
        <v>42</v>
      </c>
      <c r="X715">
        <v>4</v>
      </c>
      <c r="Y715">
        <v>1</v>
      </c>
      <c r="Z715">
        <v>1</v>
      </c>
      <c r="AA715">
        <v>1</v>
      </c>
      <c r="AB715">
        <v>1</v>
      </c>
      <c r="AC715">
        <v>5</v>
      </c>
      <c r="AD715">
        <v>15</v>
      </c>
      <c r="AE715">
        <v>12</v>
      </c>
      <c r="AF715">
        <v>9</v>
      </c>
      <c r="AG715">
        <v>10</v>
      </c>
    </row>
    <row r="716" spans="1:33" x14ac:dyDescent="0.35">
      <c r="A716" t="s">
        <v>33</v>
      </c>
      <c r="B716" t="s">
        <v>50</v>
      </c>
      <c r="C716">
        <v>18</v>
      </c>
      <c r="D716" t="s">
        <v>35</v>
      </c>
      <c r="E716" t="s">
        <v>36</v>
      </c>
      <c r="F716" t="s">
        <v>44</v>
      </c>
      <c r="G716">
        <v>4</v>
      </c>
      <c r="H716">
        <v>4</v>
      </c>
      <c r="I716" t="s">
        <v>39</v>
      </c>
      <c r="J716" t="s">
        <v>48</v>
      </c>
      <c r="K716" t="s">
        <v>49</v>
      </c>
      <c r="L716" t="s">
        <v>41</v>
      </c>
      <c r="M716">
        <v>2</v>
      </c>
      <c r="N716">
        <v>1</v>
      </c>
      <c r="O716">
        <v>0</v>
      </c>
      <c r="P716" t="s">
        <v>43</v>
      </c>
      <c r="Q716" t="s">
        <v>43</v>
      </c>
      <c r="R716" t="s">
        <v>43</v>
      </c>
      <c r="S716" t="s">
        <v>42</v>
      </c>
      <c r="T716" t="s">
        <v>42</v>
      </c>
      <c r="U716" t="s">
        <v>42</v>
      </c>
      <c r="V716" t="s">
        <v>42</v>
      </c>
      <c r="W716" t="s">
        <v>43</v>
      </c>
      <c r="X716">
        <v>3</v>
      </c>
      <c r="Y716">
        <v>2</v>
      </c>
      <c r="Z716">
        <v>4</v>
      </c>
      <c r="AA716">
        <v>1</v>
      </c>
      <c r="AB716">
        <v>4</v>
      </c>
      <c r="AC716">
        <v>3</v>
      </c>
      <c r="AD716">
        <v>6</v>
      </c>
      <c r="AE716">
        <v>11</v>
      </c>
      <c r="AF716">
        <v>12</v>
      </c>
      <c r="AG716">
        <v>12</v>
      </c>
    </row>
    <row r="717" spans="1:33" x14ac:dyDescent="0.35">
      <c r="A717" t="s">
        <v>33</v>
      </c>
      <c r="B717" t="s">
        <v>34</v>
      </c>
      <c r="C717">
        <v>18</v>
      </c>
      <c r="D717" t="s">
        <v>35</v>
      </c>
      <c r="E717" t="s">
        <v>36</v>
      </c>
      <c r="F717" t="s">
        <v>44</v>
      </c>
      <c r="G717">
        <v>4</v>
      </c>
      <c r="H717">
        <v>4</v>
      </c>
      <c r="I717" t="s">
        <v>28</v>
      </c>
      <c r="J717" t="s">
        <v>28</v>
      </c>
      <c r="K717" t="s">
        <v>51</v>
      </c>
      <c r="L717" t="s">
        <v>46</v>
      </c>
      <c r="M717">
        <v>1</v>
      </c>
      <c r="N717">
        <v>2</v>
      </c>
      <c r="O717">
        <v>1</v>
      </c>
      <c r="P717" t="s">
        <v>42</v>
      </c>
      <c r="Q717" t="s">
        <v>42</v>
      </c>
      <c r="R717" t="s">
        <v>43</v>
      </c>
      <c r="S717" t="s">
        <v>42</v>
      </c>
      <c r="T717" t="s">
        <v>42</v>
      </c>
      <c r="U717" t="s">
        <v>42</v>
      </c>
      <c r="V717" t="s">
        <v>42</v>
      </c>
      <c r="W717" t="s">
        <v>42</v>
      </c>
      <c r="X717">
        <v>2</v>
      </c>
      <c r="Y717">
        <v>4</v>
      </c>
      <c r="Z717">
        <v>4</v>
      </c>
      <c r="AA717">
        <v>1</v>
      </c>
      <c r="AB717">
        <v>1</v>
      </c>
      <c r="AC717">
        <v>4</v>
      </c>
      <c r="AD717">
        <v>2</v>
      </c>
      <c r="AE717">
        <v>14</v>
      </c>
      <c r="AF717">
        <v>12</v>
      </c>
      <c r="AG717">
        <v>13</v>
      </c>
    </row>
    <row r="718" spans="1:33" x14ac:dyDescent="0.35">
      <c r="A718" t="s">
        <v>33</v>
      </c>
      <c r="B718" t="s">
        <v>34</v>
      </c>
      <c r="C718">
        <v>17</v>
      </c>
      <c r="D718" t="s">
        <v>35</v>
      </c>
      <c r="E718" t="s">
        <v>36</v>
      </c>
      <c r="F718" t="s">
        <v>44</v>
      </c>
      <c r="G718">
        <v>2</v>
      </c>
      <c r="H718">
        <v>2</v>
      </c>
      <c r="I718" t="s">
        <v>45</v>
      </c>
      <c r="J718" t="s">
        <v>48</v>
      </c>
      <c r="K718" t="s">
        <v>51</v>
      </c>
      <c r="L718" t="s">
        <v>46</v>
      </c>
      <c r="M718">
        <v>3</v>
      </c>
      <c r="N718">
        <v>3</v>
      </c>
      <c r="O718">
        <v>0</v>
      </c>
      <c r="P718" t="s">
        <v>43</v>
      </c>
      <c r="Q718" t="s">
        <v>42</v>
      </c>
      <c r="R718" t="s">
        <v>43</v>
      </c>
      <c r="S718" t="s">
        <v>43</v>
      </c>
      <c r="T718" t="s">
        <v>42</v>
      </c>
      <c r="U718" t="s">
        <v>42</v>
      </c>
      <c r="V718" t="s">
        <v>42</v>
      </c>
      <c r="W718" t="s">
        <v>42</v>
      </c>
      <c r="X718">
        <v>4</v>
      </c>
      <c r="Y718">
        <v>2</v>
      </c>
      <c r="Z718">
        <v>3</v>
      </c>
      <c r="AA718">
        <v>1</v>
      </c>
      <c r="AB718">
        <v>1</v>
      </c>
      <c r="AC718">
        <v>1</v>
      </c>
      <c r="AD718">
        <v>8</v>
      </c>
      <c r="AE718">
        <v>13</v>
      </c>
      <c r="AF718">
        <v>15</v>
      </c>
      <c r="AG718">
        <v>15</v>
      </c>
    </row>
    <row r="719" spans="1:33" x14ac:dyDescent="0.35">
      <c r="A719" t="s">
        <v>33</v>
      </c>
      <c r="B719" t="s">
        <v>34</v>
      </c>
      <c r="C719">
        <v>19</v>
      </c>
      <c r="D719" t="s">
        <v>52</v>
      </c>
      <c r="E719" t="s">
        <v>36</v>
      </c>
      <c r="F719" t="s">
        <v>44</v>
      </c>
      <c r="G719">
        <v>3</v>
      </c>
      <c r="H719">
        <v>2</v>
      </c>
      <c r="I719" t="s">
        <v>48</v>
      </c>
      <c r="J719" t="s">
        <v>48</v>
      </c>
      <c r="K719" t="s">
        <v>51</v>
      </c>
      <c r="L719" t="s">
        <v>46</v>
      </c>
      <c r="M719">
        <v>1</v>
      </c>
      <c r="N719">
        <v>2</v>
      </c>
      <c r="O719">
        <v>1</v>
      </c>
      <c r="P719" t="s">
        <v>42</v>
      </c>
      <c r="Q719" t="s">
        <v>42</v>
      </c>
      <c r="R719" t="s">
        <v>43</v>
      </c>
      <c r="S719" t="s">
        <v>43</v>
      </c>
      <c r="T719" t="s">
        <v>42</v>
      </c>
      <c r="U719" t="s">
        <v>43</v>
      </c>
      <c r="V719" t="s">
        <v>42</v>
      </c>
      <c r="W719" t="s">
        <v>43</v>
      </c>
      <c r="X719">
        <v>3</v>
      </c>
      <c r="Y719">
        <v>3</v>
      </c>
      <c r="Z719">
        <v>3</v>
      </c>
      <c r="AA719">
        <v>4</v>
      </c>
      <c r="AB719">
        <v>3</v>
      </c>
      <c r="AC719">
        <v>3</v>
      </c>
      <c r="AD719">
        <v>0</v>
      </c>
      <c r="AE719">
        <v>9</v>
      </c>
      <c r="AF719">
        <v>8</v>
      </c>
      <c r="AG719">
        <v>10</v>
      </c>
    </row>
    <row r="720" spans="1:33" x14ac:dyDescent="0.35">
      <c r="A720" t="s">
        <v>33</v>
      </c>
      <c r="B720" t="s">
        <v>50</v>
      </c>
      <c r="C720">
        <v>18</v>
      </c>
      <c r="D720" t="s">
        <v>35</v>
      </c>
      <c r="E720" t="s">
        <v>47</v>
      </c>
      <c r="F720" t="s">
        <v>44</v>
      </c>
      <c r="G720">
        <v>4</v>
      </c>
      <c r="H720">
        <v>3</v>
      </c>
      <c r="I720" t="s">
        <v>39</v>
      </c>
      <c r="J720" t="s">
        <v>48</v>
      </c>
      <c r="K720" t="s">
        <v>40</v>
      </c>
      <c r="L720" t="s">
        <v>41</v>
      </c>
      <c r="M720">
        <v>2</v>
      </c>
      <c r="N720">
        <v>1</v>
      </c>
      <c r="O720">
        <v>0</v>
      </c>
      <c r="P720" t="s">
        <v>43</v>
      </c>
      <c r="Q720" t="s">
        <v>43</v>
      </c>
      <c r="R720" t="s">
        <v>43</v>
      </c>
      <c r="S720" t="s">
        <v>42</v>
      </c>
      <c r="T720" t="s">
        <v>42</v>
      </c>
      <c r="U720" t="s">
        <v>42</v>
      </c>
      <c r="V720" t="s">
        <v>42</v>
      </c>
      <c r="W720" t="s">
        <v>43</v>
      </c>
      <c r="X720">
        <v>4</v>
      </c>
      <c r="Y720">
        <v>2</v>
      </c>
      <c r="Z720">
        <v>3</v>
      </c>
      <c r="AA720">
        <v>1</v>
      </c>
      <c r="AB720">
        <v>2</v>
      </c>
      <c r="AC720">
        <v>1</v>
      </c>
      <c r="AD720">
        <v>0</v>
      </c>
      <c r="AE720">
        <v>10</v>
      </c>
      <c r="AF720">
        <v>10</v>
      </c>
      <c r="AG720">
        <v>10</v>
      </c>
    </row>
    <row r="721" spans="1:33" x14ac:dyDescent="0.35">
      <c r="A721" t="s">
        <v>33</v>
      </c>
      <c r="B721" t="s">
        <v>50</v>
      </c>
      <c r="C721">
        <v>18</v>
      </c>
      <c r="D721" t="s">
        <v>35</v>
      </c>
      <c r="E721" t="s">
        <v>36</v>
      </c>
      <c r="F721" t="s">
        <v>44</v>
      </c>
      <c r="G721">
        <v>1</v>
      </c>
      <c r="H721">
        <v>2</v>
      </c>
      <c r="I721" t="s">
        <v>38</v>
      </c>
      <c r="J721" t="s">
        <v>45</v>
      </c>
      <c r="K721" t="s">
        <v>49</v>
      </c>
      <c r="L721" t="s">
        <v>45</v>
      </c>
      <c r="M721">
        <v>2</v>
      </c>
      <c r="N721">
        <v>1</v>
      </c>
      <c r="O721">
        <v>0</v>
      </c>
      <c r="P721" t="s">
        <v>43</v>
      </c>
      <c r="Q721" t="s">
        <v>43</v>
      </c>
      <c r="R721" t="s">
        <v>43</v>
      </c>
      <c r="S721" t="s">
        <v>43</v>
      </c>
      <c r="T721" t="s">
        <v>43</v>
      </c>
      <c r="U721" t="s">
        <v>43</v>
      </c>
      <c r="V721" t="s">
        <v>42</v>
      </c>
      <c r="W721" t="s">
        <v>43</v>
      </c>
      <c r="X721">
        <v>3</v>
      </c>
      <c r="Y721">
        <v>4</v>
      </c>
      <c r="Z721">
        <v>4</v>
      </c>
      <c r="AA721">
        <v>2</v>
      </c>
      <c r="AB721">
        <v>4</v>
      </c>
      <c r="AC721">
        <v>4</v>
      </c>
      <c r="AD721">
        <v>10</v>
      </c>
      <c r="AE721">
        <v>10</v>
      </c>
      <c r="AF721">
        <v>10</v>
      </c>
      <c r="AG721">
        <v>11</v>
      </c>
    </row>
    <row r="722" spans="1:33" x14ac:dyDescent="0.35">
      <c r="A722" t="s">
        <v>33</v>
      </c>
      <c r="B722" t="s">
        <v>50</v>
      </c>
      <c r="C722">
        <v>17</v>
      </c>
      <c r="D722" t="s">
        <v>35</v>
      </c>
      <c r="E722" t="s">
        <v>47</v>
      </c>
      <c r="F722" t="s">
        <v>37</v>
      </c>
      <c r="G722">
        <v>4</v>
      </c>
      <c r="H722">
        <v>1</v>
      </c>
      <c r="I722" t="s">
        <v>48</v>
      </c>
      <c r="J722" t="s">
        <v>45</v>
      </c>
      <c r="K722" t="s">
        <v>49</v>
      </c>
      <c r="L722" t="s">
        <v>41</v>
      </c>
      <c r="M722">
        <v>2</v>
      </c>
      <c r="N722">
        <v>1</v>
      </c>
      <c r="O722">
        <v>0</v>
      </c>
      <c r="P722" t="s">
        <v>43</v>
      </c>
      <c r="Q722" t="s">
        <v>43</v>
      </c>
      <c r="R722" t="s">
        <v>43</v>
      </c>
      <c r="S722" t="s">
        <v>42</v>
      </c>
      <c r="T722" t="s">
        <v>42</v>
      </c>
      <c r="U722" t="s">
        <v>42</v>
      </c>
      <c r="V722" t="s">
        <v>42</v>
      </c>
      <c r="W722" t="s">
        <v>42</v>
      </c>
      <c r="X722">
        <v>4</v>
      </c>
      <c r="Y722">
        <v>5</v>
      </c>
      <c r="Z722">
        <v>4</v>
      </c>
      <c r="AA722">
        <v>2</v>
      </c>
      <c r="AB722">
        <v>4</v>
      </c>
      <c r="AC722">
        <v>5</v>
      </c>
      <c r="AD722">
        <v>22</v>
      </c>
      <c r="AE722">
        <v>11</v>
      </c>
      <c r="AF722">
        <v>11</v>
      </c>
      <c r="AG722">
        <v>10</v>
      </c>
    </row>
    <row r="723" spans="1:33" x14ac:dyDescent="0.35">
      <c r="A723" t="s">
        <v>33</v>
      </c>
      <c r="B723" t="s">
        <v>50</v>
      </c>
      <c r="C723">
        <v>17</v>
      </c>
      <c r="D723" t="s">
        <v>35</v>
      </c>
      <c r="E723" t="s">
        <v>47</v>
      </c>
      <c r="F723" t="s">
        <v>37</v>
      </c>
      <c r="G723">
        <v>3</v>
      </c>
      <c r="H723">
        <v>2</v>
      </c>
      <c r="I723" t="s">
        <v>39</v>
      </c>
      <c r="J723" t="s">
        <v>48</v>
      </c>
      <c r="K723" t="s">
        <v>49</v>
      </c>
      <c r="L723" t="s">
        <v>41</v>
      </c>
      <c r="M723">
        <v>1</v>
      </c>
      <c r="N723">
        <v>1</v>
      </c>
      <c r="O723">
        <v>0</v>
      </c>
      <c r="P723" t="s">
        <v>43</v>
      </c>
      <c r="Q723" t="s">
        <v>43</v>
      </c>
      <c r="R723" t="s">
        <v>43</v>
      </c>
      <c r="S723" t="s">
        <v>43</v>
      </c>
      <c r="T723" t="s">
        <v>42</v>
      </c>
      <c r="U723" t="s">
        <v>42</v>
      </c>
      <c r="V723" t="s">
        <v>42</v>
      </c>
      <c r="W723" t="s">
        <v>43</v>
      </c>
      <c r="X723">
        <v>4</v>
      </c>
      <c r="Y723">
        <v>4</v>
      </c>
      <c r="Z723">
        <v>4</v>
      </c>
      <c r="AA723">
        <v>3</v>
      </c>
      <c r="AB723">
        <v>4</v>
      </c>
      <c r="AC723">
        <v>3</v>
      </c>
      <c r="AD723">
        <v>18</v>
      </c>
      <c r="AE723">
        <v>13</v>
      </c>
      <c r="AF723">
        <v>13</v>
      </c>
      <c r="AG723">
        <v>13</v>
      </c>
    </row>
    <row r="724" spans="1:33" x14ac:dyDescent="0.35">
      <c r="A724" t="s">
        <v>33</v>
      </c>
      <c r="B724" t="s">
        <v>34</v>
      </c>
      <c r="C724">
        <v>18</v>
      </c>
      <c r="D724" t="s">
        <v>52</v>
      </c>
      <c r="E724" t="s">
        <v>47</v>
      </c>
      <c r="F724" t="s">
        <v>44</v>
      </c>
      <c r="G724">
        <v>1</v>
      </c>
      <c r="H724">
        <v>1</v>
      </c>
      <c r="I724" t="s">
        <v>38</v>
      </c>
      <c r="J724" t="s">
        <v>45</v>
      </c>
      <c r="K724" t="s">
        <v>51</v>
      </c>
      <c r="L724" t="s">
        <v>41</v>
      </c>
      <c r="M724">
        <v>2</v>
      </c>
      <c r="N724">
        <v>4</v>
      </c>
      <c r="O724">
        <v>0</v>
      </c>
      <c r="P724" t="s">
        <v>43</v>
      </c>
      <c r="Q724" t="s">
        <v>42</v>
      </c>
      <c r="R724" t="s">
        <v>43</v>
      </c>
      <c r="S724" t="s">
        <v>42</v>
      </c>
      <c r="T724" t="s">
        <v>42</v>
      </c>
      <c r="U724" t="s">
        <v>42</v>
      </c>
      <c r="V724" t="s">
        <v>43</v>
      </c>
      <c r="W724" t="s">
        <v>43</v>
      </c>
      <c r="X724">
        <v>5</v>
      </c>
      <c r="Y724">
        <v>2</v>
      </c>
      <c r="Z724">
        <v>2</v>
      </c>
      <c r="AA724">
        <v>1</v>
      </c>
      <c r="AB724">
        <v>1</v>
      </c>
      <c r="AC724">
        <v>3</v>
      </c>
      <c r="AD724">
        <v>2</v>
      </c>
      <c r="AE724">
        <v>17</v>
      </c>
      <c r="AF724">
        <v>17</v>
      </c>
      <c r="AG724">
        <v>18</v>
      </c>
    </row>
    <row r="725" spans="1:33" x14ac:dyDescent="0.35">
      <c r="A725" t="s">
        <v>33</v>
      </c>
      <c r="B725" t="s">
        <v>34</v>
      </c>
      <c r="C725">
        <v>18</v>
      </c>
      <c r="D725" t="s">
        <v>35</v>
      </c>
      <c r="E725" t="s">
        <v>36</v>
      </c>
      <c r="F725" t="s">
        <v>44</v>
      </c>
      <c r="G725">
        <v>1</v>
      </c>
      <c r="H725">
        <v>1</v>
      </c>
      <c r="I725" t="s">
        <v>45</v>
      </c>
      <c r="J725" t="s">
        <v>45</v>
      </c>
      <c r="K725" t="s">
        <v>49</v>
      </c>
      <c r="L725" t="s">
        <v>41</v>
      </c>
      <c r="M725">
        <v>2</v>
      </c>
      <c r="N725">
        <v>2</v>
      </c>
      <c r="O725">
        <v>0</v>
      </c>
      <c r="P725" t="s">
        <v>42</v>
      </c>
      <c r="Q725" t="s">
        <v>43</v>
      </c>
      <c r="R725" t="s">
        <v>43</v>
      </c>
      <c r="S725" t="s">
        <v>42</v>
      </c>
      <c r="T725" t="s">
        <v>42</v>
      </c>
      <c r="U725" t="s">
        <v>42</v>
      </c>
      <c r="V725" t="s">
        <v>42</v>
      </c>
      <c r="W725" t="s">
        <v>43</v>
      </c>
      <c r="X725">
        <v>5</v>
      </c>
      <c r="Y725">
        <v>4</v>
      </c>
      <c r="Z725">
        <v>4</v>
      </c>
      <c r="AA725">
        <v>1</v>
      </c>
      <c r="AB725">
        <v>1</v>
      </c>
      <c r="AC725">
        <v>4</v>
      </c>
      <c r="AD725">
        <v>0</v>
      </c>
      <c r="AE725">
        <v>12</v>
      </c>
      <c r="AF725">
        <v>13</v>
      </c>
      <c r="AG725">
        <v>13</v>
      </c>
    </row>
    <row r="726" spans="1:33" x14ac:dyDescent="0.35">
      <c r="A726" t="s">
        <v>33</v>
      </c>
      <c r="B726" t="s">
        <v>34</v>
      </c>
      <c r="C726">
        <v>17</v>
      </c>
      <c r="D726" t="s">
        <v>35</v>
      </c>
      <c r="E726" t="s">
        <v>36</v>
      </c>
      <c r="F726" t="s">
        <v>44</v>
      </c>
      <c r="G726">
        <v>2</v>
      </c>
      <c r="H726">
        <v>2</v>
      </c>
      <c r="I726" t="s">
        <v>45</v>
      </c>
      <c r="J726" t="s">
        <v>45</v>
      </c>
      <c r="K726" t="s">
        <v>40</v>
      </c>
      <c r="L726" t="s">
        <v>41</v>
      </c>
      <c r="M726">
        <v>1</v>
      </c>
      <c r="N726">
        <v>2</v>
      </c>
      <c r="O726">
        <v>0</v>
      </c>
      <c r="P726" t="s">
        <v>43</v>
      </c>
      <c r="Q726" t="s">
        <v>42</v>
      </c>
      <c r="R726" t="s">
        <v>43</v>
      </c>
      <c r="S726" t="s">
        <v>43</v>
      </c>
      <c r="T726" t="s">
        <v>43</v>
      </c>
      <c r="U726" t="s">
        <v>42</v>
      </c>
      <c r="V726" t="s">
        <v>42</v>
      </c>
      <c r="W726" t="s">
        <v>43</v>
      </c>
      <c r="X726">
        <v>5</v>
      </c>
      <c r="Y726">
        <v>4</v>
      </c>
      <c r="Z726">
        <v>5</v>
      </c>
      <c r="AA726">
        <v>1</v>
      </c>
      <c r="AB726">
        <v>2</v>
      </c>
      <c r="AC726">
        <v>5</v>
      </c>
      <c r="AD726">
        <v>12</v>
      </c>
      <c r="AE726">
        <v>12</v>
      </c>
      <c r="AF726">
        <v>12</v>
      </c>
      <c r="AG726">
        <v>14</v>
      </c>
    </row>
    <row r="727" spans="1:33" x14ac:dyDescent="0.35">
      <c r="A727" t="s">
        <v>33</v>
      </c>
      <c r="B727" t="s">
        <v>34</v>
      </c>
      <c r="C727">
        <v>18</v>
      </c>
      <c r="D727" t="s">
        <v>35</v>
      </c>
      <c r="E727" t="s">
        <v>36</v>
      </c>
      <c r="F727" t="s">
        <v>44</v>
      </c>
      <c r="G727">
        <v>2</v>
      </c>
      <c r="H727">
        <v>1</v>
      </c>
      <c r="I727" t="s">
        <v>45</v>
      </c>
      <c r="J727" t="s">
        <v>45</v>
      </c>
      <c r="K727" t="s">
        <v>51</v>
      </c>
      <c r="L727" t="s">
        <v>41</v>
      </c>
      <c r="M727">
        <v>2</v>
      </c>
      <c r="N727">
        <v>2</v>
      </c>
      <c r="O727">
        <v>0</v>
      </c>
      <c r="P727" t="s">
        <v>43</v>
      </c>
      <c r="Q727" t="s">
        <v>43</v>
      </c>
      <c r="R727" t="s">
        <v>43</v>
      </c>
      <c r="S727" t="s">
        <v>42</v>
      </c>
      <c r="T727" t="s">
        <v>42</v>
      </c>
      <c r="U727" t="s">
        <v>42</v>
      </c>
      <c r="V727" t="s">
        <v>42</v>
      </c>
      <c r="W727" t="s">
        <v>42</v>
      </c>
      <c r="X727">
        <v>4</v>
      </c>
      <c r="Y727">
        <v>3</v>
      </c>
      <c r="Z727">
        <v>1</v>
      </c>
      <c r="AA727">
        <v>1</v>
      </c>
      <c r="AB727">
        <v>1</v>
      </c>
      <c r="AC727">
        <v>5</v>
      </c>
      <c r="AD727">
        <v>10</v>
      </c>
      <c r="AE727">
        <v>12</v>
      </c>
      <c r="AF727">
        <v>13</v>
      </c>
      <c r="AG727">
        <v>14</v>
      </c>
    </row>
    <row r="728" spans="1:33" x14ac:dyDescent="0.35">
      <c r="A728" t="s">
        <v>33</v>
      </c>
      <c r="B728" t="s">
        <v>50</v>
      </c>
      <c r="C728">
        <v>17</v>
      </c>
      <c r="D728" t="s">
        <v>35</v>
      </c>
      <c r="E728" t="s">
        <v>36</v>
      </c>
      <c r="F728" t="s">
        <v>44</v>
      </c>
      <c r="G728">
        <v>1</v>
      </c>
      <c r="H728">
        <v>1</v>
      </c>
      <c r="I728" t="s">
        <v>45</v>
      </c>
      <c r="J728" t="s">
        <v>45</v>
      </c>
      <c r="K728" t="s">
        <v>51</v>
      </c>
      <c r="L728" t="s">
        <v>46</v>
      </c>
      <c r="M728">
        <v>1</v>
      </c>
      <c r="N728">
        <v>2</v>
      </c>
      <c r="O728">
        <v>0</v>
      </c>
      <c r="P728" t="s">
        <v>43</v>
      </c>
      <c r="Q728" t="s">
        <v>43</v>
      </c>
      <c r="R728" t="s">
        <v>43</v>
      </c>
      <c r="S728" t="s">
        <v>43</v>
      </c>
      <c r="T728" t="s">
        <v>43</v>
      </c>
      <c r="U728" t="s">
        <v>42</v>
      </c>
      <c r="V728" t="s">
        <v>42</v>
      </c>
      <c r="W728" t="s">
        <v>43</v>
      </c>
      <c r="X728">
        <v>4</v>
      </c>
      <c r="Y728">
        <v>3</v>
      </c>
      <c r="Z728">
        <v>3</v>
      </c>
      <c r="AA728">
        <v>1</v>
      </c>
      <c r="AB728">
        <v>2</v>
      </c>
      <c r="AC728">
        <v>4</v>
      </c>
      <c r="AD728">
        <v>0</v>
      </c>
      <c r="AE728">
        <v>12</v>
      </c>
      <c r="AF728">
        <v>12</v>
      </c>
      <c r="AG728">
        <v>12</v>
      </c>
    </row>
    <row r="729" spans="1:33" x14ac:dyDescent="0.35">
      <c r="A729" t="s">
        <v>33</v>
      </c>
      <c r="B729" t="s">
        <v>34</v>
      </c>
      <c r="C729">
        <v>18</v>
      </c>
      <c r="D729" t="s">
        <v>35</v>
      </c>
      <c r="E729" t="s">
        <v>36</v>
      </c>
      <c r="F729" t="s">
        <v>44</v>
      </c>
      <c r="G729">
        <v>2</v>
      </c>
      <c r="H729">
        <v>2</v>
      </c>
      <c r="I729" t="s">
        <v>38</v>
      </c>
      <c r="J729" t="s">
        <v>38</v>
      </c>
      <c r="K729" t="s">
        <v>45</v>
      </c>
      <c r="L729" t="s">
        <v>41</v>
      </c>
      <c r="M729">
        <v>1</v>
      </c>
      <c r="N729">
        <v>3</v>
      </c>
      <c r="O729">
        <v>0</v>
      </c>
      <c r="P729" t="s">
        <v>43</v>
      </c>
      <c r="Q729" t="s">
        <v>42</v>
      </c>
      <c r="R729" t="s">
        <v>43</v>
      </c>
      <c r="S729" t="s">
        <v>43</v>
      </c>
      <c r="T729" t="s">
        <v>42</v>
      </c>
      <c r="U729" t="s">
        <v>42</v>
      </c>
      <c r="V729" t="s">
        <v>42</v>
      </c>
      <c r="W729" t="s">
        <v>43</v>
      </c>
      <c r="X729">
        <v>4</v>
      </c>
      <c r="Y729">
        <v>3</v>
      </c>
      <c r="Z729">
        <v>3</v>
      </c>
      <c r="AA729">
        <v>1</v>
      </c>
      <c r="AB729">
        <v>2</v>
      </c>
      <c r="AC729">
        <v>2</v>
      </c>
      <c r="AD729">
        <v>0</v>
      </c>
      <c r="AE729">
        <v>18</v>
      </c>
      <c r="AF729">
        <v>18</v>
      </c>
      <c r="AG729">
        <v>18</v>
      </c>
    </row>
    <row r="730" spans="1:33" x14ac:dyDescent="0.35">
      <c r="A730" t="s">
        <v>33</v>
      </c>
      <c r="B730" t="s">
        <v>34</v>
      </c>
      <c r="C730">
        <v>17</v>
      </c>
      <c r="D730" t="s">
        <v>35</v>
      </c>
      <c r="E730" t="s">
        <v>36</v>
      </c>
      <c r="F730" t="s">
        <v>44</v>
      </c>
      <c r="G730">
        <v>1</v>
      </c>
      <c r="H730">
        <v>1</v>
      </c>
      <c r="I730" t="s">
        <v>48</v>
      </c>
      <c r="J730" t="s">
        <v>39</v>
      </c>
      <c r="K730" t="s">
        <v>51</v>
      </c>
      <c r="L730" t="s">
        <v>41</v>
      </c>
      <c r="M730">
        <v>1</v>
      </c>
      <c r="N730">
        <v>3</v>
      </c>
      <c r="O730">
        <v>0</v>
      </c>
      <c r="P730" t="s">
        <v>43</v>
      </c>
      <c r="Q730" t="s">
        <v>42</v>
      </c>
      <c r="R730" t="s">
        <v>43</v>
      </c>
      <c r="S730" t="s">
        <v>43</v>
      </c>
      <c r="T730" t="s">
        <v>42</v>
      </c>
      <c r="U730" t="s">
        <v>42</v>
      </c>
      <c r="V730" t="s">
        <v>42</v>
      </c>
      <c r="W730" t="s">
        <v>43</v>
      </c>
      <c r="X730">
        <v>4</v>
      </c>
      <c r="Y730">
        <v>3</v>
      </c>
      <c r="Z730">
        <v>3</v>
      </c>
      <c r="AA730">
        <v>1</v>
      </c>
      <c r="AB730">
        <v>1</v>
      </c>
      <c r="AC730">
        <v>3</v>
      </c>
      <c r="AD730">
        <v>0</v>
      </c>
      <c r="AE730">
        <v>13</v>
      </c>
      <c r="AF730">
        <v>13</v>
      </c>
      <c r="AG730">
        <v>14</v>
      </c>
    </row>
    <row r="731" spans="1:33" x14ac:dyDescent="0.35">
      <c r="A731" t="s">
        <v>33</v>
      </c>
      <c r="B731" t="s">
        <v>50</v>
      </c>
      <c r="C731">
        <v>18</v>
      </c>
      <c r="D731" t="s">
        <v>35</v>
      </c>
      <c r="E731" t="s">
        <v>36</v>
      </c>
      <c r="F731" t="s">
        <v>44</v>
      </c>
      <c r="G731">
        <v>2</v>
      </c>
      <c r="H731">
        <v>1</v>
      </c>
      <c r="I731" t="s">
        <v>48</v>
      </c>
      <c r="J731" t="s">
        <v>48</v>
      </c>
      <c r="K731" t="s">
        <v>51</v>
      </c>
      <c r="L731" t="s">
        <v>41</v>
      </c>
      <c r="M731">
        <v>1</v>
      </c>
      <c r="N731">
        <v>3</v>
      </c>
      <c r="O731">
        <v>0</v>
      </c>
      <c r="P731" t="s">
        <v>43</v>
      </c>
      <c r="Q731" t="s">
        <v>43</v>
      </c>
      <c r="R731" t="s">
        <v>43</v>
      </c>
      <c r="S731" t="s">
        <v>42</v>
      </c>
      <c r="T731" t="s">
        <v>42</v>
      </c>
      <c r="U731" t="s">
        <v>42</v>
      </c>
      <c r="V731" t="s">
        <v>42</v>
      </c>
      <c r="W731" t="s">
        <v>43</v>
      </c>
      <c r="X731">
        <v>4</v>
      </c>
      <c r="Y731">
        <v>2</v>
      </c>
      <c r="Z731">
        <v>4</v>
      </c>
      <c r="AA731">
        <v>1</v>
      </c>
      <c r="AB731">
        <v>3</v>
      </c>
      <c r="AC731">
        <v>2</v>
      </c>
      <c r="AD731">
        <v>0</v>
      </c>
      <c r="AE731">
        <v>14</v>
      </c>
      <c r="AF731">
        <v>15</v>
      </c>
      <c r="AG731">
        <v>15</v>
      </c>
    </row>
    <row r="732" spans="1:33" x14ac:dyDescent="0.35">
      <c r="A732" t="s">
        <v>33</v>
      </c>
      <c r="B732" t="s">
        <v>50</v>
      </c>
      <c r="C732">
        <v>18</v>
      </c>
      <c r="D732" t="s">
        <v>35</v>
      </c>
      <c r="E732" t="s">
        <v>47</v>
      </c>
      <c r="F732" t="s">
        <v>37</v>
      </c>
      <c r="G732">
        <v>4</v>
      </c>
      <c r="H732">
        <v>4</v>
      </c>
      <c r="I732" t="s">
        <v>39</v>
      </c>
      <c r="J732" t="s">
        <v>39</v>
      </c>
      <c r="K732" t="s">
        <v>51</v>
      </c>
      <c r="L732" t="s">
        <v>41</v>
      </c>
      <c r="M732">
        <v>1</v>
      </c>
      <c r="N732">
        <v>2</v>
      </c>
      <c r="O732">
        <v>0</v>
      </c>
      <c r="P732" t="s">
        <v>43</v>
      </c>
      <c r="Q732" t="s">
        <v>42</v>
      </c>
      <c r="R732" t="s">
        <v>43</v>
      </c>
      <c r="S732" t="s">
        <v>42</v>
      </c>
      <c r="T732" t="s">
        <v>42</v>
      </c>
      <c r="U732" t="s">
        <v>42</v>
      </c>
      <c r="V732" t="s">
        <v>42</v>
      </c>
      <c r="W732" t="s">
        <v>43</v>
      </c>
      <c r="X732">
        <v>5</v>
      </c>
      <c r="Y732">
        <v>4</v>
      </c>
      <c r="Z732">
        <v>3</v>
      </c>
      <c r="AA732">
        <v>1</v>
      </c>
      <c r="AB732">
        <v>1</v>
      </c>
      <c r="AC732">
        <v>2</v>
      </c>
      <c r="AD732">
        <v>0</v>
      </c>
      <c r="AE732">
        <v>17</v>
      </c>
      <c r="AF732">
        <v>17</v>
      </c>
      <c r="AG732">
        <v>17</v>
      </c>
    </row>
    <row r="733" spans="1:33" x14ac:dyDescent="0.35">
      <c r="A733" t="s">
        <v>33</v>
      </c>
      <c r="B733" t="s">
        <v>50</v>
      </c>
      <c r="C733">
        <v>18</v>
      </c>
      <c r="D733" t="s">
        <v>35</v>
      </c>
      <c r="E733" t="s">
        <v>36</v>
      </c>
      <c r="F733" t="s">
        <v>44</v>
      </c>
      <c r="G733">
        <v>4</v>
      </c>
      <c r="H733">
        <v>2</v>
      </c>
      <c r="I733" t="s">
        <v>39</v>
      </c>
      <c r="J733" t="s">
        <v>45</v>
      </c>
      <c r="K733" t="s">
        <v>49</v>
      </c>
      <c r="L733" t="s">
        <v>41</v>
      </c>
      <c r="M733">
        <v>1</v>
      </c>
      <c r="N733">
        <v>2</v>
      </c>
      <c r="O733">
        <v>0</v>
      </c>
      <c r="P733" t="s">
        <v>43</v>
      </c>
      <c r="Q733" t="s">
        <v>42</v>
      </c>
      <c r="R733" t="s">
        <v>43</v>
      </c>
      <c r="S733" t="s">
        <v>42</v>
      </c>
      <c r="T733" t="s">
        <v>42</v>
      </c>
      <c r="U733" t="s">
        <v>42</v>
      </c>
      <c r="V733" t="s">
        <v>42</v>
      </c>
      <c r="W733" t="s">
        <v>42</v>
      </c>
      <c r="X733">
        <v>4</v>
      </c>
      <c r="Y733">
        <v>3</v>
      </c>
      <c r="Z733">
        <v>2</v>
      </c>
      <c r="AA733">
        <v>1</v>
      </c>
      <c r="AB733">
        <v>4</v>
      </c>
      <c r="AC733">
        <v>5</v>
      </c>
      <c r="AD733">
        <v>2</v>
      </c>
      <c r="AE733">
        <v>15</v>
      </c>
      <c r="AF733">
        <v>16</v>
      </c>
      <c r="AG733">
        <v>16</v>
      </c>
    </row>
    <row r="734" spans="1:33" x14ac:dyDescent="0.35">
      <c r="A734" t="s">
        <v>33</v>
      </c>
      <c r="B734" t="s">
        <v>34</v>
      </c>
      <c r="C734">
        <v>17</v>
      </c>
      <c r="D734" t="s">
        <v>35</v>
      </c>
      <c r="E734" t="s">
        <v>36</v>
      </c>
      <c r="F734" t="s">
        <v>44</v>
      </c>
      <c r="G734">
        <v>4</v>
      </c>
      <c r="H734">
        <v>3</v>
      </c>
      <c r="I734" t="s">
        <v>28</v>
      </c>
      <c r="J734" t="s">
        <v>48</v>
      </c>
      <c r="K734" t="s">
        <v>51</v>
      </c>
      <c r="L734" t="s">
        <v>41</v>
      </c>
      <c r="M734">
        <v>1</v>
      </c>
      <c r="N734">
        <v>3</v>
      </c>
      <c r="O734">
        <v>0</v>
      </c>
      <c r="P734" t="s">
        <v>43</v>
      </c>
      <c r="Q734" t="s">
        <v>42</v>
      </c>
      <c r="R734" t="s">
        <v>43</v>
      </c>
      <c r="S734" t="s">
        <v>43</v>
      </c>
      <c r="T734" t="s">
        <v>42</v>
      </c>
      <c r="U734" t="s">
        <v>42</v>
      </c>
      <c r="V734" t="s">
        <v>42</v>
      </c>
      <c r="W734" t="s">
        <v>43</v>
      </c>
      <c r="X734">
        <v>4</v>
      </c>
      <c r="Y734">
        <v>2</v>
      </c>
      <c r="Z734">
        <v>2</v>
      </c>
      <c r="AA734">
        <v>1</v>
      </c>
      <c r="AB734">
        <v>2</v>
      </c>
      <c r="AC734">
        <v>3</v>
      </c>
      <c r="AD734">
        <v>0</v>
      </c>
      <c r="AE734">
        <v>17</v>
      </c>
      <c r="AF734">
        <v>18</v>
      </c>
      <c r="AG734">
        <v>18</v>
      </c>
    </row>
    <row r="735" spans="1:33" x14ac:dyDescent="0.35">
      <c r="A735" t="s">
        <v>33</v>
      </c>
      <c r="B735" t="s">
        <v>34</v>
      </c>
      <c r="C735">
        <v>17</v>
      </c>
      <c r="D735" t="s">
        <v>52</v>
      </c>
      <c r="E735" t="s">
        <v>47</v>
      </c>
      <c r="F735" t="s">
        <v>44</v>
      </c>
      <c r="G735">
        <v>3</v>
      </c>
      <c r="H735">
        <v>1</v>
      </c>
      <c r="I735" t="s">
        <v>48</v>
      </c>
      <c r="J735" t="s">
        <v>45</v>
      </c>
      <c r="K735" t="s">
        <v>51</v>
      </c>
      <c r="L735" t="s">
        <v>41</v>
      </c>
      <c r="M735">
        <v>2</v>
      </c>
      <c r="N735">
        <v>4</v>
      </c>
      <c r="O735">
        <v>0</v>
      </c>
      <c r="P735" t="s">
        <v>43</v>
      </c>
      <c r="Q735" t="s">
        <v>42</v>
      </c>
      <c r="R735" t="s">
        <v>43</v>
      </c>
      <c r="S735" t="s">
        <v>43</v>
      </c>
      <c r="T735" t="s">
        <v>42</v>
      </c>
      <c r="U735" t="s">
        <v>42</v>
      </c>
      <c r="V735" t="s">
        <v>43</v>
      </c>
      <c r="W735" t="s">
        <v>43</v>
      </c>
      <c r="X735">
        <v>3</v>
      </c>
      <c r="Y735">
        <v>1</v>
      </c>
      <c r="Z735">
        <v>2</v>
      </c>
      <c r="AA735">
        <v>1</v>
      </c>
      <c r="AB735">
        <v>1</v>
      </c>
      <c r="AC735">
        <v>3</v>
      </c>
      <c r="AD735">
        <v>0</v>
      </c>
      <c r="AE735">
        <v>18</v>
      </c>
      <c r="AF735">
        <v>19</v>
      </c>
      <c r="AG735">
        <v>19</v>
      </c>
    </row>
    <row r="736" spans="1:33" x14ac:dyDescent="0.35">
      <c r="A736" t="s">
        <v>33</v>
      </c>
      <c r="B736" t="s">
        <v>50</v>
      </c>
      <c r="C736">
        <v>18</v>
      </c>
      <c r="D736" t="s">
        <v>52</v>
      </c>
      <c r="E736" t="s">
        <v>47</v>
      </c>
      <c r="F736" t="s">
        <v>44</v>
      </c>
      <c r="G736">
        <v>3</v>
      </c>
      <c r="H736">
        <v>2</v>
      </c>
      <c r="I736" t="s">
        <v>48</v>
      </c>
      <c r="J736" t="s">
        <v>45</v>
      </c>
      <c r="K736" t="s">
        <v>51</v>
      </c>
      <c r="L736" t="s">
        <v>41</v>
      </c>
      <c r="M736">
        <v>2</v>
      </c>
      <c r="N736">
        <v>3</v>
      </c>
      <c r="O736">
        <v>0</v>
      </c>
      <c r="P736" t="s">
        <v>43</v>
      </c>
      <c r="Q736" t="s">
        <v>42</v>
      </c>
      <c r="R736" t="s">
        <v>43</v>
      </c>
      <c r="S736" t="s">
        <v>42</v>
      </c>
      <c r="T736" t="s">
        <v>42</v>
      </c>
      <c r="U736" t="s">
        <v>42</v>
      </c>
      <c r="V736" t="s">
        <v>42</v>
      </c>
      <c r="W736" t="s">
        <v>43</v>
      </c>
      <c r="X736">
        <v>5</v>
      </c>
      <c r="Y736">
        <v>4</v>
      </c>
      <c r="Z736">
        <v>2</v>
      </c>
      <c r="AA736">
        <v>1</v>
      </c>
      <c r="AB736">
        <v>1</v>
      </c>
      <c r="AC736">
        <v>4</v>
      </c>
      <c r="AD736">
        <v>0</v>
      </c>
      <c r="AE736">
        <v>14</v>
      </c>
      <c r="AF736">
        <v>15</v>
      </c>
      <c r="AG736">
        <v>15</v>
      </c>
    </row>
    <row r="737" spans="1:33" x14ac:dyDescent="0.35">
      <c r="A737" t="s">
        <v>33</v>
      </c>
      <c r="B737" t="s">
        <v>50</v>
      </c>
      <c r="C737">
        <v>17</v>
      </c>
      <c r="D737" t="s">
        <v>35</v>
      </c>
      <c r="E737" t="s">
        <v>36</v>
      </c>
      <c r="F737" t="s">
        <v>44</v>
      </c>
      <c r="G737">
        <v>3</v>
      </c>
      <c r="H737">
        <v>3</v>
      </c>
      <c r="I737" t="s">
        <v>28</v>
      </c>
      <c r="J737" t="s">
        <v>45</v>
      </c>
      <c r="K737" t="s">
        <v>49</v>
      </c>
      <c r="L737" t="s">
        <v>41</v>
      </c>
      <c r="M737">
        <v>1</v>
      </c>
      <c r="N737">
        <v>1</v>
      </c>
      <c r="O737">
        <v>0</v>
      </c>
      <c r="P737" t="s">
        <v>43</v>
      </c>
      <c r="Q737" t="s">
        <v>42</v>
      </c>
      <c r="R737" t="s">
        <v>43</v>
      </c>
      <c r="S737" t="s">
        <v>43</v>
      </c>
      <c r="T737" t="s">
        <v>42</v>
      </c>
      <c r="U737" t="s">
        <v>42</v>
      </c>
      <c r="V737" t="s">
        <v>42</v>
      </c>
      <c r="W737" t="s">
        <v>43</v>
      </c>
      <c r="X737">
        <v>4</v>
      </c>
      <c r="Y737">
        <v>4</v>
      </c>
      <c r="Z737">
        <v>3</v>
      </c>
      <c r="AA737">
        <v>1</v>
      </c>
      <c r="AB737">
        <v>3</v>
      </c>
      <c r="AC737">
        <v>5</v>
      </c>
      <c r="AD737">
        <v>0</v>
      </c>
      <c r="AE737">
        <v>14</v>
      </c>
      <c r="AF737">
        <v>15</v>
      </c>
      <c r="AG737">
        <v>15</v>
      </c>
    </row>
    <row r="738" spans="1:33" x14ac:dyDescent="0.35">
      <c r="A738" t="s">
        <v>33</v>
      </c>
      <c r="B738" t="s">
        <v>34</v>
      </c>
      <c r="C738">
        <v>19</v>
      </c>
      <c r="D738" t="s">
        <v>35</v>
      </c>
      <c r="E738" t="s">
        <v>36</v>
      </c>
      <c r="F738" t="s">
        <v>44</v>
      </c>
      <c r="G738">
        <v>4</v>
      </c>
      <c r="H738">
        <v>4</v>
      </c>
      <c r="I738" t="s">
        <v>28</v>
      </c>
      <c r="J738" t="s">
        <v>45</v>
      </c>
      <c r="K738" t="s">
        <v>51</v>
      </c>
      <c r="L738" t="s">
        <v>45</v>
      </c>
      <c r="M738">
        <v>2</v>
      </c>
      <c r="N738">
        <v>2</v>
      </c>
      <c r="O738">
        <v>0</v>
      </c>
      <c r="P738" t="s">
        <v>43</v>
      </c>
      <c r="Q738" t="s">
        <v>42</v>
      </c>
      <c r="R738" t="s">
        <v>43</v>
      </c>
      <c r="S738" t="s">
        <v>42</v>
      </c>
      <c r="T738" t="s">
        <v>42</v>
      </c>
      <c r="U738" t="s">
        <v>42</v>
      </c>
      <c r="V738" t="s">
        <v>42</v>
      </c>
      <c r="W738" t="s">
        <v>43</v>
      </c>
      <c r="X738">
        <v>2</v>
      </c>
      <c r="Y738">
        <v>3</v>
      </c>
      <c r="Z738">
        <v>4</v>
      </c>
      <c r="AA738">
        <v>2</v>
      </c>
      <c r="AB738">
        <v>3</v>
      </c>
      <c r="AC738">
        <v>2</v>
      </c>
      <c r="AD738">
        <v>2</v>
      </c>
      <c r="AE738">
        <v>14</v>
      </c>
      <c r="AF738">
        <v>13</v>
      </c>
      <c r="AG738">
        <v>13</v>
      </c>
    </row>
    <row r="739" spans="1:33" x14ac:dyDescent="0.35">
      <c r="A739" t="s">
        <v>33</v>
      </c>
      <c r="B739" t="s">
        <v>34</v>
      </c>
      <c r="C739">
        <v>18</v>
      </c>
      <c r="D739" t="s">
        <v>35</v>
      </c>
      <c r="E739" t="s">
        <v>47</v>
      </c>
      <c r="F739" t="s">
        <v>44</v>
      </c>
      <c r="G739">
        <v>4</v>
      </c>
      <c r="H739">
        <v>3</v>
      </c>
      <c r="I739" t="s">
        <v>45</v>
      </c>
      <c r="J739" t="s">
        <v>45</v>
      </c>
      <c r="K739" t="s">
        <v>49</v>
      </c>
      <c r="L739" t="s">
        <v>45</v>
      </c>
      <c r="M739">
        <v>2</v>
      </c>
      <c r="N739">
        <v>2</v>
      </c>
      <c r="O739">
        <v>0</v>
      </c>
      <c r="P739" t="s">
        <v>43</v>
      </c>
      <c r="Q739" t="s">
        <v>42</v>
      </c>
      <c r="R739" t="s">
        <v>43</v>
      </c>
      <c r="S739" t="s">
        <v>43</v>
      </c>
      <c r="T739" t="s">
        <v>42</v>
      </c>
      <c r="U739" t="s">
        <v>42</v>
      </c>
      <c r="V739" t="s">
        <v>42</v>
      </c>
      <c r="W739" t="s">
        <v>42</v>
      </c>
      <c r="X739">
        <v>4</v>
      </c>
      <c r="Y739">
        <v>4</v>
      </c>
      <c r="Z739">
        <v>5</v>
      </c>
      <c r="AA739">
        <v>1</v>
      </c>
      <c r="AB739">
        <v>2</v>
      </c>
      <c r="AC739">
        <v>2</v>
      </c>
      <c r="AD739">
        <v>0</v>
      </c>
      <c r="AE739">
        <v>13</v>
      </c>
      <c r="AF739">
        <v>14</v>
      </c>
      <c r="AG739">
        <v>14</v>
      </c>
    </row>
    <row r="740" spans="1:33" x14ac:dyDescent="0.35">
      <c r="A740" t="s">
        <v>33</v>
      </c>
      <c r="B740" t="s">
        <v>34</v>
      </c>
      <c r="C740">
        <v>18</v>
      </c>
      <c r="D740" t="s">
        <v>35</v>
      </c>
      <c r="E740" t="s">
        <v>36</v>
      </c>
      <c r="F740" t="s">
        <v>44</v>
      </c>
      <c r="G740">
        <v>4</v>
      </c>
      <c r="H740">
        <v>3</v>
      </c>
      <c r="I740" t="s">
        <v>45</v>
      </c>
      <c r="J740" t="s">
        <v>45</v>
      </c>
      <c r="K740" t="s">
        <v>51</v>
      </c>
      <c r="L740" t="s">
        <v>46</v>
      </c>
      <c r="M740">
        <v>1</v>
      </c>
      <c r="N740">
        <v>4</v>
      </c>
      <c r="O740">
        <v>0</v>
      </c>
      <c r="P740" t="s">
        <v>43</v>
      </c>
      <c r="Q740" t="s">
        <v>42</v>
      </c>
      <c r="R740" t="s">
        <v>43</v>
      </c>
      <c r="S740" t="s">
        <v>43</v>
      </c>
      <c r="T740" t="s">
        <v>42</v>
      </c>
      <c r="U740" t="s">
        <v>42</v>
      </c>
      <c r="V740" t="s">
        <v>42</v>
      </c>
      <c r="W740" t="s">
        <v>43</v>
      </c>
      <c r="X740">
        <v>4</v>
      </c>
      <c r="Y740">
        <v>3</v>
      </c>
      <c r="Z740">
        <v>3</v>
      </c>
      <c r="AA740">
        <v>1</v>
      </c>
      <c r="AB740">
        <v>1</v>
      </c>
      <c r="AC740">
        <v>3</v>
      </c>
      <c r="AD740">
        <v>0</v>
      </c>
      <c r="AE740">
        <v>16</v>
      </c>
      <c r="AF740">
        <v>17</v>
      </c>
      <c r="AG740">
        <v>17</v>
      </c>
    </row>
    <row r="741" spans="1:33" x14ac:dyDescent="0.35">
      <c r="A741" t="s">
        <v>33</v>
      </c>
      <c r="B741" t="s">
        <v>50</v>
      </c>
      <c r="C741">
        <v>18</v>
      </c>
      <c r="D741" t="s">
        <v>35</v>
      </c>
      <c r="E741" t="s">
        <v>47</v>
      </c>
      <c r="F741" t="s">
        <v>44</v>
      </c>
      <c r="G741">
        <v>4</v>
      </c>
      <c r="H741">
        <v>4</v>
      </c>
      <c r="I741" t="s">
        <v>39</v>
      </c>
      <c r="J741" t="s">
        <v>39</v>
      </c>
      <c r="K741" t="s">
        <v>49</v>
      </c>
      <c r="L741" t="s">
        <v>41</v>
      </c>
      <c r="M741">
        <v>1</v>
      </c>
      <c r="N741">
        <v>1</v>
      </c>
      <c r="O741">
        <v>0</v>
      </c>
      <c r="P741" t="s">
        <v>43</v>
      </c>
      <c r="Q741" t="s">
        <v>42</v>
      </c>
      <c r="R741" t="s">
        <v>43</v>
      </c>
      <c r="S741" t="s">
        <v>43</v>
      </c>
      <c r="T741" t="s">
        <v>42</v>
      </c>
      <c r="U741" t="s">
        <v>42</v>
      </c>
      <c r="V741" t="s">
        <v>42</v>
      </c>
      <c r="W741" t="s">
        <v>42</v>
      </c>
      <c r="X741">
        <v>1</v>
      </c>
      <c r="Y741">
        <v>4</v>
      </c>
      <c r="Z741">
        <v>2</v>
      </c>
      <c r="AA741">
        <v>2</v>
      </c>
      <c r="AB741">
        <v>2</v>
      </c>
      <c r="AC741">
        <v>1</v>
      </c>
      <c r="AD741">
        <v>0</v>
      </c>
      <c r="AE741">
        <v>18</v>
      </c>
      <c r="AF741">
        <v>18</v>
      </c>
      <c r="AG741">
        <v>17</v>
      </c>
    </row>
    <row r="742" spans="1:33" x14ac:dyDescent="0.35">
      <c r="A742" t="s">
        <v>33</v>
      </c>
      <c r="B742" t="s">
        <v>34</v>
      </c>
      <c r="C742">
        <v>18</v>
      </c>
      <c r="D742" t="s">
        <v>35</v>
      </c>
      <c r="E742" t="s">
        <v>47</v>
      </c>
      <c r="F742" t="s">
        <v>37</v>
      </c>
      <c r="G742">
        <v>4</v>
      </c>
      <c r="H742">
        <v>4</v>
      </c>
      <c r="I742" t="s">
        <v>28</v>
      </c>
      <c r="J742" t="s">
        <v>45</v>
      </c>
      <c r="K742" t="s">
        <v>49</v>
      </c>
      <c r="L742" t="s">
        <v>41</v>
      </c>
      <c r="M742">
        <v>1</v>
      </c>
      <c r="N742">
        <v>2</v>
      </c>
      <c r="O742">
        <v>0</v>
      </c>
      <c r="P742" t="s">
        <v>43</v>
      </c>
      <c r="Q742" t="s">
        <v>42</v>
      </c>
      <c r="R742" t="s">
        <v>42</v>
      </c>
      <c r="S742" t="s">
        <v>43</v>
      </c>
      <c r="T742" t="s">
        <v>42</v>
      </c>
      <c r="U742" t="s">
        <v>42</v>
      </c>
      <c r="V742" t="s">
        <v>42</v>
      </c>
      <c r="W742" t="s">
        <v>42</v>
      </c>
      <c r="X742">
        <v>4</v>
      </c>
      <c r="Y742">
        <v>2</v>
      </c>
      <c r="Z742">
        <v>4</v>
      </c>
      <c r="AA742">
        <v>1</v>
      </c>
      <c r="AB742">
        <v>1</v>
      </c>
      <c r="AC742">
        <v>4</v>
      </c>
      <c r="AD742">
        <v>0</v>
      </c>
      <c r="AE742">
        <v>14</v>
      </c>
      <c r="AF742">
        <v>15</v>
      </c>
      <c r="AG742">
        <v>15</v>
      </c>
    </row>
    <row r="743" spans="1:33" x14ac:dyDescent="0.35">
      <c r="A743" t="s">
        <v>33</v>
      </c>
      <c r="B743" t="s">
        <v>50</v>
      </c>
      <c r="C743">
        <v>17</v>
      </c>
      <c r="D743" t="s">
        <v>35</v>
      </c>
      <c r="E743" t="s">
        <v>47</v>
      </c>
      <c r="F743" t="s">
        <v>44</v>
      </c>
      <c r="G743">
        <v>4</v>
      </c>
      <c r="H743">
        <v>4</v>
      </c>
      <c r="I743" t="s">
        <v>45</v>
      </c>
      <c r="J743" t="s">
        <v>39</v>
      </c>
      <c r="K743" t="s">
        <v>49</v>
      </c>
      <c r="L743" t="s">
        <v>46</v>
      </c>
      <c r="M743">
        <v>2</v>
      </c>
      <c r="N743">
        <v>1</v>
      </c>
      <c r="O743">
        <v>0</v>
      </c>
      <c r="P743" t="s">
        <v>43</v>
      </c>
      <c r="Q743" t="s">
        <v>43</v>
      </c>
      <c r="R743" t="s">
        <v>43</v>
      </c>
      <c r="S743" t="s">
        <v>43</v>
      </c>
      <c r="T743" t="s">
        <v>42</v>
      </c>
      <c r="U743" t="s">
        <v>42</v>
      </c>
      <c r="V743" t="s">
        <v>42</v>
      </c>
      <c r="W743" t="s">
        <v>43</v>
      </c>
      <c r="X743">
        <v>4</v>
      </c>
      <c r="Y743">
        <v>1</v>
      </c>
      <c r="Z743">
        <v>1</v>
      </c>
      <c r="AA743">
        <v>2</v>
      </c>
      <c r="AB743">
        <v>2</v>
      </c>
      <c r="AC743">
        <v>5</v>
      </c>
      <c r="AD743">
        <v>0</v>
      </c>
      <c r="AE743">
        <v>12</v>
      </c>
      <c r="AF743">
        <v>13</v>
      </c>
      <c r="AG743">
        <v>13</v>
      </c>
    </row>
    <row r="744" spans="1:33" x14ac:dyDescent="0.35">
      <c r="A744" t="s">
        <v>33</v>
      </c>
      <c r="B744" t="s">
        <v>34</v>
      </c>
      <c r="C744">
        <v>17</v>
      </c>
      <c r="D744" t="s">
        <v>52</v>
      </c>
      <c r="E744" t="s">
        <v>36</v>
      </c>
      <c r="F744" t="s">
        <v>44</v>
      </c>
      <c r="G744">
        <v>4</v>
      </c>
      <c r="H744">
        <v>4</v>
      </c>
      <c r="I744" t="s">
        <v>48</v>
      </c>
      <c r="J744" t="s">
        <v>48</v>
      </c>
      <c r="K744" t="s">
        <v>51</v>
      </c>
      <c r="L744" t="s">
        <v>41</v>
      </c>
      <c r="M744">
        <v>2</v>
      </c>
      <c r="N744">
        <v>3</v>
      </c>
      <c r="O744">
        <v>0</v>
      </c>
      <c r="P744" t="s">
        <v>43</v>
      </c>
      <c r="Q744" t="s">
        <v>42</v>
      </c>
      <c r="R744" t="s">
        <v>43</v>
      </c>
      <c r="S744" t="s">
        <v>42</v>
      </c>
      <c r="T744" t="s">
        <v>42</v>
      </c>
      <c r="U744" t="s">
        <v>42</v>
      </c>
      <c r="V744" t="s">
        <v>42</v>
      </c>
      <c r="W744" t="s">
        <v>43</v>
      </c>
      <c r="X744">
        <v>5</v>
      </c>
      <c r="Y744">
        <v>3</v>
      </c>
      <c r="Z744">
        <v>4</v>
      </c>
      <c r="AA744">
        <v>1</v>
      </c>
      <c r="AB744">
        <v>1</v>
      </c>
      <c r="AC744">
        <v>5</v>
      </c>
      <c r="AD744">
        <v>0</v>
      </c>
      <c r="AE744">
        <v>7</v>
      </c>
      <c r="AF744">
        <v>7</v>
      </c>
      <c r="AG744">
        <v>8</v>
      </c>
    </row>
    <row r="745" spans="1:33" x14ac:dyDescent="0.35">
      <c r="A745" t="s">
        <v>33</v>
      </c>
      <c r="B745" t="s">
        <v>34</v>
      </c>
      <c r="C745">
        <v>17</v>
      </c>
      <c r="D745" t="s">
        <v>35</v>
      </c>
      <c r="E745" t="s">
        <v>36</v>
      </c>
      <c r="F745" t="s">
        <v>44</v>
      </c>
      <c r="G745">
        <v>4</v>
      </c>
      <c r="H745">
        <v>2</v>
      </c>
      <c r="I745" t="s">
        <v>45</v>
      </c>
      <c r="J745" t="s">
        <v>45</v>
      </c>
      <c r="K745" t="s">
        <v>51</v>
      </c>
      <c r="L745" t="s">
        <v>41</v>
      </c>
      <c r="M745">
        <v>2</v>
      </c>
      <c r="N745">
        <v>3</v>
      </c>
      <c r="O745">
        <v>0</v>
      </c>
      <c r="P745" t="s">
        <v>43</v>
      </c>
      <c r="Q745" t="s">
        <v>42</v>
      </c>
      <c r="R745" t="s">
        <v>43</v>
      </c>
      <c r="S745" t="s">
        <v>43</v>
      </c>
      <c r="T745" t="s">
        <v>42</v>
      </c>
      <c r="U745" t="s">
        <v>42</v>
      </c>
      <c r="V745" t="s">
        <v>42</v>
      </c>
      <c r="W745" t="s">
        <v>43</v>
      </c>
      <c r="X745">
        <v>4</v>
      </c>
      <c r="Y745">
        <v>3</v>
      </c>
      <c r="Z745">
        <v>3</v>
      </c>
      <c r="AA745">
        <v>1</v>
      </c>
      <c r="AB745">
        <v>1</v>
      </c>
      <c r="AC745">
        <v>3</v>
      </c>
      <c r="AD745">
        <v>0</v>
      </c>
      <c r="AE745">
        <v>16</v>
      </c>
      <c r="AF745">
        <v>16</v>
      </c>
      <c r="AG745">
        <v>16</v>
      </c>
    </row>
    <row r="746" spans="1:33" x14ac:dyDescent="0.35">
      <c r="A746" t="s">
        <v>33</v>
      </c>
      <c r="B746" t="s">
        <v>34</v>
      </c>
      <c r="C746">
        <v>17</v>
      </c>
      <c r="D746" t="s">
        <v>35</v>
      </c>
      <c r="E746" t="s">
        <v>36</v>
      </c>
      <c r="F746" t="s">
        <v>44</v>
      </c>
      <c r="G746">
        <v>3</v>
      </c>
      <c r="H746">
        <v>2</v>
      </c>
      <c r="I746" t="s">
        <v>28</v>
      </c>
      <c r="J746" t="s">
        <v>28</v>
      </c>
      <c r="K746" t="s">
        <v>51</v>
      </c>
      <c r="L746" t="s">
        <v>46</v>
      </c>
      <c r="M746">
        <v>1</v>
      </c>
      <c r="N746">
        <v>4</v>
      </c>
      <c r="O746">
        <v>0</v>
      </c>
      <c r="P746" t="s">
        <v>43</v>
      </c>
      <c r="Q746" t="s">
        <v>42</v>
      </c>
      <c r="R746" t="s">
        <v>43</v>
      </c>
      <c r="S746" t="s">
        <v>42</v>
      </c>
      <c r="T746" t="s">
        <v>43</v>
      </c>
      <c r="U746" t="s">
        <v>42</v>
      </c>
      <c r="V746" t="s">
        <v>42</v>
      </c>
      <c r="W746" t="s">
        <v>43</v>
      </c>
      <c r="X746">
        <v>5</v>
      </c>
      <c r="Y746">
        <v>2</v>
      </c>
      <c r="Z746">
        <v>2</v>
      </c>
      <c r="AA746">
        <v>1</v>
      </c>
      <c r="AB746">
        <v>2</v>
      </c>
      <c r="AC746">
        <v>5</v>
      </c>
      <c r="AD746">
        <v>0</v>
      </c>
      <c r="AE746">
        <v>18</v>
      </c>
      <c r="AF746">
        <v>18</v>
      </c>
      <c r="AG746">
        <v>18</v>
      </c>
    </row>
    <row r="747" spans="1:33" x14ac:dyDescent="0.35">
      <c r="A747" t="s">
        <v>33</v>
      </c>
      <c r="B747" t="s">
        <v>50</v>
      </c>
      <c r="C747">
        <v>19</v>
      </c>
      <c r="D747" t="s">
        <v>52</v>
      </c>
      <c r="E747" t="s">
        <v>47</v>
      </c>
      <c r="F747" t="s">
        <v>44</v>
      </c>
      <c r="G747">
        <v>2</v>
      </c>
      <c r="H747">
        <v>1</v>
      </c>
      <c r="I747" t="s">
        <v>38</v>
      </c>
      <c r="J747" t="s">
        <v>48</v>
      </c>
      <c r="K747" t="s">
        <v>40</v>
      </c>
      <c r="L747" t="s">
        <v>41</v>
      </c>
      <c r="M747">
        <v>2</v>
      </c>
      <c r="N747">
        <v>3</v>
      </c>
      <c r="O747">
        <v>1</v>
      </c>
      <c r="P747" t="s">
        <v>43</v>
      </c>
      <c r="Q747" t="s">
        <v>43</v>
      </c>
      <c r="R747" t="s">
        <v>43</v>
      </c>
      <c r="S747" t="s">
        <v>42</v>
      </c>
      <c r="T747" t="s">
        <v>42</v>
      </c>
      <c r="U747" t="s">
        <v>42</v>
      </c>
      <c r="V747" t="s">
        <v>42</v>
      </c>
      <c r="W747" t="s">
        <v>42</v>
      </c>
      <c r="X747">
        <v>4</v>
      </c>
      <c r="Y747">
        <v>3</v>
      </c>
      <c r="Z747">
        <v>1</v>
      </c>
      <c r="AA747">
        <v>1</v>
      </c>
      <c r="AB747">
        <v>1</v>
      </c>
      <c r="AC747">
        <v>5</v>
      </c>
      <c r="AD747">
        <v>0</v>
      </c>
      <c r="AE747">
        <v>9</v>
      </c>
      <c r="AF747">
        <v>10</v>
      </c>
      <c r="AG747">
        <v>11</v>
      </c>
    </row>
    <row r="748" spans="1:33" x14ac:dyDescent="0.35">
      <c r="A748" t="s">
        <v>33</v>
      </c>
      <c r="B748" t="s">
        <v>50</v>
      </c>
      <c r="C748">
        <v>20</v>
      </c>
      <c r="D748" t="s">
        <v>35</v>
      </c>
      <c r="E748" t="s">
        <v>36</v>
      </c>
      <c r="F748" t="s">
        <v>37</v>
      </c>
      <c r="G748">
        <v>3</v>
      </c>
      <c r="H748">
        <v>2</v>
      </c>
      <c r="I748" t="s">
        <v>48</v>
      </c>
      <c r="J748" t="s">
        <v>45</v>
      </c>
      <c r="K748" t="s">
        <v>40</v>
      </c>
      <c r="L748" t="s">
        <v>45</v>
      </c>
      <c r="M748">
        <v>1</v>
      </c>
      <c r="N748">
        <v>1</v>
      </c>
      <c r="O748">
        <v>2</v>
      </c>
      <c r="P748" t="s">
        <v>43</v>
      </c>
      <c r="Q748" t="s">
        <v>43</v>
      </c>
      <c r="R748" t="s">
        <v>43</v>
      </c>
      <c r="S748" t="s">
        <v>42</v>
      </c>
      <c r="T748" t="s">
        <v>42</v>
      </c>
      <c r="U748" t="s">
        <v>42</v>
      </c>
      <c r="V748" t="s">
        <v>43</v>
      </c>
      <c r="W748" t="s">
        <v>43</v>
      </c>
      <c r="X748">
        <v>5</v>
      </c>
      <c r="Y748">
        <v>5</v>
      </c>
      <c r="Z748">
        <v>3</v>
      </c>
      <c r="AA748">
        <v>1</v>
      </c>
      <c r="AB748">
        <v>1</v>
      </c>
      <c r="AC748">
        <v>5</v>
      </c>
      <c r="AD748">
        <v>0</v>
      </c>
      <c r="AE748">
        <v>14</v>
      </c>
      <c r="AF748">
        <v>15</v>
      </c>
      <c r="AG748">
        <v>15</v>
      </c>
    </row>
    <row r="749" spans="1:33" x14ac:dyDescent="0.35">
      <c r="A749" t="s">
        <v>33</v>
      </c>
      <c r="B749" t="s">
        <v>50</v>
      </c>
      <c r="C749">
        <v>19</v>
      </c>
      <c r="D749" t="s">
        <v>52</v>
      </c>
      <c r="E749" t="s">
        <v>36</v>
      </c>
      <c r="F749" t="s">
        <v>44</v>
      </c>
      <c r="G749">
        <v>3</v>
      </c>
      <c r="H749">
        <v>3</v>
      </c>
      <c r="I749" t="s">
        <v>45</v>
      </c>
      <c r="J749" t="s">
        <v>48</v>
      </c>
      <c r="K749" t="s">
        <v>51</v>
      </c>
      <c r="L749" t="s">
        <v>46</v>
      </c>
      <c r="M749">
        <v>1</v>
      </c>
      <c r="N749">
        <v>2</v>
      </c>
      <c r="O749">
        <v>0</v>
      </c>
      <c r="P749" t="s">
        <v>43</v>
      </c>
      <c r="Q749" t="s">
        <v>43</v>
      </c>
      <c r="R749" t="s">
        <v>43</v>
      </c>
      <c r="S749" t="s">
        <v>42</v>
      </c>
      <c r="T749" t="s">
        <v>42</v>
      </c>
      <c r="U749" t="s">
        <v>42</v>
      </c>
      <c r="V749" t="s">
        <v>43</v>
      </c>
      <c r="W749" t="s">
        <v>42</v>
      </c>
      <c r="X749">
        <v>4</v>
      </c>
      <c r="Y749">
        <v>5</v>
      </c>
      <c r="Z749">
        <v>3</v>
      </c>
      <c r="AA749">
        <v>1</v>
      </c>
      <c r="AB749">
        <v>2</v>
      </c>
      <c r="AC749">
        <v>5</v>
      </c>
      <c r="AD749">
        <v>0</v>
      </c>
      <c r="AE749">
        <v>10</v>
      </c>
      <c r="AF749">
        <v>10</v>
      </c>
      <c r="AG749">
        <v>11</v>
      </c>
    </row>
    <row r="750" spans="1:33" x14ac:dyDescent="0.35">
      <c r="A750" t="s">
        <v>33</v>
      </c>
      <c r="B750" t="s">
        <v>34</v>
      </c>
      <c r="C750">
        <v>18</v>
      </c>
      <c r="D750" t="s">
        <v>35</v>
      </c>
      <c r="E750" t="s">
        <v>36</v>
      </c>
      <c r="F750" t="s">
        <v>44</v>
      </c>
      <c r="G750">
        <v>1</v>
      </c>
      <c r="H750">
        <v>4</v>
      </c>
      <c r="I750" t="s">
        <v>45</v>
      </c>
      <c r="J750" t="s">
        <v>39</v>
      </c>
      <c r="K750" t="s">
        <v>49</v>
      </c>
      <c r="L750" t="s">
        <v>41</v>
      </c>
      <c r="M750">
        <v>1</v>
      </c>
      <c r="N750">
        <v>2</v>
      </c>
      <c r="O750">
        <v>0</v>
      </c>
      <c r="P750" t="s">
        <v>42</v>
      </c>
      <c r="Q750" t="s">
        <v>42</v>
      </c>
      <c r="R750" t="s">
        <v>43</v>
      </c>
      <c r="S750" t="s">
        <v>43</v>
      </c>
      <c r="T750" t="s">
        <v>43</v>
      </c>
      <c r="U750" t="s">
        <v>42</v>
      </c>
      <c r="V750" t="s">
        <v>43</v>
      </c>
      <c r="W750" t="s">
        <v>42</v>
      </c>
      <c r="X750">
        <v>3</v>
      </c>
      <c r="Y750">
        <v>4</v>
      </c>
      <c r="Z750">
        <v>4</v>
      </c>
      <c r="AA750">
        <v>1</v>
      </c>
      <c r="AB750">
        <v>2</v>
      </c>
      <c r="AC750">
        <v>5</v>
      </c>
      <c r="AD750">
        <v>2</v>
      </c>
      <c r="AE750">
        <v>10</v>
      </c>
      <c r="AF750">
        <v>10</v>
      </c>
      <c r="AG750">
        <v>11</v>
      </c>
    </row>
    <row r="751" spans="1:33" x14ac:dyDescent="0.35">
      <c r="A751" t="s">
        <v>33</v>
      </c>
      <c r="B751" t="s">
        <v>34</v>
      </c>
      <c r="C751">
        <v>18</v>
      </c>
      <c r="D751" t="s">
        <v>35</v>
      </c>
      <c r="E751" t="s">
        <v>36</v>
      </c>
      <c r="F751" t="s">
        <v>44</v>
      </c>
      <c r="G751">
        <v>2</v>
      </c>
      <c r="H751">
        <v>1</v>
      </c>
      <c r="I751" t="s">
        <v>48</v>
      </c>
      <c r="J751" t="s">
        <v>45</v>
      </c>
      <c r="K751" t="s">
        <v>40</v>
      </c>
      <c r="L751" t="s">
        <v>41</v>
      </c>
      <c r="M751">
        <v>2</v>
      </c>
      <c r="N751">
        <v>2</v>
      </c>
      <c r="O751">
        <v>0</v>
      </c>
      <c r="P751" t="s">
        <v>43</v>
      </c>
      <c r="Q751" t="s">
        <v>42</v>
      </c>
      <c r="R751" t="s">
        <v>43</v>
      </c>
      <c r="S751" t="s">
        <v>42</v>
      </c>
      <c r="T751" t="s">
        <v>42</v>
      </c>
      <c r="U751" t="s">
        <v>42</v>
      </c>
      <c r="V751" t="s">
        <v>42</v>
      </c>
      <c r="W751" t="s">
        <v>43</v>
      </c>
      <c r="X751">
        <v>5</v>
      </c>
      <c r="Y751">
        <v>3</v>
      </c>
      <c r="Z751">
        <v>3</v>
      </c>
      <c r="AA751">
        <v>1</v>
      </c>
      <c r="AB751">
        <v>2</v>
      </c>
      <c r="AC751">
        <v>1</v>
      </c>
      <c r="AD751">
        <v>2</v>
      </c>
      <c r="AE751">
        <v>12</v>
      </c>
      <c r="AF751">
        <v>12</v>
      </c>
      <c r="AG751">
        <v>15</v>
      </c>
    </row>
    <row r="752" spans="1:33" x14ac:dyDescent="0.35">
      <c r="A752" t="s">
        <v>33</v>
      </c>
      <c r="B752" t="s">
        <v>34</v>
      </c>
      <c r="C752">
        <v>17</v>
      </c>
      <c r="D752" t="s">
        <v>35</v>
      </c>
      <c r="E752" t="s">
        <v>36</v>
      </c>
      <c r="F752" t="s">
        <v>44</v>
      </c>
      <c r="G752">
        <v>2</v>
      </c>
      <c r="H752">
        <v>3</v>
      </c>
      <c r="I752" t="s">
        <v>45</v>
      </c>
      <c r="J752" t="s">
        <v>45</v>
      </c>
      <c r="K752" t="s">
        <v>40</v>
      </c>
      <c r="L752" t="s">
        <v>46</v>
      </c>
      <c r="M752">
        <v>2</v>
      </c>
      <c r="N752">
        <v>2</v>
      </c>
      <c r="O752">
        <v>0</v>
      </c>
      <c r="P752" t="s">
        <v>43</v>
      </c>
      <c r="Q752" t="s">
        <v>43</v>
      </c>
      <c r="R752" t="s">
        <v>43</v>
      </c>
      <c r="S752" t="s">
        <v>42</v>
      </c>
      <c r="T752" t="s">
        <v>42</v>
      </c>
      <c r="U752" t="s">
        <v>42</v>
      </c>
      <c r="V752" t="s">
        <v>42</v>
      </c>
      <c r="W752" t="s">
        <v>42</v>
      </c>
      <c r="X752">
        <v>4</v>
      </c>
      <c r="Y752">
        <v>2</v>
      </c>
      <c r="Z752">
        <v>1</v>
      </c>
      <c r="AA752">
        <v>1</v>
      </c>
      <c r="AB752">
        <v>1</v>
      </c>
      <c r="AC752">
        <v>3</v>
      </c>
      <c r="AD752">
        <v>2</v>
      </c>
      <c r="AE752">
        <v>11</v>
      </c>
      <c r="AF752">
        <v>12</v>
      </c>
      <c r="AG752">
        <v>14</v>
      </c>
    </row>
    <row r="753" spans="1:33" x14ac:dyDescent="0.35">
      <c r="A753" t="s">
        <v>33</v>
      </c>
      <c r="B753" t="s">
        <v>34</v>
      </c>
      <c r="C753">
        <v>17</v>
      </c>
      <c r="D753" t="s">
        <v>52</v>
      </c>
      <c r="E753" t="s">
        <v>36</v>
      </c>
      <c r="F753" t="s">
        <v>44</v>
      </c>
      <c r="G753">
        <v>4</v>
      </c>
      <c r="H753">
        <v>4</v>
      </c>
      <c r="I753" t="s">
        <v>39</v>
      </c>
      <c r="J753" t="s">
        <v>39</v>
      </c>
      <c r="K753" t="s">
        <v>40</v>
      </c>
      <c r="L753" t="s">
        <v>41</v>
      </c>
      <c r="M753">
        <v>1</v>
      </c>
      <c r="N753">
        <v>1</v>
      </c>
      <c r="O753">
        <v>0</v>
      </c>
      <c r="P753" t="s">
        <v>43</v>
      </c>
      <c r="Q753" t="s">
        <v>43</v>
      </c>
      <c r="R753" t="s">
        <v>43</v>
      </c>
      <c r="S753" t="s">
        <v>42</v>
      </c>
      <c r="T753" t="s">
        <v>42</v>
      </c>
      <c r="U753" t="s">
        <v>42</v>
      </c>
      <c r="V753" t="s">
        <v>42</v>
      </c>
      <c r="W753" t="s">
        <v>43</v>
      </c>
      <c r="X753">
        <v>4</v>
      </c>
      <c r="Y753">
        <v>4</v>
      </c>
      <c r="Z753">
        <v>4</v>
      </c>
      <c r="AA753">
        <v>1</v>
      </c>
      <c r="AB753">
        <v>1</v>
      </c>
      <c r="AC753">
        <v>5</v>
      </c>
      <c r="AD753">
        <v>2</v>
      </c>
      <c r="AE753">
        <v>15</v>
      </c>
      <c r="AF753">
        <v>16</v>
      </c>
      <c r="AG753">
        <v>17</v>
      </c>
    </row>
    <row r="754" spans="1:33" x14ac:dyDescent="0.35">
      <c r="A754" t="s">
        <v>33</v>
      </c>
      <c r="B754" t="s">
        <v>34</v>
      </c>
      <c r="C754">
        <v>18</v>
      </c>
      <c r="D754" t="s">
        <v>35</v>
      </c>
      <c r="E754" t="s">
        <v>36</v>
      </c>
      <c r="F754" t="s">
        <v>44</v>
      </c>
      <c r="G754">
        <v>4</v>
      </c>
      <c r="H754">
        <v>3</v>
      </c>
      <c r="I754" t="s">
        <v>45</v>
      </c>
      <c r="J754" t="s">
        <v>45</v>
      </c>
      <c r="K754" t="s">
        <v>40</v>
      </c>
      <c r="L754" t="s">
        <v>41</v>
      </c>
      <c r="M754">
        <v>1</v>
      </c>
      <c r="N754">
        <v>3</v>
      </c>
      <c r="O754">
        <v>0</v>
      </c>
      <c r="P754" t="s">
        <v>43</v>
      </c>
      <c r="Q754" t="s">
        <v>42</v>
      </c>
      <c r="R754" t="s">
        <v>43</v>
      </c>
      <c r="S754" t="s">
        <v>42</v>
      </c>
      <c r="T754" t="s">
        <v>42</v>
      </c>
      <c r="U754" t="s">
        <v>42</v>
      </c>
      <c r="V754" t="s">
        <v>42</v>
      </c>
      <c r="W754" t="s">
        <v>42</v>
      </c>
      <c r="X754">
        <v>4</v>
      </c>
      <c r="Y754">
        <v>3</v>
      </c>
      <c r="Z754">
        <v>4</v>
      </c>
      <c r="AA754">
        <v>1</v>
      </c>
      <c r="AB754">
        <v>1</v>
      </c>
      <c r="AC754">
        <v>5</v>
      </c>
      <c r="AD754">
        <v>2</v>
      </c>
      <c r="AE754">
        <v>14</v>
      </c>
      <c r="AF754">
        <v>15</v>
      </c>
      <c r="AG754">
        <v>17</v>
      </c>
    </row>
    <row r="755" spans="1:33" x14ac:dyDescent="0.35">
      <c r="A755" t="s">
        <v>33</v>
      </c>
      <c r="B755" t="s">
        <v>34</v>
      </c>
      <c r="C755">
        <v>18</v>
      </c>
      <c r="D755" t="s">
        <v>35</v>
      </c>
      <c r="E755" t="s">
        <v>47</v>
      </c>
      <c r="F755" t="s">
        <v>44</v>
      </c>
      <c r="G755">
        <v>4</v>
      </c>
      <c r="H755">
        <v>3</v>
      </c>
      <c r="I755" t="s">
        <v>28</v>
      </c>
      <c r="J755" t="s">
        <v>48</v>
      </c>
      <c r="K755" t="s">
        <v>40</v>
      </c>
      <c r="L755" t="s">
        <v>41</v>
      </c>
      <c r="M755">
        <v>2</v>
      </c>
      <c r="N755">
        <v>1</v>
      </c>
      <c r="O755">
        <v>0</v>
      </c>
      <c r="P755" t="s">
        <v>43</v>
      </c>
      <c r="Q755" t="s">
        <v>42</v>
      </c>
      <c r="R755" t="s">
        <v>43</v>
      </c>
      <c r="S755" t="s">
        <v>43</v>
      </c>
      <c r="T755" t="s">
        <v>42</v>
      </c>
      <c r="U755" t="s">
        <v>42</v>
      </c>
      <c r="V755" t="s">
        <v>42</v>
      </c>
      <c r="W755" t="s">
        <v>43</v>
      </c>
      <c r="X755">
        <v>3</v>
      </c>
      <c r="Y755">
        <v>2</v>
      </c>
      <c r="Z755">
        <v>4</v>
      </c>
      <c r="AA755">
        <v>1</v>
      </c>
      <c r="AB755">
        <v>4</v>
      </c>
      <c r="AC755">
        <v>1</v>
      </c>
      <c r="AD755">
        <v>8</v>
      </c>
      <c r="AE755">
        <v>12</v>
      </c>
      <c r="AF755">
        <v>12</v>
      </c>
      <c r="AG755">
        <v>15</v>
      </c>
    </row>
    <row r="756" spans="1:33" x14ac:dyDescent="0.35">
      <c r="A756" t="s">
        <v>33</v>
      </c>
      <c r="B756" t="s">
        <v>34</v>
      </c>
      <c r="C756">
        <v>17</v>
      </c>
      <c r="D756" t="s">
        <v>52</v>
      </c>
      <c r="E756" t="s">
        <v>36</v>
      </c>
      <c r="F756" t="s">
        <v>44</v>
      </c>
      <c r="G756">
        <v>3</v>
      </c>
      <c r="H756">
        <v>4</v>
      </c>
      <c r="I756" t="s">
        <v>38</v>
      </c>
      <c r="J756" t="s">
        <v>48</v>
      </c>
      <c r="K756" t="s">
        <v>40</v>
      </c>
      <c r="L756" t="s">
        <v>46</v>
      </c>
      <c r="M756">
        <v>1</v>
      </c>
      <c r="N756">
        <v>3</v>
      </c>
      <c r="O756">
        <v>0</v>
      </c>
      <c r="P756" t="s">
        <v>43</v>
      </c>
      <c r="Q756" t="s">
        <v>42</v>
      </c>
      <c r="R756" t="s">
        <v>43</v>
      </c>
      <c r="S756" t="s">
        <v>42</v>
      </c>
      <c r="T756" t="s">
        <v>43</v>
      </c>
      <c r="U756" t="s">
        <v>42</v>
      </c>
      <c r="V756" t="s">
        <v>42</v>
      </c>
      <c r="W756" t="s">
        <v>43</v>
      </c>
      <c r="X756">
        <v>4</v>
      </c>
      <c r="Y756">
        <v>3</v>
      </c>
      <c r="Z756">
        <v>4</v>
      </c>
      <c r="AA756">
        <v>2</v>
      </c>
      <c r="AB756">
        <v>5</v>
      </c>
      <c r="AC756">
        <v>5</v>
      </c>
      <c r="AD756">
        <v>2</v>
      </c>
      <c r="AE756">
        <v>15</v>
      </c>
      <c r="AF756">
        <v>15</v>
      </c>
      <c r="AG756">
        <v>17</v>
      </c>
    </row>
    <row r="757" spans="1:33" x14ac:dyDescent="0.35">
      <c r="A757" t="s">
        <v>33</v>
      </c>
      <c r="B757" t="s">
        <v>34</v>
      </c>
      <c r="C757">
        <v>18</v>
      </c>
      <c r="D757" t="s">
        <v>35</v>
      </c>
      <c r="E757" t="s">
        <v>36</v>
      </c>
      <c r="F757" t="s">
        <v>44</v>
      </c>
      <c r="G757">
        <v>3</v>
      </c>
      <c r="H757">
        <v>3</v>
      </c>
      <c r="I757" t="s">
        <v>38</v>
      </c>
      <c r="J757" t="s">
        <v>45</v>
      </c>
      <c r="K757" t="s">
        <v>40</v>
      </c>
      <c r="L757" t="s">
        <v>46</v>
      </c>
      <c r="M757">
        <v>1</v>
      </c>
      <c r="N757">
        <v>2</v>
      </c>
      <c r="O757">
        <v>0</v>
      </c>
      <c r="P757" t="s">
        <v>43</v>
      </c>
      <c r="Q757" t="s">
        <v>42</v>
      </c>
      <c r="R757" t="s">
        <v>43</v>
      </c>
      <c r="S757" t="s">
        <v>43</v>
      </c>
      <c r="T757" t="s">
        <v>42</v>
      </c>
      <c r="U757" t="s">
        <v>42</v>
      </c>
      <c r="V757" t="s">
        <v>42</v>
      </c>
      <c r="W757" t="s">
        <v>43</v>
      </c>
      <c r="X757">
        <v>4</v>
      </c>
      <c r="Y757">
        <v>1</v>
      </c>
      <c r="Z757">
        <v>4</v>
      </c>
      <c r="AA757">
        <v>1</v>
      </c>
      <c r="AB757">
        <v>1</v>
      </c>
      <c r="AC757">
        <v>3</v>
      </c>
      <c r="AD757">
        <v>8</v>
      </c>
      <c r="AE757">
        <v>11</v>
      </c>
      <c r="AF757">
        <v>12</v>
      </c>
      <c r="AG757">
        <v>14</v>
      </c>
    </row>
    <row r="758" spans="1:33" x14ac:dyDescent="0.35">
      <c r="A758" t="s">
        <v>33</v>
      </c>
      <c r="B758" t="s">
        <v>50</v>
      </c>
      <c r="C758">
        <v>19</v>
      </c>
      <c r="D758" t="s">
        <v>35</v>
      </c>
      <c r="E758" t="s">
        <v>36</v>
      </c>
      <c r="F758" t="s">
        <v>44</v>
      </c>
      <c r="G758">
        <v>4</v>
      </c>
      <c r="H758">
        <v>2</v>
      </c>
      <c r="I758" t="s">
        <v>28</v>
      </c>
      <c r="J758" t="s">
        <v>45</v>
      </c>
      <c r="K758" t="s">
        <v>40</v>
      </c>
      <c r="L758" t="s">
        <v>41</v>
      </c>
      <c r="M758">
        <v>2</v>
      </c>
      <c r="N758">
        <v>2</v>
      </c>
      <c r="O758">
        <v>0</v>
      </c>
      <c r="P758" t="s">
        <v>43</v>
      </c>
      <c r="Q758" t="s">
        <v>42</v>
      </c>
      <c r="R758" t="s">
        <v>43</v>
      </c>
      <c r="S758" t="s">
        <v>42</v>
      </c>
      <c r="T758" t="s">
        <v>42</v>
      </c>
      <c r="U758" t="s">
        <v>42</v>
      </c>
      <c r="V758" t="s">
        <v>42</v>
      </c>
      <c r="W758" t="s">
        <v>42</v>
      </c>
      <c r="X758">
        <v>5</v>
      </c>
      <c r="Y758">
        <v>4</v>
      </c>
      <c r="Z758">
        <v>4</v>
      </c>
      <c r="AA758">
        <v>1</v>
      </c>
      <c r="AB758">
        <v>1</v>
      </c>
      <c r="AC758">
        <v>1</v>
      </c>
      <c r="AD758">
        <v>9</v>
      </c>
      <c r="AE758">
        <v>11</v>
      </c>
      <c r="AF758">
        <v>10</v>
      </c>
      <c r="AG758">
        <v>10</v>
      </c>
    </row>
    <row r="759" spans="1:33" x14ac:dyDescent="0.35">
      <c r="A759" t="s">
        <v>33</v>
      </c>
      <c r="B759" t="s">
        <v>34</v>
      </c>
      <c r="C759">
        <v>18</v>
      </c>
      <c r="D759" t="s">
        <v>35</v>
      </c>
      <c r="E759" t="s">
        <v>36</v>
      </c>
      <c r="F759" t="s">
        <v>44</v>
      </c>
      <c r="G759">
        <v>4</v>
      </c>
      <c r="H759">
        <v>4</v>
      </c>
      <c r="I759" t="s">
        <v>39</v>
      </c>
      <c r="J759" t="s">
        <v>45</v>
      </c>
      <c r="K759" t="s">
        <v>40</v>
      </c>
      <c r="L759" t="s">
        <v>41</v>
      </c>
      <c r="M759">
        <v>1</v>
      </c>
      <c r="N759">
        <v>2</v>
      </c>
      <c r="O759">
        <v>0</v>
      </c>
      <c r="P759" t="s">
        <v>43</v>
      </c>
      <c r="Q759" t="s">
        <v>42</v>
      </c>
      <c r="R759" t="s">
        <v>43</v>
      </c>
      <c r="S759" t="s">
        <v>43</v>
      </c>
      <c r="T759" t="s">
        <v>42</v>
      </c>
      <c r="U759" t="s">
        <v>42</v>
      </c>
      <c r="V759" t="s">
        <v>42</v>
      </c>
      <c r="W759" t="s">
        <v>43</v>
      </c>
      <c r="X759">
        <v>4</v>
      </c>
      <c r="Y759">
        <v>4</v>
      </c>
      <c r="Z759">
        <v>4</v>
      </c>
      <c r="AA759">
        <v>3</v>
      </c>
      <c r="AB759">
        <v>3</v>
      </c>
      <c r="AC759">
        <v>5</v>
      </c>
      <c r="AD759">
        <v>0</v>
      </c>
      <c r="AE759">
        <v>12</v>
      </c>
      <c r="AF759">
        <v>11</v>
      </c>
      <c r="AG759">
        <v>13</v>
      </c>
    </row>
    <row r="760" spans="1:33" x14ac:dyDescent="0.35">
      <c r="A760" t="s">
        <v>33</v>
      </c>
      <c r="B760" t="s">
        <v>34</v>
      </c>
      <c r="C760">
        <v>18</v>
      </c>
      <c r="D760" t="s">
        <v>35</v>
      </c>
      <c r="E760" t="s">
        <v>36</v>
      </c>
      <c r="F760" t="s">
        <v>44</v>
      </c>
      <c r="G760">
        <v>3</v>
      </c>
      <c r="H760">
        <v>4</v>
      </c>
      <c r="I760" t="s">
        <v>45</v>
      </c>
      <c r="J760" t="s">
        <v>45</v>
      </c>
      <c r="K760" t="s">
        <v>40</v>
      </c>
      <c r="L760" t="s">
        <v>41</v>
      </c>
      <c r="M760">
        <v>1</v>
      </c>
      <c r="N760">
        <v>1</v>
      </c>
      <c r="O760">
        <v>0</v>
      </c>
      <c r="P760" t="s">
        <v>43</v>
      </c>
      <c r="Q760" t="s">
        <v>42</v>
      </c>
      <c r="R760" t="s">
        <v>43</v>
      </c>
      <c r="S760" t="s">
        <v>42</v>
      </c>
      <c r="T760" t="s">
        <v>42</v>
      </c>
      <c r="U760" t="s">
        <v>42</v>
      </c>
      <c r="V760" t="s">
        <v>42</v>
      </c>
      <c r="W760" t="s">
        <v>42</v>
      </c>
      <c r="X760">
        <v>5</v>
      </c>
      <c r="Y760">
        <v>4</v>
      </c>
      <c r="Z760">
        <v>4</v>
      </c>
      <c r="AA760">
        <v>1</v>
      </c>
      <c r="AB760">
        <v>1</v>
      </c>
      <c r="AC760">
        <v>1</v>
      </c>
      <c r="AD760">
        <v>4</v>
      </c>
      <c r="AE760">
        <v>11</v>
      </c>
      <c r="AF760">
        <v>12</v>
      </c>
      <c r="AG760">
        <v>14</v>
      </c>
    </row>
    <row r="761" spans="1:33" x14ac:dyDescent="0.35">
      <c r="A761" t="s">
        <v>33</v>
      </c>
      <c r="B761" t="s">
        <v>34</v>
      </c>
      <c r="C761">
        <v>17</v>
      </c>
      <c r="D761" t="s">
        <v>35</v>
      </c>
      <c r="E761" t="s">
        <v>36</v>
      </c>
      <c r="F761" t="s">
        <v>44</v>
      </c>
      <c r="G761">
        <v>4</v>
      </c>
      <c r="H761">
        <v>4</v>
      </c>
      <c r="I761" t="s">
        <v>28</v>
      </c>
      <c r="J761" t="s">
        <v>28</v>
      </c>
      <c r="K761" t="s">
        <v>40</v>
      </c>
      <c r="L761" t="s">
        <v>41</v>
      </c>
      <c r="M761">
        <v>1</v>
      </c>
      <c r="N761">
        <v>1</v>
      </c>
      <c r="O761">
        <v>0</v>
      </c>
      <c r="P761" t="s">
        <v>43</v>
      </c>
      <c r="Q761" t="s">
        <v>43</v>
      </c>
      <c r="R761" t="s">
        <v>43</v>
      </c>
      <c r="S761" t="s">
        <v>42</v>
      </c>
      <c r="T761" t="s">
        <v>42</v>
      </c>
      <c r="U761" t="s">
        <v>42</v>
      </c>
      <c r="V761" t="s">
        <v>42</v>
      </c>
      <c r="W761" t="s">
        <v>43</v>
      </c>
      <c r="X761">
        <v>5</v>
      </c>
      <c r="Y761">
        <v>3</v>
      </c>
      <c r="Z761">
        <v>4</v>
      </c>
      <c r="AA761">
        <v>1</v>
      </c>
      <c r="AB761">
        <v>2</v>
      </c>
      <c r="AC761">
        <v>5</v>
      </c>
      <c r="AD761">
        <v>2</v>
      </c>
      <c r="AE761">
        <v>14</v>
      </c>
      <c r="AF761">
        <v>15</v>
      </c>
      <c r="AG761">
        <v>17</v>
      </c>
    </row>
    <row r="762" spans="1:33" x14ac:dyDescent="0.35">
      <c r="A762" t="s">
        <v>33</v>
      </c>
      <c r="B762" t="s">
        <v>34</v>
      </c>
      <c r="C762">
        <v>17</v>
      </c>
      <c r="D762" t="s">
        <v>35</v>
      </c>
      <c r="E762" t="s">
        <v>36</v>
      </c>
      <c r="F762" t="s">
        <v>37</v>
      </c>
      <c r="G762">
        <v>4</v>
      </c>
      <c r="H762">
        <v>3</v>
      </c>
      <c r="I762" t="s">
        <v>48</v>
      </c>
      <c r="J762" t="s">
        <v>48</v>
      </c>
      <c r="K762" t="s">
        <v>40</v>
      </c>
      <c r="L762" t="s">
        <v>41</v>
      </c>
      <c r="M762">
        <v>1</v>
      </c>
      <c r="N762">
        <v>2</v>
      </c>
      <c r="O762">
        <v>0</v>
      </c>
      <c r="P762" t="s">
        <v>43</v>
      </c>
      <c r="Q762" t="s">
        <v>42</v>
      </c>
      <c r="R762" t="s">
        <v>43</v>
      </c>
      <c r="S762" t="s">
        <v>43</v>
      </c>
      <c r="T762" t="s">
        <v>42</v>
      </c>
      <c r="U762" t="s">
        <v>42</v>
      </c>
      <c r="V762" t="s">
        <v>42</v>
      </c>
      <c r="W762" t="s">
        <v>42</v>
      </c>
      <c r="X762">
        <v>5</v>
      </c>
      <c r="Y762">
        <v>2</v>
      </c>
      <c r="Z762">
        <v>2</v>
      </c>
      <c r="AA762">
        <v>1</v>
      </c>
      <c r="AB762">
        <v>2</v>
      </c>
      <c r="AC762">
        <v>5</v>
      </c>
      <c r="AD762">
        <v>14</v>
      </c>
      <c r="AE762">
        <v>15</v>
      </c>
      <c r="AF762">
        <v>14</v>
      </c>
      <c r="AG762">
        <v>17</v>
      </c>
    </row>
    <row r="763" spans="1:33" x14ac:dyDescent="0.35">
      <c r="A763" t="s">
        <v>33</v>
      </c>
      <c r="B763" t="s">
        <v>34</v>
      </c>
      <c r="C763">
        <v>17</v>
      </c>
      <c r="D763" t="s">
        <v>35</v>
      </c>
      <c r="E763" t="s">
        <v>47</v>
      </c>
      <c r="F763" t="s">
        <v>37</v>
      </c>
      <c r="G763">
        <v>3</v>
      </c>
      <c r="H763">
        <v>3</v>
      </c>
      <c r="I763" t="s">
        <v>48</v>
      </c>
      <c r="J763" t="s">
        <v>45</v>
      </c>
      <c r="K763" t="s">
        <v>49</v>
      </c>
      <c r="L763" t="s">
        <v>41</v>
      </c>
      <c r="M763">
        <v>1</v>
      </c>
      <c r="N763">
        <v>2</v>
      </c>
      <c r="O763">
        <v>0</v>
      </c>
      <c r="P763" t="s">
        <v>42</v>
      </c>
      <c r="Q763" t="s">
        <v>42</v>
      </c>
      <c r="R763" t="s">
        <v>43</v>
      </c>
      <c r="S763" t="s">
        <v>43</v>
      </c>
      <c r="T763" t="s">
        <v>42</v>
      </c>
      <c r="U763" t="s">
        <v>42</v>
      </c>
      <c r="V763" t="s">
        <v>42</v>
      </c>
      <c r="W763" t="s">
        <v>43</v>
      </c>
      <c r="X763">
        <v>5</v>
      </c>
      <c r="Y763">
        <v>3</v>
      </c>
      <c r="Z763">
        <v>3</v>
      </c>
      <c r="AA763">
        <v>1</v>
      </c>
      <c r="AB763">
        <v>1</v>
      </c>
      <c r="AC763">
        <v>5</v>
      </c>
      <c r="AD763">
        <v>0</v>
      </c>
      <c r="AE763">
        <v>12</v>
      </c>
      <c r="AF763">
        <v>12</v>
      </c>
      <c r="AG763">
        <v>13</v>
      </c>
    </row>
    <row r="764" spans="1:33" x14ac:dyDescent="0.35">
      <c r="A764" t="s">
        <v>33</v>
      </c>
      <c r="B764" t="s">
        <v>34</v>
      </c>
      <c r="C764">
        <v>17</v>
      </c>
      <c r="D764" t="s">
        <v>35</v>
      </c>
      <c r="E764" t="s">
        <v>47</v>
      </c>
      <c r="F764" t="s">
        <v>44</v>
      </c>
      <c r="G764">
        <v>2</v>
      </c>
      <c r="H764">
        <v>1</v>
      </c>
      <c r="I764" t="s">
        <v>45</v>
      </c>
      <c r="J764" t="s">
        <v>45</v>
      </c>
      <c r="K764" t="s">
        <v>49</v>
      </c>
      <c r="L764" t="s">
        <v>46</v>
      </c>
      <c r="M764">
        <v>1</v>
      </c>
      <c r="N764">
        <v>2</v>
      </c>
      <c r="O764">
        <v>0</v>
      </c>
      <c r="P764" t="s">
        <v>43</v>
      </c>
      <c r="Q764" t="s">
        <v>43</v>
      </c>
      <c r="R764" t="s">
        <v>43</v>
      </c>
      <c r="S764" t="s">
        <v>42</v>
      </c>
      <c r="T764" t="s">
        <v>42</v>
      </c>
      <c r="U764" t="s">
        <v>42</v>
      </c>
      <c r="V764" t="s">
        <v>42</v>
      </c>
      <c r="W764" t="s">
        <v>43</v>
      </c>
      <c r="X764">
        <v>4</v>
      </c>
      <c r="Y764">
        <v>2</v>
      </c>
      <c r="Z764">
        <v>3</v>
      </c>
      <c r="AA764">
        <v>2</v>
      </c>
      <c r="AB764">
        <v>2</v>
      </c>
      <c r="AC764">
        <v>2</v>
      </c>
      <c r="AD764">
        <v>2</v>
      </c>
      <c r="AE764">
        <v>11</v>
      </c>
      <c r="AF764">
        <v>12</v>
      </c>
      <c r="AG764">
        <v>14</v>
      </c>
    </row>
    <row r="765" spans="1:33" x14ac:dyDescent="0.35">
      <c r="A765" t="s">
        <v>33</v>
      </c>
      <c r="B765" t="s">
        <v>50</v>
      </c>
      <c r="C765">
        <v>18</v>
      </c>
      <c r="D765" t="s">
        <v>35</v>
      </c>
      <c r="E765" t="s">
        <v>47</v>
      </c>
      <c r="F765" t="s">
        <v>44</v>
      </c>
      <c r="G765">
        <v>4</v>
      </c>
      <c r="H765">
        <v>4</v>
      </c>
      <c r="I765" t="s">
        <v>45</v>
      </c>
      <c r="J765" t="s">
        <v>45</v>
      </c>
      <c r="K765" t="s">
        <v>51</v>
      </c>
      <c r="L765" t="s">
        <v>46</v>
      </c>
      <c r="M765">
        <v>1</v>
      </c>
      <c r="N765">
        <v>1</v>
      </c>
      <c r="O765">
        <v>0</v>
      </c>
      <c r="P765" t="s">
        <v>43</v>
      </c>
      <c r="Q765" t="s">
        <v>42</v>
      </c>
      <c r="R765" t="s">
        <v>43</v>
      </c>
      <c r="S765" t="s">
        <v>43</v>
      </c>
      <c r="T765" t="s">
        <v>42</v>
      </c>
      <c r="U765" t="s">
        <v>42</v>
      </c>
      <c r="V765" t="s">
        <v>42</v>
      </c>
      <c r="W765" t="s">
        <v>43</v>
      </c>
      <c r="X765">
        <v>4</v>
      </c>
      <c r="Y765">
        <v>2</v>
      </c>
      <c r="Z765">
        <v>5</v>
      </c>
      <c r="AA765">
        <v>3</v>
      </c>
      <c r="AB765">
        <v>4</v>
      </c>
      <c r="AC765">
        <v>5</v>
      </c>
      <c r="AD765">
        <v>2</v>
      </c>
      <c r="AE765">
        <v>8</v>
      </c>
      <c r="AF765">
        <v>9</v>
      </c>
      <c r="AG765">
        <v>11</v>
      </c>
    </row>
    <row r="766" spans="1:33" x14ac:dyDescent="0.35">
      <c r="A766" t="s">
        <v>33</v>
      </c>
      <c r="B766" t="s">
        <v>34</v>
      </c>
      <c r="C766">
        <v>19</v>
      </c>
      <c r="D766" t="s">
        <v>35</v>
      </c>
      <c r="E766" t="s">
        <v>36</v>
      </c>
      <c r="F766" t="s">
        <v>44</v>
      </c>
      <c r="G766">
        <v>1</v>
      </c>
      <c r="H766">
        <v>1</v>
      </c>
      <c r="I766" t="s">
        <v>45</v>
      </c>
      <c r="J766" t="s">
        <v>45</v>
      </c>
      <c r="K766" t="s">
        <v>40</v>
      </c>
      <c r="L766" t="s">
        <v>45</v>
      </c>
      <c r="M766">
        <v>3</v>
      </c>
      <c r="N766">
        <v>3</v>
      </c>
      <c r="O766">
        <v>0</v>
      </c>
      <c r="P766" t="s">
        <v>43</v>
      </c>
      <c r="Q766" t="s">
        <v>43</v>
      </c>
      <c r="R766" t="s">
        <v>43</v>
      </c>
      <c r="S766" t="s">
        <v>42</v>
      </c>
      <c r="T766" t="s">
        <v>42</v>
      </c>
      <c r="U766" t="s">
        <v>43</v>
      </c>
      <c r="V766" t="s">
        <v>43</v>
      </c>
      <c r="W766" t="s">
        <v>42</v>
      </c>
      <c r="X766">
        <v>1</v>
      </c>
      <c r="Y766">
        <v>5</v>
      </c>
      <c r="Z766">
        <v>5</v>
      </c>
      <c r="AA766">
        <v>4</v>
      </c>
      <c r="AB766">
        <v>3</v>
      </c>
      <c r="AC766">
        <v>5</v>
      </c>
      <c r="AD766">
        <v>12</v>
      </c>
      <c r="AE766">
        <v>10</v>
      </c>
      <c r="AF766">
        <v>10</v>
      </c>
      <c r="AG766">
        <v>11</v>
      </c>
    </row>
    <row r="767" spans="1:33" x14ac:dyDescent="0.35">
      <c r="A767" t="s">
        <v>33</v>
      </c>
      <c r="B767" t="s">
        <v>34</v>
      </c>
      <c r="C767">
        <v>19</v>
      </c>
      <c r="D767" t="s">
        <v>35</v>
      </c>
      <c r="E767" t="s">
        <v>47</v>
      </c>
      <c r="F767" t="s">
        <v>37</v>
      </c>
      <c r="G767">
        <v>1</v>
      </c>
      <c r="H767">
        <v>1</v>
      </c>
      <c r="I767" t="s">
        <v>45</v>
      </c>
      <c r="J767" t="s">
        <v>45</v>
      </c>
      <c r="K767" t="s">
        <v>40</v>
      </c>
      <c r="L767" t="s">
        <v>45</v>
      </c>
      <c r="M767">
        <v>3</v>
      </c>
      <c r="N767">
        <v>2</v>
      </c>
      <c r="O767">
        <v>2</v>
      </c>
      <c r="P767" t="s">
        <v>43</v>
      </c>
      <c r="Q767" t="s">
        <v>42</v>
      </c>
      <c r="R767" t="s">
        <v>43</v>
      </c>
      <c r="S767" t="s">
        <v>43</v>
      </c>
      <c r="T767" t="s">
        <v>43</v>
      </c>
      <c r="U767" t="s">
        <v>42</v>
      </c>
      <c r="V767" t="s">
        <v>42</v>
      </c>
      <c r="W767" t="s">
        <v>42</v>
      </c>
      <c r="X767">
        <v>5</v>
      </c>
      <c r="Y767">
        <v>3</v>
      </c>
      <c r="Z767">
        <v>4</v>
      </c>
      <c r="AA767">
        <v>1</v>
      </c>
      <c r="AB767">
        <v>1</v>
      </c>
      <c r="AC767">
        <v>4</v>
      </c>
      <c r="AD767">
        <v>2</v>
      </c>
      <c r="AE767">
        <v>8</v>
      </c>
      <c r="AF767">
        <v>8</v>
      </c>
      <c r="AG767">
        <v>9</v>
      </c>
    </row>
    <row r="768" spans="1:33" x14ac:dyDescent="0.35">
      <c r="A768" t="s">
        <v>33</v>
      </c>
      <c r="B768" t="s">
        <v>34</v>
      </c>
      <c r="C768">
        <v>18</v>
      </c>
      <c r="D768" t="s">
        <v>35</v>
      </c>
      <c r="E768" t="s">
        <v>36</v>
      </c>
      <c r="F768" t="s">
        <v>44</v>
      </c>
      <c r="G768">
        <v>2</v>
      </c>
      <c r="H768">
        <v>2</v>
      </c>
      <c r="I768" t="s">
        <v>45</v>
      </c>
      <c r="J768" t="s">
        <v>45</v>
      </c>
      <c r="K768" t="s">
        <v>40</v>
      </c>
      <c r="L768" t="s">
        <v>41</v>
      </c>
      <c r="M768">
        <v>1</v>
      </c>
      <c r="N768">
        <v>1</v>
      </c>
      <c r="O768">
        <v>0</v>
      </c>
      <c r="P768" t="s">
        <v>43</v>
      </c>
      <c r="Q768" t="s">
        <v>42</v>
      </c>
      <c r="R768" t="s">
        <v>43</v>
      </c>
      <c r="S768" t="s">
        <v>42</v>
      </c>
      <c r="T768" t="s">
        <v>42</v>
      </c>
      <c r="U768" t="s">
        <v>42</v>
      </c>
      <c r="V768" t="s">
        <v>42</v>
      </c>
      <c r="W768" t="s">
        <v>42</v>
      </c>
      <c r="X768">
        <v>4</v>
      </c>
      <c r="Y768">
        <v>3</v>
      </c>
      <c r="Z768">
        <v>5</v>
      </c>
      <c r="AA768">
        <v>2</v>
      </c>
      <c r="AB768">
        <v>4</v>
      </c>
      <c r="AC768">
        <v>5</v>
      </c>
      <c r="AD768">
        <v>2</v>
      </c>
      <c r="AE768">
        <v>10</v>
      </c>
      <c r="AF768">
        <v>10</v>
      </c>
      <c r="AG768">
        <v>10</v>
      </c>
    </row>
    <row r="769" spans="1:33" x14ac:dyDescent="0.35">
      <c r="A769" t="s">
        <v>33</v>
      </c>
      <c r="B769" t="s">
        <v>34</v>
      </c>
      <c r="C769">
        <v>17</v>
      </c>
      <c r="D769" t="s">
        <v>35</v>
      </c>
      <c r="E769" t="s">
        <v>36</v>
      </c>
      <c r="F769" t="s">
        <v>44</v>
      </c>
      <c r="G769">
        <v>2</v>
      </c>
      <c r="H769">
        <v>2</v>
      </c>
      <c r="I769" t="s">
        <v>45</v>
      </c>
      <c r="J769" t="s">
        <v>45</v>
      </c>
      <c r="K769" t="s">
        <v>40</v>
      </c>
      <c r="L769" t="s">
        <v>41</v>
      </c>
      <c r="M769">
        <v>1</v>
      </c>
      <c r="N769">
        <v>2</v>
      </c>
      <c r="O769">
        <v>0</v>
      </c>
      <c r="P769" t="s">
        <v>43</v>
      </c>
      <c r="Q769" t="s">
        <v>42</v>
      </c>
      <c r="R769" t="s">
        <v>43</v>
      </c>
      <c r="S769" t="s">
        <v>43</v>
      </c>
      <c r="T769" t="s">
        <v>42</v>
      </c>
      <c r="U769" t="s">
        <v>42</v>
      </c>
      <c r="V769" t="s">
        <v>43</v>
      </c>
      <c r="W769" t="s">
        <v>42</v>
      </c>
      <c r="X769">
        <v>4</v>
      </c>
      <c r="Y769">
        <v>2</v>
      </c>
      <c r="Z769">
        <v>2</v>
      </c>
      <c r="AA769">
        <v>1</v>
      </c>
      <c r="AB769">
        <v>1</v>
      </c>
      <c r="AC769">
        <v>3</v>
      </c>
      <c r="AD769">
        <v>4</v>
      </c>
      <c r="AE769">
        <v>14</v>
      </c>
      <c r="AF769">
        <v>13</v>
      </c>
      <c r="AG769">
        <v>13</v>
      </c>
    </row>
    <row r="770" spans="1:33" x14ac:dyDescent="0.35">
      <c r="A770" t="s">
        <v>33</v>
      </c>
      <c r="B770" t="s">
        <v>34</v>
      </c>
      <c r="C770">
        <v>17</v>
      </c>
      <c r="D770" t="s">
        <v>52</v>
      </c>
      <c r="E770" t="s">
        <v>47</v>
      </c>
      <c r="F770" t="s">
        <v>44</v>
      </c>
      <c r="G770">
        <v>2</v>
      </c>
      <c r="H770">
        <v>2</v>
      </c>
      <c r="I770" t="s">
        <v>48</v>
      </c>
      <c r="J770" t="s">
        <v>48</v>
      </c>
      <c r="K770" t="s">
        <v>40</v>
      </c>
      <c r="L770" t="s">
        <v>41</v>
      </c>
      <c r="M770">
        <v>1</v>
      </c>
      <c r="N770">
        <v>3</v>
      </c>
      <c r="O770">
        <v>0</v>
      </c>
      <c r="P770" t="s">
        <v>43</v>
      </c>
      <c r="Q770" t="s">
        <v>42</v>
      </c>
      <c r="R770" t="s">
        <v>43</v>
      </c>
      <c r="S770" t="s">
        <v>42</v>
      </c>
      <c r="T770" t="s">
        <v>42</v>
      </c>
      <c r="U770" t="s">
        <v>42</v>
      </c>
      <c r="V770" t="s">
        <v>42</v>
      </c>
      <c r="W770" t="s">
        <v>43</v>
      </c>
      <c r="X770">
        <v>3</v>
      </c>
      <c r="Y770">
        <v>3</v>
      </c>
      <c r="Z770">
        <v>2</v>
      </c>
      <c r="AA770">
        <v>2</v>
      </c>
      <c r="AB770">
        <v>2</v>
      </c>
      <c r="AC770">
        <v>3</v>
      </c>
      <c r="AD770">
        <v>0</v>
      </c>
      <c r="AE770">
        <v>11</v>
      </c>
      <c r="AF770">
        <v>11</v>
      </c>
      <c r="AG770">
        <v>10</v>
      </c>
    </row>
    <row r="771" spans="1:33" x14ac:dyDescent="0.35">
      <c r="A771" t="s">
        <v>33</v>
      </c>
      <c r="B771" t="s">
        <v>34</v>
      </c>
      <c r="C771">
        <v>17</v>
      </c>
      <c r="D771" t="s">
        <v>35</v>
      </c>
      <c r="E771" t="s">
        <v>36</v>
      </c>
      <c r="F771" t="s">
        <v>44</v>
      </c>
      <c r="G771">
        <v>3</v>
      </c>
      <c r="H771">
        <v>1</v>
      </c>
      <c r="I771" t="s">
        <v>48</v>
      </c>
      <c r="J771" t="s">
        <v>48</v>
      </c>
      <c r="K771" t="s">
        <v>40</v>
      </c>
      <c r="L771" t="s">
        <v>46</v>
      </c>
      <c r="M771">
        <v>1</v>
      </c>
      <c r="N771">
        <v>3</v>
      </c>
      <c r="O771">
        <v>0</v>
      </c>
      <c r="P771" t="s">
        <v>43</v>
      </c>
      <c r="Q771" t="s">
        <v>42</v>
      </c>
      <c r="R771" t="s">
        <v>43</v>
      </c>
      <c r="S771" t="s">
        <v>43</v>
      </c>
      <c r="T771" t="s">
        <v>43</v>
      </c>
      <c r="U771" t="s">
        <v>42</v>
      </c>
      <c r="V771" t="s">
        <v>42</v>
      </c>
      <c r="W771" t="s">
        <v>43</v>
      </c>
      <c r="X771">
        <v>3</v>
      </c>
      <c r="Y771">
        <v>4</v>
      </c>
      <c r="Z771">
        <v>3</v>
      </c>
      <c r="AA771">
        <v>2</v>
      </c>
      <c r="AB771">
        <v>3</v>
      </c>
      <c r="AC771">
        <v>5</v>
      </c>
      <c r="AD771">
        <v>0</v>
      </c>
      <c r="AE771">
        <v>17</v>
      </c>
      <c r="AF771">
        <v>18</v>
      </c>
      <c r="AG771">
        <v>17</v>
      </c>
    </row>
    <row r="772" spans="1:33" x14ac:dyDescent="0.35">
      <c r="A772" t="s">
        <v>33</v>
      </c>
      <c r="B772" t="s">
        <v>34</v>
      </c>
      <c r="C772">
        <v>17</v>
      </c>
      <c r="D772" t="s">
        <v>35</v>
      </c>
      <c r="E772" t="s">
        <v>47</v>
      </c>
      <c r="F772" t="s">
        <v>44</v>
      </c>
      <c r="G772">
        <v>0</v>
      </c>
      <c r="H772">
        <v>2</v>
      </c>
      <c r="I772" t="s">
        <v>38</v>
      </c>
      <c r="J772" t="s">
        <v>38</v>
      </c>
      <c r="K772" t="s">
        <v>49</v>
      </c>
      <c r="L772" t="s">
        <v>46</v>
      </c>
      <c r="M772">
        <v>2</v>
      </c>
      <c r="N772">
        <v>3</v>
      </c>
      <c r="O772">
        <v>0</v>
      </c>
      <c r="P772" t="s">
        <v>43</v>
      </c>
      <c r="Q772" t="s">
        <v>43</v>
      </c>
      <c r="R772" t="s">
        <v>43</v>
      </c>
      <c r="S772" t="s">
        <v>43</v>
      </c>
      <c r="T772" t="s">
        <v>42</v>
      </c>
      <c r="U772" t="s">
        <v>42</v>
      </c>
      <c r="V772" t="s">
        <v>42</v>
      </c>
      <c r="W772" t="s">
        <v>43</v>
      </c>
      <c r="X772">
        <v>3</v>
      </c>
      <c r="Y772">
        <v>3</v>
      </c>
      <c r="Z772">
        <v>3</v>
      </c>
      <c r="AA772">
        <v>2</v>
      </c>
      <c r="AB772">
        <v>3</v>
      </c>
      <c r="AC772">
        <v>2</v>
      </c>
      <c r="AD772">
        <v>0</v>
      </c>
      <c r="AE772">
        <v>14</v>
      </c>
      <c r="AF772">
        <v>14</v>
      </c>
      <c r="AG772">
        <v>15</v>
      </c>
    </row>
    <row r="773" spans="1:33" x14ac:dyDescent="0.35">
      <c r="A773" t="s">
        <v>33</v>
      </c>
      <c r="B773" t="s">
        <v>34</v>
      </c>
      <c r="C773">
        <v>18</v>
      </c>
      <c r="D773" t="s">
        <v>35</v>
      </c>
      <c r="E773" t="s">
        <v>36</v>
      </c>
      <c r="F773" t="s">
        <v>44</v>
      </c>
      <c r="G773">
        <v>1</v>
      </c>
      <c r="H773">
        <v>1</v>
      </c>
      <c r="I773" t="s">
        <v>45</v>
      </c>
      <c r="J773" t="s">
        <v>45</v>
      </c>
      <c r="K773" t="s">
        <v>49</v>
      </c>
      <c r="L773" t="s">
        <v>41</v>
      </c>
      <c r="M773">
        <v>2</v>
      </c>
      <c r="N773">
        <v>3</v>
      </c>
      <c r="O773">
        <v>0</v>
      </c>
      <c r="P773" t="s">
        <v>43</v>
      </c>
      <c r="Q773" t="s">
        <v>43</v>
      </c>
      <c r="R773" t="s">
        <v>43</v>
      </c>
      <c r="S773" t="s">
        <v>42</v>
      </c>
      <c r="T773" t="s">
        <v>42</v>
      </c>
      <c r="U773" t="s">
        <v>42</v>
      </c>
      <c r="V773" t="s">
        <v>42</v>
      </c>
      <c r="W773" t="s">
        <v>43</v>
      </c>
      <c r="X773">
        <v>4</v>
      </c>
      <c r="Y773">
        <v>5</v>
      </c>
      <c r="Z773">
        <v>5</v>
      </c>
      <c r="AA773">
        <v>1</v>
      </c>
      <c r="AB773">
        <v>2</v>
      </c>
      <c r="AC773">
        <v>2</v>
      </c>
      <c r="AD773">
        <v>0</v>
      </c>
      <c r="AE773">
        <v>14</v>
      </c>
      <c r="AF773">
        <v>14</v>
      </c>
      <c r="AG773">
        <v>14</v>
      </c>
    </row>
    <row r="774" spans="1:33" x14ac:dyDescent="0.35">
      <c r="A774" t="s">
        <v>33</v>
      </c>
      <c r="B774" t="s">
        <v>50</v>
      </c>
      <c r="C774">
        <v>18</v>
      </c>
      <c r="D774" t="s">
        <v>35</v>
      </c>
      <c r="E774" t="s">
        <v>36</v>
      </c>
      <c r="F774" t="s">
        <v>44</v>
      </c>
      <c r="G774">
        <v>4</v>
      </c>
      <c r="H774">
        <v>4</v>
      </c>
      <c r="I774" t="s">
        <v>45</v>
      </c>
      <c r="J774" t="s">
        <v>45</v>
      </c>
      <c r="K774" t="s">
        <v>40</v>
      </c>
      <c r="L774" t="s">
        <v>41</v>
      </c>
      <c r="M774">
        <v>1</v>
      </c>
      <c r="N774">
        <v>3</v>
      </c>
      <c r="O774">
        <v>0</v>
      </c>
      <c r="P774" t="s">
        <v>43</v>
      </c>
      <c r="Q774" t="s">
        <v>43</v>
      </c>
      <c r="R774" t="s">
        <v>43</v>
      </c>
      <c r="S774" t="s">
        <v>42</v>
      </c>
      <c r="T774" t="s">
        <v>42</v>
      </c>
      <c r="U774" t="s">
        <v>42</v>
      </c>
      <c r="V774" t="s">
        <v>42</v>
      </c>
      <c r="W774" t="s">
        <v>43</v>
      </c>
      <c r="X774">
        <v>4</v>
      </c>
      <c r="Y774">
        <v>3</v>
      </c>
      <c r="Z774">
        <v>3</v>
      </c>
      <c r="AA774">
        <v>2</v>
      </c>
      <c r="AB774">
        <v>2</v>
      </c>
      <c r="AC774">
        <v>3</v>
      </c>
      <c r="AD774">
        <v>0</v>
      </c>
      <c r="AE774">
        <v>13</v>
      </c>
      <c r="AF774">
        <v>14</v>
      </c>
      <c r="AG774">
        <v>13</v>
      </c>
    </row>
    <row r="775" spans="1:33" x14ac:dyDescent="0.35">
      <c r="A775" t="s">
        <v>33</v>
      </c>
      <c r="B775" t="s">
        <v>50</v>
      </c>
      <c r="C775">
        <v>17</v>
      </c>
      <c r="D775" t="s">
        <v>35</v>
      </c>
      <c r="E775" t="s">
        <v>36</v>
      </c>
      <c r="F775" t="s">
        <v>44</v>
      </c>
      <c r="G775">
        <v>3</v>
      </c>
      <c r="H775">
        <v>3</v>
      </c>
      <c r="I775" t="s">
        <v>45</v>
      </c>
      <c r="J775" t="s">
        <v>48</v>
      </c>
      <c r="K775" t="s">
        <v>51</v>
      </c>
      <c r="L775" t="s">
        <v>41</v>
      </c>
      <c r="M775">
        <v>1</v>
      </c>
      <c r="N775">
        <v>1</v>
      </c>
      <c r="O775">
        <v>0</v>
      </c>
      <c r="P775" t="s">
        <v>43</v>
      </c>
      <c r="Q775" t="s">
        <v>43</v>
      </c>
      <c r="R775" t="s">
        <v>43</v>
      </c>
      <c r="S775" t="s">
        <v>42</v>
      </c>
      <c r="T775" t="s">
        <v>43</v>
      </c>
      <c r="U775" t="s">
        <v>42</v>
      </c>
      <c r="V775" t="s">
        <v>42</v>
      </c>
      <c r="W775" t="s">
        <v>43</v>
      </c>
      <c r="X775">
        <v>4</v>
      </c>
      <c r="Y775">
        <v>3</v>
      </c>
      <c r="Z775">
        <v>5</v>
      </c>
      <c r="AA775">
        <v>3</v>
      </c>
      <c r="AB775">
        <v>5</v>
      </c>
      <c r="AC775">
        <v>5</v>
      </c>
      <c r="AD775">
        <v>0</v>
      </c>
      <c r="AE775">
        <v>17</v>
      </c>
      <c r="AF775">
        <v>18</v>
      </c>
      <c r="AG775">
        <v>17</v>
      </c>
    </row>
    <row r="776" spans="1:33" x14ac:dyDescent="0.35">
      <c r="A776" t="s">
        <v>33</v>
      </c>
      <c r="B776" t="s">
        <v>50</v>
      </c>
      <c r="C776">
        <v>17</v>
      </c>
      <c r="D776" t="s">
        <v>52</v>
      </c>
      <c r="E776" t="s">
        <v>36</v>
      </c>
      <c r="F776" t="s">
        <v>44</v>
      </c>
      <c r="G776">
        <v>2</v>
      </c>
      <c r="H776">
        <v>2</v>
      </c>
      <c r="I776" t="s">
        <v>48</v>
      </c>
      <c r="J776" t="s">
        <v>45</v>
      </c>
      <c r="K776" t="s">
        <v>40</v>
      </c>
      <c r="L776" t="s">
        <v>41</v>
      </c>
      <c r="M776">
        <v>4</v>
      </c>
      <c r="N776">
        <v>1</v>
      </c>
      <c r="O776">
        <v>0</v>
      </c>
      <c r="P776" t="s">
        <v>43</v>
      </c>
      <c r="Q776" t="s">
        <v>42</v>
      </c>
      <c r="R776" t="s">
        <v>43</v>
      </c>
      <c r="S776" t="s">
        <v>43</v>
      </c>
      <c r="T776" t="s">
        <v>42</v>
      </c>
      <c r="U776" t="s">
        <v>42</v>
      </c>
      <c r="V776" t="s">
        <v>42</v>
      </c>
      <c r="W776" t="s">
        <v>43</v>
      </c>
      <c r="X776">
        <v>4</v>
      </c>
      <c r="Y776">
        <v>4</v>
      </c>
      <c r="Z776">
        <v>5</v>
      </c>
      <c r="AA776">
        <v>5</v>
      </c>
      <c r="AB776">
        <v>5</v>
      </c>
      <c r="AC776">
        <v>4</v>
      </c>
      <c r="AD776">
        <v>2</v>
      </c>
      <c r="AE776">
        <v>11</v>
      </c>
      <c r="AF776">
        <v>10</v>
      </c>
      <c r="AG776">
        <v>10</v>
      </c>
    </row>
    <row r="777" spans="1:33" x14ac:dyDescent="0.35">
      <c r="A777" t="s">
        <v>33</v>
      </c>
      <c r="B777" t="s">
        <v>34</v>
      </c>
      <c r="C777">
        <v>17</v>
      </c>
      <c r="D777" t="s">
        <v>35</v>
      </c>
      <c r="E777" t="s">
        <v>36</v>
      </c>
      <c r="F777" t="s">
        <v>44</v>
      </c>
      <c r="G777">
        <v>4</v>
      </c>
      <c r="H777">
        <v>4</v>
      </c>
      <c r="I777" t="s">
        <v>39</v>
      </c>
      <c r="J777" t="s">
        <v>48</v>
      </c>
      <c r="K777" t="s">
        <v>40</v>
      </c>
      <c r="L777" t="s">
        <v>41</v>
      </c>
      <c r="M777">
        <v>1</v>
      </c>
      <c r="N777">
        <v>3</v>
      </c>
      <c r="O777">
        <v>0</v>
      </c>
      <c r="P777" t="s">
        <v>43</v>
      </c>
      <c r="Q777" t="s">
        <v>42</v>
      </c>
      <c r="R777" t="s">
        <v>43</v>
      </c>
      <c r="S777" t="s">
        <v>42</v>
      </c>
      <c r="T777" t="s">
        <v>42</v>
      </c>
      <c r="U777" t="s">
        <v>42</v>
      </c>
      <c r="V777" t="s">
        <v>42</v>
      </c>
      <c r="W777" t="s">
        <v>43</v>
      </c>
      <c r="X777">
        <v>5</v>
      </c>
      <c r="Y777">
        <v>4</v>
      </c>
      <c r="Z777">
        <v>4</v>
      </c>
      <c r="AA777">
        <v>1</v>
      </c>
      <c r="AB777">
        <v>3</v>
      </c>
      <c r="AC777">
        <v>4</v>
      </c>
      <c r="AD777">
        <v>0</v>
      </c>
      <c r="AE777">
        <v>13</v>
      </c>
      <c r="AF777">
        <v>12</v>
      </c>
      <c r="AG777">
        <v>13</v>
      </c>
    </row>
    <row r="778" spans="1:33" x14ac:dyDescent="0.35">
      <c r="A778" t="s">
        <v>33</v>
      </c>
      <c r="B778" t="s">
        <v>34</v>
      </c>
      <c r="C778">
        <v>17</v>
      </c>
      <c r="D778" t="s">
        <v>35</v>
      </c>
      <c r="E778" t="s">
        <v>36</v>
      </c>
      <c r="F778" t="s">
        <v>44</v>
      </c>
      <c r="G778">
        <v>4</v>
      </c>
      <c r="H778">
        <v>4</v>
      </c>
      <c r="I778" t="s">
        <v>39</v>
      </c>
      <c r="J778" t="s">
        <v>39</v>
      </c>
      <c r="K778" t="s">
        <v>40</v>
      </c>
      <c r="L778" t="s">
        <v>41</v>
      </c>
      <c r="M778">
        <v>2</v>
      </c>
      <c r="N778">
        <v>3</v>
      </c>
      <c r="O778">
        <v>0</v>
      </c>
      <c r="P778" t="s">
        <v>43</v>
      </c>
      <c r="Q778" t="s">
        <v>42</v>
      </c>
      <c r="R778" t="s">
        <v>43</v>
      </c>
      <c r="S778" t="s">
        <v>43</v>
      </c>
      <c r="T778" t="s">
        <v>43</v>
      </c>
      <c r="U778" t="s">
        <v>42</v>
      </c>
      <c r="V778" t="s">
        <v>42</v>
      </c>
      <c r="W778" t="s">
        <v>42</v>
      </c>
      <c r="X778">
        <v>4</v>
      </c>
      <c r="Y778">
        <v>3</v>
      </c>
      <c r="Z778">
        <v>3</v>
      </c>
      <c r="AA778">
        <v>1</v>
      </c>
      <c r="AB778">
        <v>2</v>
      </c>
      <c r="AC778">
        <v>4</v>
      </c>
      <c r="AD778">
        <v>4</v>
      </c>
      <c r="AE778">
        <v>15</v>
      </c>
      <c r="AF778">
        <v>14</v>
      </c>
      <c r="AG778">
        <v>15</v>
      </c>
    </row>
    <row r="779" spans="1:33" x14ac:dyDescent="0.35">
      <c r="A779" t="s">
        <v>33</v>
      </c>
      <c r="B779" t="s">
        <v>34</v>
      </c>
      <c r="C779">
        <v>17</v>
      </c>
      <c r="D779" t="s">
        <v>35</v>
      </c>
      <c r="E779" t="s">
        <v>36</v>
      </c>
      <c r="F779" t="s">
        <v>44</v>
      </c>
      <c r="G779">
        <v>3</v>
      </c>
      <c r="H779">
        <v>3</v>
      </c>
      <c r="I779" t="s">
        <v>38</v>
      </c>
      <c r="J779" t="s">
        <v>45</v>
      </c>
      <c r="K779" t="s">
        <v>40</v>
      </c>
      <c r="L779" t="s">
        <v>41</v>
      </c>
      <c r="M779">
        <v>1</v>
      </c>
      <c r="N779">
        <v>1</v>
      </c>
      <c r="O779">
        <v>0</v>
      </c>
      <c r="P779" t="s">
        <v>43</v>
      </c>
      <c r="Q779" t="s">
        <v>42</v>
      </c>
      <c r="R779" t="s">
        <v>42</v>
      </c>
      <c r="S779" t="s">
        <v>42</v>
      </c>
      <c r="T779" t="s">
        <v>42</v>
      </c>
      <c r="U779" t="s">
        <v>42</v>
      </c>
      <c r="V779" t="s">
        <v>42</v>
      </c>
      <c r="W779" t="s">
        <v>43</v>
      </c>
      <c r="X779">
        <v>4</v>
      </c>
      <c r="Y779">
        <v>2</v>
      </c>
      <c r="Z779">
        <v>5</v>
      </c>
      <c r="AA779">
        <v>2</v>
      </c>
      <c r="AB779">
        <v>5</v>
      </c>
      <c r="AC779">
        <v>5</v>
      </c>
      <c r="AD779">
        <v>2</v>
      </c>
      <c r="AE779">
        <v>11</v>
      </c>
      <c r="AF779">
        <v>12</v>
      </c>
      <c r="AG779">
        <v>11</v>
      </c>
    </row>
    <row r="780" spans="1:33" x14ac:dyDescent="0.35">
      <c r="A780" t="s">
        <v>33</v>
      </c>
      <c r="B780" t="s">
        <v>50</v>
      </c>
      <c r="C780">
        <v>18</v>
      </c>
      <c r="D780" t="s">
        <v>35</v>
      </c>
      <c r="E780" t="s">
        <v>47</v>
      </c>
      <c r="F780" t="s">
        <v>44</v>
      </c>
      <c r="G780">
        <v>2</v>
      </c>
      <c r="H780">
        <v>2</v>
      </c>
      <c r="I780" t="s">
        <v>45</v>
      </c>
      <c r="J780" t="s">
        <v>45</v>
      </c>
      <c r="K780" t="s">
        <v>40</v>
      </c>
      <c r="L780" t="s">
        <v>41</v>
      </c>
      <c r="M780">
        <v>1</v>
      </c>
      <c r="N780">
        <v>4</v>
      </c>
      <c r="O780">
        <v>0</v>
      </c>
      <c r="P780" t="s">
        <v>43</v>
      </c>
      <c r="Q780" t="s">
        <v>42</v>
      </c>
      <c r="R780" t="s">
        <v>42</v>
      </c>
      <c r="S780" t="s">
        <v>42</v>
      </c>
      <c r="T780" t="s">
        <v>42</v>
      </c>
      <c r="U780" t="s">
        <v>42</v>
      </c>
      <c r="V780" t="s">
        <v>42</v>
      </c>
      <c r="W780" t="s">
        <v>43</v>
      </c>
      <c r="X780">
        <v>4</v>
      </c>
      <c r="Y780">
        <v>5</v>
      </c>
      <c r="Z780">
        <v>5</v>
      </c>
      <c r="AA780">
        <v>2</v>
      </c>
      <c r="AB780">
        <v>4</v>
      </c>
      <c r="AC780">
        <v>5</v>
      </c>
      <c r="AD780">
        <v>0</v>
      </c>
      <c r="AE780">
        <v>11</v>
      </c>
      <c r="AF780">
        <v>11</v>
      </c>
      <c r="AG780">
        <v>12</v>
      </c>
    </row>
    <row r="781" spans="1:33" x14ac:dyDescent="0.35">
      <c r="A781" t="s">
        <v>33</v>
      </c>
      <c r="B781" t="s">
        <v>50</v>
      </c>
      <c r="C781">
        <v>19</v>
      </c>
      <c r="D781" t="s">
        <v>52</v>
      </c>
      <c r="E781" t="s">
        <v>36</v>
      </c>
      <c r="F781" t="s">
        <v>44</v>
      </c>
      <c r="G781">
        <v>3</v>
      </c>
      <c r="H781">
        <v>2</v>
      </c>
      <c r="I781" t="s">
        <v>38</v>
      </c>
      <c r="J781" t="s">
        <v>48</v>
      </c>
      <c r="K781" t="s">
        <v>49</v>
      </c>
      <c r="L781" t="s">
        <v>45</v>
      </c>
      <c r="M781">
        <v>1</v>
      </c>
      <c r="N781">
        <v>1</v>
      </c>
      <c r="O781">
        <v>0</v>
      </c>
      <c r="P781" t="s">
        <v>43</v>
      </c>
      <c r="Q781" t="s">
        <v>42</v>
      </c>
      <c r="R781" t="s">
        <v>43</v>
      </c>
      <c r="S781" t="s">
        <v>43</v>
      </c>
      <c r="T781" t="s">
        <v>43</v>
      </c>
      <c r="U781" t="s">
        <v>42</v>
      </c>
      <c r="V781" t="s">
        <v>43</v>
      </c>
      <c r="W781" t="s">
        <v>42</v>
      </c>
      <c r="X781">
        <v>5</v>
      </c>
      <c r="Y781">
        <v>3</v>
      </c>
      <c r="Z781">
        <v>4</v>
      </c>
      <c r="AA781">
        <v>2</v>
      </c>
      <c r="AB781">
        <v>2</v>
      </c>
      <c r="AC781">
        <v>5</v>
      </c>
      <c r="AD781">
        <v>0</v>
      </c>
      <c r="AE781">
        <v>11</v>
      </c>
      <c r="AF781">
        <v>10</v>
      </c>
      <c r="AG781">
        <v>10</v>
      </c>
    </row>
    <row r="782" spans="1:33" x14ac:dyDescent="0.35">
      <c r="A782" t="s">
        <v>33</v>
      </c>
      <c r="B782" t="s">
        <v>34</v>
      </c>
      <c r="C782">
        <v>18</v>
      </c>
      <c r="D782" t="s">
        <v>35</v>
      </c>
      <c r="E782" t="s">
        <v>36</v>
      </c>
      <c r="F782" t="s">
        <v>44</v>
      </c>
      <c r="G782">
        <v>2</v>
      </c>
      <c r="H782">
        <v>2</v>
      </c>
      <c r="I782" t="s">
        <v>38</v>
      </c>
      <c r="J782" t="s">
        <v>45</v>
      </c>
      <c r="K782" t="s">
        <v>40</v>
      </c>
      <c r="L782" t="s">
        <v>41</v>
      </c>
      <c r="M782">
        <v>4</v>
      </c>
      <c r="N782">
        <v>2</v>
      </c>
      <c r="O782">
        <v>0</v>
      </c>
      <c r="P782" t="s">
        <v>43</v>
      </c>
      <c r="Q782" t="s">
        <v>43</v>
      </c>
      <c r="R782" t="s">
        <v>43</v>
      </c>
      <c r="S782" t="s">
        <v>42</v>
      </c>
      <c r="T782" t="s">
        <v>42</v>
      </c>
      <c r="U782" t="s">
        <v>42</v>
      </c>
      <c r="V782" t="s">
        <v>43</v>
      </c>
      <c r="W782" t="s">
        <v>42</v>
      </c>
      <c r="X782">
        <v>4</v>
      </c>
      <c r="Y782">
        <v>2</v>
      </c>
      <c r="Z782">
        <v>5</v>
      </c>
      <c r="AA782">
        <v>1</v>
      </c>
      <c r="AB782">
        <v>1</v>
      </c>
      <c r="AC782">
        <v>2</v>
      </c>
      <c r="AD782">
        <v>2</v>
      </c>
      <c r="AE782">
        <v>10</v>
      </c>
      <c r="AF782">
        <v>9</v>
      </c>
      <c r="AG782">
        <v>10</v>
      </c>
    </row>
    <row r="783" spans="1:33" x14ac:dyDescent="0.35">
      <c r="A783" t="s">
        <v>33</v>
      </c>
      <c r="B783" t="s">
        <v>34</v>
      </c>
      <c r="C783">
        <v>17</v>
      </c>
      <c r="D783" t="s">
        <v>52</v>
      </c>
      <c r="E783" t="s">
        <v>36</v>
      </c>
      <c r="F783" t="s">
        <v>44</v>
      </c>
      <c r="G783">
        <v>2</v>
      </c>
      <c r="H783">
        <v>4</v>
      </c>
      <c r="I783" t="s">
        <v>38</v>
      </c>
      <c r="J783" t="s">
        <v>45</v>
      </c>
      <c r="K783" t="s">
        <v>40</v>
      </c>
      <c r="L783" t="s">
        <v>46</v>
      </c>
      <c r="M783">
        <v>1</v>
      </c>
      <c r="N783">
        <v>3</v>
      </c>
      <c r="O783">
        <v>0</v>
      </c>
      <c r="P783" t="s">
        <v>43</v>
      </c>
      <c r="Q783" t="s">
        <v>42</v>
      </c>
      <c r="R783" t="s">
        <v>43</v>
      </c>
      <c r="S783" t="s">
        <v>43</v>
      </c>
      <c r="T783" t="s">
        <v>42</v>
      </c>
      <c r="U783" t="s">
        <v>42</v>
      </c>
      <c r="V783" t="s">
        <v>42</v>
      </c>
      <c r="W783" t="s">
        <v>42</v>
      </c>
      <c r="X783">
        <v>4</v>
      </c>
      <c r="Y783">
        <v>4</v>
      </c>
      <c r="Z783">
        <v>3</v>
      </c>
      <c r="AA783">
        <v>1</v>
      </c>
      <c r="AB783">
        <v>1</v>
      </c>
      <c r="AC783">
        <v>5</v>
      </c>
      <c r="AD783">
        <v>0</v>
      </c>
      <c r="AE783">
        <v>15</v>
      </c>
      <c r="AF783">
        <v>15</v>
      </c>
      <c r="AG783">
        <v>15</v>
      </c>
    </row>
    <row r="784" spans="1:33" x14ac:dyDescent="0.35">
      <c r="A784" t="s">
        <v>33</v>
      </c>
      <c r="B784" t="s">
        <v>50</v>
      </c>
      <c r="C784">
        <v>18</v>
      </c>
      <c r="D784" t="s">
        <v>35</v>
      </c>
      <c r="E784" t="s">
        <v>36</v>
      </c>
      <c r="F784" t="s">
        <v>44</v>
      </c>
      <c r="G784">
        <v>2</v>
      </c>
      <c r="H784">
        <v>2</v>
      </c>
      <c r="I784" t="s">
        <v>45</v>
      </c>
      <c r="J784" t="s">
        <v>45</v>
      </c>
      <c r="K784" t="s">
        <v>51</v>
      </c>
      <c r="L784" t="s">
        <v>41</v>
      </c>
      <c r="M784">
        <v>1</v>
      </c>
      <c r="N784">
        <v>1</v>
      </c>
      <c r="O784">
        <v>0</v>
      </c>
      <c r="P784" t="s">
        <v>43</v>
      </c>
      <c r="Q784" t="s">
        <v>43</v>
      </c>
      <c r="R784" t="s">
        <v>43</v>
      </c>
      <c r="S784" t="s">
        <v>43</v>
      </c>
      <c r="T784" t="s">
        <v>43</v>
      </c>
      <c r="U784" t="s">
        <v>42</v>
      </c>
      <c r="V784" t="s">
        <v>42</v>
      </c>
      <c r="W784" t="s">
        <v>43</v>
      </c>
      <c r="X784">
        <v>5</v>
      </c>
      <c r="Y784">
        <v>4</v>
      </c>
      <c r="Z784">
        <v>2</v>
      </c>
      <c r="AA784">
        <v>1</v>
      </c>
      <c r="AB784">
        <v>2</v>
      </c>
      <c r="AC784">
        <v>5</v>
      </c>
      <c r="AD784">
        <v>6</v>
      </c>
      <c r="AE784">
        <v>15</v>
      </c>
      <c r="AF784">
        <v>14</v>
      </c>
      <c r="AG784">
        <v>15</v>
      </c>
    </row>
    <row r="785" spans="1:33" x14ac:dyDescent="0.35">
      <c r="A785" t="s">
        <v>33</v>
      </c>
      <c r="B785" t="s">
        <v>34</v>
      </c>
      <c r="C785">
        <v>18</v>
      </c>
      <c r="D785" t="s">
        <v>35</v>
      </c>
      <c r="E785" t="s">
        <v>36</v>
      </c>
      <c r="F785" t="s">
        <v>44</v>
      </c>
      <c r="G785">
        <v>3</v>
      </c>
      <c r="H785">
        <v>3</v>
      </c>
      <c r="I785" t="s">
        <v>48</v>
      </c>
      <c r="J785" t="s">
        <v>48</v>
      </c>
      <c r="K785" t="s">
        <v>49</v>
      </c>
      <c r="L785" t="s">
        <v>41</v>
      </c>
      <c r="M785">
        <v>1</v>
      </c>
      <c r="N785">
        <v>2</v>
      </c>
      <c r="O785">
        <v>0</v>
      </c>
      <c r="P785" t="s">
        <v>43</v>
      </c>
      <c r="Q785" t="s">
        <v>43</v>
      </c>
      <c r="R785" t="s">
        <v>43</v>
      </c>
      <c r="S785" t="s">
        <v>42</v>
      </c>
      <c r="T785" t="s">
        <v>42</v>
      </c>
      <c r="U785" t="s">
        <v>42</v>
      </c>
      <c r="V785" t="s">
        <v>42</v>
      </c>
      <c r="W785" t="s">
        <v>43</v>
      </c>
      <c r="X785">
        <v>5</v>
      </c>
      <c r="Y785">
        <v>3</v>
      </c>
      <c r="Z785">
        <v>4</v>
      </c>
      <c r="AA785">
        <v>1</v>
      </c>
      <c r="AB785">
        <v>1</v>
      </c>
      <c r="AC785">
        <v>4</v>
      </c>
      <c r="AD785">
        <v>8</v>
      </c>
      <c r="AE785">
        <v>10</v>
      </c>
      <c r="AF785">
        <v>11</v>
      </c>
      <c r="AG785">
        <v>12</v>
      </c>
    </row>
    <row r="786" spans="1:33" x14ac:dyDescent="0.35">
      <c r="A786" t="s">
        <v>33</v>
      </c>
      <c r="B786" t="s">
        <v>34</v>
      </c>
      <c r="C786">
        <v>18</v>
      </c>
      <c r="D786" t="s">
        <v>35</v>
      </c>
      <c r="E786" t="s">
        <v>47</v>
      </c>
      <c r="F786" t="s">
        <v>44</v>
      </c>
      <c r="G786">
        <v>2</v>
      </c>
      <c r="H786">
        <v>2</v>
      </c>
      <c r="I786" t="s">
        <v>45</v>
      </c>
      <c r="J786" t="s">
        <v>45</v>
      </c>
      <c r="K786" t="s">
        <v>49</v>
      </c>
      <c r="L786" t="s">
        <v>45</v>
      </c>
      <c r="M786">
        <v>1</v>
      </c>
      <c r="N786">
        <v>2</v>
      </c>
      <c r="O786">
        <v>0</v>
      </c>
      <c r="P786" t="s">
        <v>43</v>
      </c>
      <c r="Q786" t="s">
        <v>43</v>
      </c>
      <c r="R786" t="s">
        <v>43</v>
      </c>
      <c r="S786" t="s">
        <v>42</v>
      </c>
      <c r="T786" t="s">
        <v>43</v>
      </c>
      <c r="U786" t="s">
        <v>42</v>
      </c>
      <c r="V786" t="s">
        <v>42</v>
      </c>
      <c r="W786" t="s">
        <v>42</v>
      </c>
      <c r="X786">
        <v>4</v>
      </c>
      <c r="Y786">
        <v>3</v>
      </c>
      <c r="Z786">
        <v>3</v>
      </c>
      <c r="AA786">
        <v>1</v>
      </c>
      <c r="AB786">
        <v>1</v>
      </c>
      <c r="AC786">
        <v>2</v>
      </c>
      <c r="AD786">
        <v>0</v>
      </c>
      <c r="AE786">
        <v>10</v>
      </c>
      <c r="AF786">
        <v>9</v>
      </c>
      <c r="AG786">
        <v>12</v>
      </c>
    </row>
    <row r="787" spans="1:33" x14ac:dyDescent="0.35">
      <c r="A787" t="s">
        <v>33</v>
      </c>
      <c r="B787" t="s">
        <v>34</v>
      </c>
      <c r="C787">
        <v>18</v>
      </c>
      <c r="D787" t="s">
        <v>52</v>
      </c>
      <c r="E787" t="s">
        <v>36</v>
      </c>
      <c r="F787" t="s">
        <v>44</v>
      </c>
      <c r="G787">
        <v>2</v>
      </c>
      <c r="H787">
        <v>2</v>
      </c>
      <c r="I787" t="s">
        <v>38</v>
      </c>
      <c r="J787" t="s">
        <v>45</v>
      </c>
      <c r="K787" t="s">
        <v>40</v>
      </c>
      <c r="L787" t="s">
        <v>41</v>
      </c>
      <c r="M787">
        <v>2</v>
      </c>
      <c r="N787">
        <v>4</v>
      </c>
      <c r="O787">
        <v>0</v>
      </c>
      <c r="P787" t="s">
        <v>43</v>
      </c>
      <c r="Q787" t="s">
        <v>43</v>
      </c>
      <c r="R787" t="s">
        <v>43</v>
      </c>
      <c r="S787" t="s">
        <v>42</v>
      </c>
      <c r="T787" t="s">
        <v>42</v>
      </c>
      <c r="U787" t="s">
        <v>42</v>
      </c>
      <c r="V787" t="s">
        <v>43</v>
      </c>
      <c r="W787" t="s">
        <v>43</v>
      </c>
      <c r="X787">
        <v>4</v>
      </c>
      <c r="Y787">
        <v>4</v>
      </c>
      <c r="Z787">
        <v>4</v>
      </c>
      <c r="AA787">
        <v>1</v>
      </c>
      <c r="AB787">
        <v>1</v>
      </c>
      <c r="AC787">
        <v>4</v>
      </c>
      <c r="AD787">
        <v>6</v>
      </c>
      <c r="AE787">
        <v>14</v>
      </c>
      <c r="AF787">
        <v>13</v>
      </c>
      <c r="AG787">
        <v>14</v>
      </c>
    </row>
    <row r="788" spans="1:33" x14ac:dyDescent="0.35">
      <c r="A788" t="s">
        <v>33</v>
      </c>
      <c r="B788" t="s">
        <v>34</v>
      </c>
      <c r="C788">
        <v>17</v>
      </c>
      <c r="D788" t="s">
        <v>35</v>
      </c>
      <c r="E788" t="s">
        <v>36</v>
      </c>
      <c r="F788" t="s">
        <v>44</v>
      </c>
      <c r="G788">
        <v>3</v>
      </c>
      <c r="H788">
        <v>4</v>
      </c>
      <c r="I788" t="s">
        <v>48</v>
      </c>
      <c r="J788" t="s">
        <v>45</v>
      </c>
      <c r="K788" t="s">
        <v>40</v>
      </c>
      <c r="L788" t="s">
        <v>41</v>
      </c>
      <c r="M788">
        <v>1</v>
      </c>
      <c r="N788">
        <v>3</v>
      </c>
      <c r="O788">
        <v>0</v>
      </c>
      <c r="P788" t="s">
        <v>43</v>
      </c>
      <c r="Q788" t="s">
        <v>43</v>
      </c>
      <c r="R788" t="s">
        <v>43</v>
      </c>
      <c r="S788" t="s">
        <v>43</v>
      </c>
      <c r="T788" t="s">
        <v>42</v>
      </c>
      <c r="U788" t="s">
        <v>42</v>
      </c>
      <c r="V788" t="s">
        <v>42</v>
      </c>
      <c r="W788" t="s">
        <v>43</v>
      </c>
      <c r="X788">
        <v>4</v>
      </c>
      <c r="Y788">
        <v>4</v>
      </c>
      <c r="Z788">
        <v>5</v>
      </c>
      <c r="AA788">
        <v>1</v>
      </c>
      <c r="AB788">
        <v>3</v>
      </c>
      <c r="AC788">
        <v>5</v>
      </c>
      <c r="AD788">
        <v>8</v>
      </c>
      <c r="AE788">
        <v>11</v>
      </c>
      <c r="AF788">
        <v>13</v>
      </c>
      <c r="AG788">
        <v>14</v>
      </c>
    </row>
    <row r="789" spans="1:33" x14ac:dyDescent="0.35">
      <c r="A789" t="s">
        <v>33</v>
      </c>
      <c r="B789" t="s">
        <v>34</v>
      </c>
      <c r="C789">
        <v>17</v>
      </c>
      <c r="D789" t="s">
        <v>35</v>
      </c>
      <c r="E789" t="s">
        <v>36</v>
      </c>
      <c r="F789" t="s">
        <v>44</v>
      </c>
      <c r="G789">
        <v>3</v>
      </c>
      <c r="H789">
        <v>2</v>
      </c>
      <c r="I789" t="s">
        <v>45</v>
      </c>
      <c r="J789" t="s">
        <v>45</v>
      </c>
      <c r="K789" t="s">
        <v>49</v>
      </c>
      <c r="L789" t="s">
        <v>41</v>
      </c>
      <c r="M789">
        <v>1</v>
      </c>
      <c r="N789">
        <v>2</v>
      </c>
      <c r="O789">
        <v>0</v>
      </c>
      <c r="P789" t="s">
        <v>43</v>
      </c>
      <c r="Q789" t="s">
        <v>42</v>
      </c>
      <c r="R789" t="s">
        <v>43</v>
      </c>
      <c r="S789" t="s">
        <v>43</v>
      </c>
      <c r="T789" t="s">
        <v>42</v>
      </c>
      <c r="U789" t="s">
        <v>42</v>
      </c>
      <c r="V789" t="s">
        <v>42</v>
      </c>
      <c r="W789" t="s">
        <v>42</v>
      </c>
      <c r="X789">
        <v>4</v>
      </c>
      <c r="Y789">
        <v>3</v>
      </c>
      <c r="Z789">
        <v>2</v>
      </c>
      <c r="AA789">
        <v>2</v>
      </c>
      <c r="AB789">
        <v>3</v>
      </c>
      <c r="AC789">
        <v>2</v>
      </c>
      <c r="AD789">
        <v>0</v>
      </c>
      <c r="AE789">
        <v>12</v>
      </c>
      <c r="AF789">
        <v>13</v>
      </c>
      <c r="AG789">
        <v>15</v>
      </c>
    </row>
    <row r="790" spans="1:33" x14ac:dyDescent="0.35">
      <c r="A790" t="s">
        <v>33</v>
      </c>
      <c r="B790" t="s">
        <v>34</v>
      </c>
      <c r="C790">
        <v>18</v>
      </c>
      <c r="D790" t="s">
        <v>35</v>
      </c>
      <c r="E790" t="s">
        <v>47</v>
      </c>
      <c r="F790" t="s">
        <v>44</v>
      </c>
      <c r="G790">
        <v>3</v>
      </c>
      <c r="H790">
        <v>3</v>
      </c>
      <c r="I790" t="s">
        <v>48</v>
      </c>
      <c r="J790" t="s">
        <v>48</v>
      </c>
      <c r="K790" t="s">
        <v>49</v>
      </c>
      <c r="L790" t="s">
        <v>41</v>
      </c>
      <c r="M790">
        <v>1</v>
      </c>
      <c r="N790">
        <v>4</v>
      </c>
      <c r="O790">
        <v>0</v>
      </c>
      <c r="P790" t="s">
        <v>43</v>
      </c>
      <c r="Q790" t="s">
        <v>42</v>
      </c>
      <c r="R790" t="s">
        <v>43</v>
      </c>
      <c r="S790" t="s">
        <v>43</v>
      </c>
      <c r="T790" t="s">
        <v>42</v>
      </c>
      <c r="U790" t="s">
        <v>42</v>
      </c>
      <c r="V790" t="s">
        <v>42</v>
      </c>
      <c r="W790" t="s">
        <v>43</v>
      </c>
      <c r="X790">
        <v>5</v>
      </c>
      <c r="Y790">
        <v>3</v>
      </c>
      <c r="Z790">
        <v>3</v>
      </c>
      <c r="AA790">
        <v>1</v>
      </c>
      <c r="AB790">
        <v>1</v>
      </c>
      <c r="AC790">
        <v>1</v>
      </c>
      <c r="AD790">
        <v>4</v>
      </c>
      <c r="AE790">
        <v>14</v>
      </c>
      <c r="AF790">
        <v>14</v>
      </c>
      <c r="AG790">
        <v>15</v>
      </c>
    </row>
    <row r="791" spans="1:33" x14ac:dyDescent="0.35">
      <c r="A791" t="s">
        <v>33</v>
      </c>
      <c r="B791" t="s">
        <v>34</v>
      </c>
      <c r="C791">
        <v>17</v>
      </c>
      <c r="D791" t="s">
        <v>52</v>
      </c>
      <c r="E791" t="s">
        <v>36</v>
      </c>
      <c r="F791" t="s">
        <v>37</v>
      </c>
      <c r="G791">
        <v>3</v>
      </c>
      <c r="H791">
        <v>2</v>
      </c>
      <c r="I791" t="s">
        <v>45</v>
      </c>
      <c r="J791" t="s">
        <v>45</v>
      </c>
      <c r="K791" t="s">
        <v>49</v>
      </c>
      <c r="L791" t="s">
        <v>41</v>
      </c>
      <c r="M791">
        <v>1</v>
      </c>
      <c r="N791">
        <v>2</v>
      </c>
      <c r="O791">
        <v>0</v>
      </c>
      <c r="P791" t="s">
        <v>43</v>
      </c>
      <c r="Q791" t="s">
        <v>42</v>
      </c>
      <c r="R791" t="s">
        <v>43</v>
      </c>
      <c r="S791" t="s">
        <v>43</v>
      </c>
      <c r="T791" t="s">
        <v>42</v>
      </c>
      <c r="U791" t="s">
        <v>42</v>
      </c>
      <c r="V791" t="s">
        <v>42</v>
      </c>
      <c r="W791" t="s">
        <v>43</v>
      </c>
      <c r="X791">
        <v>4</v>
      </c>
      <c r="Y791">
        <v>3</v>
      </c>
      <c r="Z791">
        <v>3</v>
      </c>
      <c r="AA791">
        <v>2</v>
      </c>
      <c r="AB791">
        <v>3</v>
      </c>
      <c r="AC791">
        <v>2</v>
      </c>
      <c r="AD791">
        <v>0</v>
      </c>
      <c r="AE791">
        <v>14</v>
      </c>
      <c r="AF791">
        <v>14</v>
      </c>
      <c r="AG791">
        <v>16</v>
      </c>
    </row>
    <row r="792" spans="1:33" x14ac:dyDescent="0.35">
      <c r="A792" t="s">
        <v>33</v>
      </c>
      <c r="B792" t="s">
        <v>50</v>
      </c>
      <c r="C792">
        <v>18</v>
      </c>
      <c r="D792" t="s">
        <v>35</v>
      </c>
      <c r="E792" t="s">
        <v>36</v>
      </c>
      <c r="F792" t="s">
        <v>44</v>
      </c>
      <c r="G792">
        <v>4</v>
      </c>
      <c r="H792">
        <v>4</v>
      </c>
      <c r="I792" t="s">
        <v>39</v>
      </c>
      <c r="J792" t="s">
        <v>48</v>
      </c>
      <c r="K792" t="s">
        <v>49</v>
      </c>
      <c r="L792" t="s">
        <v>46</v>
      </c>
      <c r="M792">
        <v>1</v>
      </c>
      <c r="N792">
        <v>2</v>
      </c>
      <c r="O792">
        <v>0</v>
      </c>
      <c r="P792" t="s">
        <v>43</v>
      </c>
      <c r="Q792" t="s">
        <v>42</v>
      </c>
      <c r="R792" t="s">
        <v>43</v>
      </c>
      <c r="S792" t="s">
        <v>42</v>
      </c>
      <c r="T792" t="s">
        <v>42</v>
      </c>
      <c r="U792" t="s">
        <v>42</v>
      </c>
      <c r="V792" t="s">
        <v>42</v>
      </c>
      <c r="W792" t="s">
        <v>43</v>
      </c>
      <c r="X792">
        <v>4</v>
      </c>
      <c r="Y792">
        <v>3</v>
      </c>
      <c r="Z792">
        <v>3</v>
      </c>
      <c r="AA792">
        <v>2</v>
      </c>
      <c r="AB792">
        <v>2</v>
      </c>
      <c r="AC792">
        <v>2</v>
      </c>
      <c r="AD792">
        <v>0</v>
      </c>
      <c r="AE792">
        <v>12</v>
      </c>
      <c r="AF792">
        <v>12</v>
      </c>
      <c r="AG792">
        <v>13</v>
      </c>
    </row>
    <row r="793" spans="1:33" x14ac:dyDescent="0.35">
      <c r="A793" t="s">
        <v>33</v>
      </c>
      <c r="B793" t="s">
        <v>50</v>
      </c>
      <c r="C793">
        <v>18</v>
      </c>
      <c r="D793" t="s">
        <v>35</v>
      </c>
      <c r="E793" t="s">
        <v>47</v>
      </c>
      <c r="F793" t="s">
        <v>44</v>
      </c>
      <c r="G793">
        <v>3</v>
      </c>
      <c r="H793">
        <v>4</v>
      </c>
      <c r="I793" t="s">
        <v>48</v>
      </c>
      <c r="J793" t="s">
        <v>45</v>
      </c>
      <c r="K793" t="s">
        <v>49</v>
      </c>
      <c r="L793" t="s">
        <v>41</v>
      </c>
      <c r="M793">
        <v>1</v>
      </c>
      <c r="N793">
        <v>2</v>
      </c>
      <c r="O793">
        <v>0</v>
      </c>
      <c r="P793" t="s">
        <v>43</v>
      </c>
      <c r="Q793" t="s">
        <v>43</v>
      </c>
      <c r="R793" t="s">
        <v>43</v>
      </c>
      <c r="S793" t="s">
        <v>42</v>
      </c>
      <c r="T793" t="s">
        <v>42</v>
      </c>
      <c r="U793" t="s">
        <v>42</v>
      </c>
      <c r="V793" t="s">
        <v>42</v>
      </c>
      <c r="W793" t="s">
        <v>42</v>
      </c>
      <c r="X793">
        <v>4</v>
      </c>
      <c r="Y793">
        <v>3</v>
      </c>
      <c r="Z793">
        <v>3</v>
      </c>
      <c r="AA793">
        <v>1</v>
      </c>
      <c r="AB793">
        <v>3</v>
      </c>
      <c r="AC793">
        <v>5</v>
      </c>
      <c r="AD793">
        <v>6</v>
      </c>
      <c r="AE793">
        <v>16</v>
      </c>
      <c r="AF793">
        <v>16</v>
      </c>
      <c r="AG793">
        <v>17</v>
      </c>
    </row>
    <row r="794" spans="1:33" x14ac:dyDescent="0.35">
      <c r="A794" t="s">
        <v>33</v>
      </c>
      <c r="B794" t="s">
        <v>34</v>
      </c>
      <c r="C794">
        <v>17</v>
      </c>
      <c r="D794" t="s">
        <v>35</v>
      </c>
      <c r="E794" t="s">
        <v>36</v>
      </c>
      <c r="F794" t="s">
        <v>37</v>
      </c>
      <c r="G794">
        <v>2</v>
      </c>
      <c r="H794">
        <v>2</v>
      </c>
      <c r="I794" t="s">
        <v>38</v>
      </c>
      <c r="J794" t="s">
        <v>38</v>
      </c>
      <c r="K794" t="s">
        <v>49</v>
      </c>
      <c r="L794" t="s">
        <v>46</v>
      </c>
      <c r="M794">
        <v>1</v>
      </c>
      <c r="N794">
        <v>2</v>
      </c>
      <c r="O794">
        <v>0</v>
      </c>
      <c r="P794" t="s">
        <v>43</v>
      </c>
      <c r="Q794" t="s">
        <v>42</v>
      </c>
      <c r="R794" t="s">
        <v>43</v>
      </c>
      <c r="S794" t="s">
        <v>43</v>
      </c>
      <c r="T794" t="s">
        <v>42</v>
      </c>
      <c r="U794" t="s">
        <v>42</v>
      </c>
      <c r="V794" t="s">
        <v>42</v>
      </c>
      <c r="W794" t="s">
        <v>42</v>
      </c>
      <c r="X794">
        <v>3</v>
      </c>
      <c r="Y794">
        <v>3</v>
      </c>
      <c r="Z794">
        <v>1</v>
      </c>
      <c r="AA794">
        <v>1</v>
      </c>
      <c r="AB794">
        <v>2</v>
      </c>
      <c r="AC794">
        <v>4</v>
      </c>
      <c r="AD794">
        <v>18</v>
      </c>
      <c r="AE794">
        <v>10</v>
      </c>
      <c r="AF794">
        <v>12</v>
      </c>
      <c r="AG794">
        <v>14</v>
      </c>
    </row>
    <row r="795" spans="1:33" x14ac:dyDescent="0.35">
      <c r="A795" t="s">
        <v>33</v>
      </c>
      <c r="B795" t="s">
        <v>34</v>
      </c>
      <c r="C795">
        <v>18</v>
      </c>
      <c r="D795" t="s">
        <v>35</v>
      </c>
      <c r="E795" t="s">
        <v>36</v>
      </c>
      <c r="F795" t="s">
        <v>44</v>
      </c>
      <c r="G795">
        <v>2</v>
      </c>
      <c r="H795">
        <v>3</v>
      </c>
      <c r="I795" t="s">
        <v>38</v>
      </c>
      <c r="J795" t="s">
        <v>45</v>
      </c>
      <c r="K795" t="s">
        <v>40</v>
      </c>
      <c r="L795" t="s">
        <v>41</v>
      </c>
      <c r="M795">
        <v>1</v>
      </c>
      <c r="N795">
        <v>3</v>
      </c>
      <c r="O795">
        <v>0</v>
      </c>
      <c r="P795" t="s">
        <v>43</v>
      </c>
      <c r="Q795" t="s">
        <v>42</v>
      </c>
      <c r="R795" t="s">
        <v>43</v>
      </c>
      <c r="S795" t="s">
        <v>43</v>
      </c>
      <c r="T795" t="s">
        <v>42</v>
      </c>
      <c r="U795" t="s">
        <v>42</v>
      </c>
      <c r="V795" t="s">
        <v>42</v>
      </c>
      <c r="W795" t="s">
        <v>43</v>
      </c>
      <c r="X795">
        <v>4</v>
      </c>
      <c r="Y795">
        <v>3</v>
      </c>
      <c r="Z795">
        <v>3</v>
      </c>
      <c r="AA795">
        <v>1</v>
      </c>
      <c r="AB795">
        <v>2</v>
      </c>
      <c r="AC795">
        <v>3</v>
      </c>
      <c r="AD795">
        <v>0</v>
      </c>
      <c r="AE795">
        <v>11</v>
      </c>
      <c r="AF795">
        <v>12</v>
      </c>
      <c r="AG795">
        <v>14</v>
      </c>
    </row>
    <row r="796" spans="1:33" x14ac:dyDescent="0.35">
      <c r="A796" t="s">
        <v>33</v>
      </c>
      <c r="B796" t="s">
        <v>34</v>
      </c>
      <c r="C796">
        <v>18</v>
      </c>
      <c r="D796" t="s">
        <v>35</v>
      </c>
      <c r="E796" t="s">
        <v>36</v>
      </c>
      <c r="F796" t="s">
        <v>44</v>
      </c>
      <c r="G796">
        <v>3</v>
      </c>
      <c r="H796">
        <v>2</v>
      </c>
      <c r="I796" t="s">
        <v>45</v>
      </c>
      <c r="J796" t="s">
        <v>48</v>
      </c>
      <c r="K796" t="s">
        <v>45</v>
      </c>
      <c r="L796" t="s">
        <v>41</v>
      </c>
      <c r="M796">
        <v>1</v>
      </c>
      <c r="N796">
        <v>3</v>
      </c>
      <c r="O796">
        <v>0</v>
      </c>
      <c r="P796" t="s">
        <v>43</v>
      </c>
      <c r="Q796" t="s">
        <v>43</v>
      </c>
      <c r="R796" t="s">
        <v>43</v>
      </c>
      <c r="S796" t="s">
        <v>43</v>
      </c>
      <c r="T796" t="s">
        <v>42</v>
      </c>
      <c r="U796" t="s">
        <v>42</v>
      </c>
      <c r="V796" t="s">
        <v>42</v>
      </c>
      <c r="W796" t="s">
        <v>42</v>
      </c>
      <c r="X796">
        <v>5</v>
      </c>
      <c r="Y796">
        <v>4</v>
      </c>
      <c r="Z796">
        <v>3</v>
      </c>
      <c r="AA796">
        <v>2</v>
      </c>
      <c r="AB796">
        <v>3</v>
      </c>
      <c r="AC796">
        <v>1</v>
      </c>
      <c r="AD796">
        <v>4</v>
      </c>
      <c r="AE796">
        <v>14</v>
      </c>
      <c r="AF796">
        <v>16</v>
      </c>
      <c r="AG796">
        <v>17</v>
      </c>
    </row>
    <row r="797" spans="1:33" x14ac:dyDescent="0.35">
      <c r="A797" t="s">
        <v>33</v>
      </c>
      <c r="B797" t="s">
        <v>50</v>
      </c>
      <c r="C797">
        <v>18</v>
      </c>
      <c r="D797" t="s">
        <v>52</v>
      </c>
      <c r="E797" t="s">
        <v>36</v>
      </c>
      <c r="F797" t="s">
        <v>44</v>
      </c>
      <c r="G797">
        <v>4</v>
      </c>
      <c r="H797">
        <v>3</v>
      </c>
      <c r="I797" t="s">
        <v>39</v>
      </c>
      <c r="J797" t="s">
        <v>48</v>
      </c>
      <c r="K797" t="s">
        <v>40</v>
      </c>
      <c r="L797" t="s">
        <v>41</v>
      </c>
      <c r="M797">
        <v>1</v>
      </c>
      <c r="N797">
        <v>3</v>
      </c>
      <c r="O797">
        <v>0</v>
      </c>
      <c r="P797" t="s">
        <v>43</v>
      </c>
      <c r="Q797" t="s">
        <v>43</v>
      </c>
      <c r="R797" t="s">
        <v>43</v>
      </c>
      <c r="S797" t="s">
        <v>43</v>
      </c>
      <c r="T797" t="s">
        <v>42</v>
      </c>
      <c r="U797" t="s">
        <v>42</v>
      </c>
      <c r="V797" t="s">
        <v>42</v>
      </c>
      <c r="W797" t="s">
        <v>42</v>
      </c>
      <c r="X797">
        <v>5</v>
      </c>
      <c r="Y797">
        <v>3</v>
      </c>
      <c r="Z797">
        <v>2</v>
      </c>
      <c r="AA797">
        <v>1</v>
      </c>
      <c r="AB797">
        <v>2</v>
      </c>
      <c r="AC797">
        <v>4</v>
      </c>
      <c r="AD797">
        <v>4</v>
      </c>
      <c r="AE797">
        <v>15</v>
      </c>
      <c r="AF797">
        <v>14</v>
      </c>
      <c r="AG797">
        <v>17</v>
      </c>
    </row>
    <row r="798" spans="1:33" x14ac:dyDescent="0.35">
      <c r="A798" t="s">
        <v>33</v>
      </c>
      <c r="B798" t="s">
        <v>50</v>
      </c>
      <c r="C798">
        <v>18</v>
      </c>
      <c r="D798" t="s">
        <v>35</v>
      </c>
      <c r="E798" t="s">
        <v>36</v>
      </c>
      <c r="F798" t="s">
        <v>44</v>
      </c>
      <c r="G798">
        <v>4</v>
      </c>
      <c r="H798">
        <v>3</v>
      </c>
      <c r="I798" t="s">
        <v>39</v>
      </c>
      <c r="J798" t="s">
        <v>45</v>
      </c>
      <c r="K798" t="s">
        <v>40</v>
      </c>
      <c r="L798" t="s">
        <v>41</v>
      </c>
      <c r="M798">
        <v>1</v>
      </c>
      <c r="N798">
        <v>3</v>
      </c>
      <c r="O798">
        <v>0</v>
      </c>
      <c r="P798" t="s">
        <v>43</v>
      </c>
      <c r="Q798" t="s">
        <v>42</v>
      </c>
      <c r="R798" t="s">
        <v>43</v>
      </c>
      <c r="S798" t="s">
        <v>43</v>
      </c>
      <c r="T798" t="s">
        <v>42</v>
      </c>
      <c r="U798" t="s">
        <v>42</v>
      </c>
      <c r="V798" t="s">
        <v>42</v>
      </c>
      <c r="W798" t="s">
        <v>42</v>
      </c>
      <c r="X798">
        <v>5</v>
      </c>
      <c r="Y798">
        <v>4</v>
      </c>
      <c r="Z798">
        <v>5</v>
      </c>
      <c r="AA798">
        <v>2</v>
      </c>
      <c r="AB798">
        <v>3</v>
      </c>
      <c r="AC798">
        <v>5</v>
      </c>
      <c r="AD798">
        <v>0</v>
      </c>
      <c r="AE798">
        <v>14</v>
      </c>
      <c r="AF798">
        <v>13</v>
      </c>
      <c r="AG798">
        <v>14</v>
      </c>
    </row>
    <row r="799" spans="1:33" x14ac:dyDescent="0.35">
      <c r="A799" t="s">
        <v>33</v>
      </c>
      <c r="B799" t="s">
        <v>34</v>
      </c>
      <c r="C799">
        <v>17</v>
      </c>
      <c r="D799" t="s">
        <v>35</v>
      </c>
      <c r="E799" t="s">
        <v>36</v>
      </c>
      <c r="F799" t="s">
        <v>44</v>
      </c>
      <c r="G799">
        <v>4</v>
      </c>
      <c r="H799">
        <v>3</v>
      </c>
      <c r="I799" t="s">
        <v>28</v>
      </c>
      <c r="J799" t="s">
        <v>45</v>
      </c>
      <c r="K799" t="s">
        <v>51</v>
      </c>
      <c r="L799" t="s">
        <v>41</v>
      </c>
      <c r="M799">
        <v>1</v>
      </c>
      <c r="N799">
        <v>3</v>
      </c>
      <c r="O799">
        <v>0</v>
      </c>
      <c r="P799" t="s">
        <v>43</v>
      </c>
      <c r="Q799" t="s">
        <v>42</v>
      </c>
      <c r="R799" t="s">
        <v>43</v>
      </c>
      <c r="S799" t="s">
        <v>42</v>
      </c>
      <c r="T799" t="s">
        <v>42</v>
      </c>
      <c r="U799" t="s">
        <v>42</v>
      </c>
      <c r="V799" t="s">
        <v>42</v>
      </c>
      <c r="W799" t="s">
        <v>42</v>
      </c>
      <c r="X799">
        <v>4</v>
      </c>
      <c r="Y799">
        <v>4</v>
      </c>
      <c r="Z799">
        <v>3</v>
      </c>
      <c r="AA799">
        <v>1</v>
      </c>
      <c r="AB799">
        <v>3</v>
      </c>
      <c r="AC799">
        <v>4</v>
      </c>
      <c r="AD799">
        <v>0</v>
      </c>
      <c r="AE799">
        <v>11</v>
      </c>
      <c r="AF799">
        <v>12</v>
      </c>
      <c r="AG799">
        <v>13</v>
      </c>
    </row>
    <row r="800" spans="1:33" x14ac:dyDescent="0.35">
      <c r="A800" t="s">
        <v>33</v>
      </c>
      <c r="B800" t="s">
        <v>34</v>
      </c>
      <c r="C800">
        <v>17</v>
      </c>
      <c r="D800" t="s">
        <v>35</v>
      </c>
      <c r="E800" t="s">
        <v>36</v>
      </c>
      <c r="F800" t="s">
        <v>44</v>
      </c>
      <c r="G800">
        <v>2</v>
      </c>
      <c r="H800">
        <v>1</v>
      </c>
      <c r="I800" t="s">
        <v>48</v>
      </c>
      <c r="J800" t="s">
        <v>45</v>
      </c>
      <c r="K800" t="s">
        <v>40</v>
      </c>
      <c r="L800" t="s">
        <v>41</v>
      </c>
      <c r="M800">
        <v>2</v>
      </c>
      <c r="N800">
        <v>2</v>
      </c>
      <c r="O800">
        <v>0</v>
      </c>
      <c r="P800" t="s">
        <v>43</v>
      </c>
      <c r="Q800" t="s">
        <v>42</v>
      </c>
      <c r="R800" t="s">
        <v>43</v>
      </c>
      <c r="S800" t="s">
        <v>42</v>
      </c>
      <c r="T800" t="s">
        <v>42</v>
      </c>
      <c r="U800" t="s">
        <v>42</v>
      </c>
      <c r="V800" t="s">
        <v>42</v>
      </c>
      <c r="W800" t="s">
        <v>42</v>
      </c>
      <c r="X800">
        <v>4</v>
      </c>
      <c r="Y800">
        <v>3</v>
      </c>
      <c r="Z800">
        <v>4</v>
      </c>
      <c r="AA800">
        <v>2</v>
      </c>
      <c r="AB800">
        <v>2</v>
      </c>
      <c r="AC800">
        <v>1</v>
      </c>
      <c r="AD800">
        <v>10</v>
      </c>
      <c r="AE800">
        <v>12</v>
      </c>
      <c r="AF800">
        <v>15</v>
      </c>
      <c r="AG800">
        <v>15</v>
      </c>
    </row>
    <row r="801" spans="1:33" x14ac:dyDescent="0.35">
      <c r="A801" t="s">
        <v>33</v>
      </c>
      <c r="B801" t="s">
        <v>34</v>
      </c>
      <c r="C801">
        <v>17</v>
      </c>
      <c r="D801" t="s">
        <v>35</v>
      </c>
      <c r="E801" t="s">
        <v>36</v>
      </c>
      <c r="F801" t="s">
        <v>44</v>
      </c>
      <c r="G801">
        <v>2</v>
      </c>
      <c r="H801">
        <v>1</v>
      </c>
      <c r="I801" t="s">
        <v>48</v>
      </c>
      <c r="J801" t="s">
        <v>45</v>
      </c>
      <c r="K801" t="s">
        <v>51</v>
      </c>
      <c r="L801" t="s">
        <v>41</v>
      </c>
      <c r="M801">
        <v>1</v>
      </c>
      <c r="N801">
        <v>2</v>
      </c>
      <c r="O801">
        <v>0</v>
      </c>
      <c r="P801" t="s">
        <v>43</v>
      </c>
      <c r="Q801" t="s">
        <v>42</v>
      </c>
      <c r="R801" t="s">
        <v>43</v>
      </c>
      <c r="S801" t="s">
        <v>42</v>
      </c>
      <c r="T801" t="s">
        <v>42</v>
      </c>
      <c r="U801" t="s">
        <v>42</v>
      </c>
      <c r="V801" t="s">
        <v>42</v>
      </c>
      <c r="W801" t="s">
        <v>43</v>
      </c>
      <c r="X801">
        <v>4</v>
      </c>
      <c r="Y801">
        <v>3</v>
      </c>
      <c r="Z801">
        <v>5</v>
      </c>
      <c r="AA801">
        <v>2</v>
      </c>
      <c r="AB801">
        <v>4</v>
      </c>
      <c r="AC801">
        <v>4</v>
      </c>
      <c r="AD801">
        <v>4</v>
      </c>
      <c r="AE801">
        <v>12</v>
      </c>
      <c r="AF801">
        <v>16</v>
      </c>
      <c r="AG801">
        <v>16</v>
      </c>
    </row>
    <row r="802" spans="1:33" x14ac:dyDescent="0.35">
      <c r="A802" t="s">
        <v>33</v>
      </c>
      <c r="B802" t="s">
        <v>34</v>
      </c>
      <c r="C802">
        <v>19</v>
      </c>
      <c r="D802" t="s">
        <v>35</v>
      </c>
      <c r="E802" t="s">
        <v>47</v>
      </c>
      <c r="F802" t="s">
        <v>37</v>
      </c>
      <c r="G802">
        <v>2</v>
      </c>
      <c r="H802">
        <v>3</v>
      </c>
      <c r="I802" t="s">
        <v>38</v>
      </c>
      <c r="J802" t="s">
        <v>45</v>
      </c>
      <c r="K802" t="s">
        <v>49</v>
      </c>
      <c r="L802" t="s">
        <v>45</v>
      </c>
      <c r="M802">
        <v>2</v>
      </c>
      <c r="N802">
        <v>1</v>
      </c>
      <c r="O802">
        <v>1</v>
      </c>
      <c r="P802" t="s">
        <v>43</v>
      </c>
      <c r="Q802" t="s">
        <v>43</v>
      </c>
      <c r="R802" t="s">
        <v>43</v>
      </c>
      <c r="S802" t="s">
        <v>43</v>
      </c>
      <c r="T802" t="s">
        <v>42</v>
      </c>
      <c r="U802" t="s">
        <v>43</v>
      </c>
      <c r="V802" t="s">
        <v>42</v>
      </c>
      <c r="W802" t="s">
        <v>43</v>
      </c>
      <c r="X802">
        <v>2</v>
      </c>
      <c r="Y802">
        <v>2</v>
      </c>
      <c r="Z802">
        <v>3</v>
      </c>
      <c r="AA802">
        <v>3</v>
      </c>
      <c r="AB802">
        <v>4</v>
      </c>
      <c r="AC802">
        <v>5</v>
      </c>
      <c r="AD802">
        <v>16</v>
      </c>
      <c r="AE802">
        <v>10</v>
      </c>
      <c r="AF802">
        <v>11</v>
      </c>
      <c r="AG802">
        <v>11</v>
      </c>
    </row>
    <row r="803" spans="1:33" x14ac:dyDescent="0.35">
      <c r="A803" t="s">
        <v>33</v>
      </c>
      <c r="B803" t="s">
        <v>34</v>
      </c>
      <c r="C803">
        <v>17</v>
      </c>
      <c r="D803" t="s">
        <v>35</v>
      </c>
      <c r="E803" t="s">
        <v>36</v>
      </c>
      <c r="F803" t="s">
        <v>44</v>
      </c>
      <c r="G803">
        <v>3</v>
      </c>
      <c r="H803">
        <v>1</v>
      </c>
      <c r="I803" t="s">
        <v>45</v>
      </c>
      <c r="J803" t="s">
        <v>38</v>
      </c>
      <c r="K803" t="s">
        <v>49</v>
      </c>
      <c r="L803" t="s">
        <v>41</v>
      </c>
      <c r="M803">
        <v>1</v>
      </c>
      <c r="N803">
        <v>1</v>
      </c>
      <c r="O803">
        <v>1</v>
      </c>
      <c r="P803" t="s">
        <v>43</v>
      </c>
      <c r="Q803" t="s">
        <v>42</v>
      </c>
      <c r="R803" t="s">
        <v>42</v>
      </c>
      <c r="S803" t="s">
        <v>43</v>
      </c>
      <c r="T803" t="s">
        <v>42</v>
      </c>
      <c r="U803" t="s">
        <v>42</v>
      </c>
      <c r="V803" t="s">
        <v>42</v>
      </c>
      <c r="W803" t="s">
        <v>42</v>
      </c>
      <c r="X803">
        <v>4</v>
      </c>
      <c r="Y803">
        <v>1</v>
      </c>
      <c r="Z803">
        <v>2</v>
      </c>
      <c r="AA803">
        <v>1</v>
      </c>
      <c r="AB803">
        <v>1</v>
      </c>
      <c r="AC803">
        <v>3</v>
      </c>
      <c r="AD803">
        <v>6</v>
      </c>
      <c r="AE803">
        <v>10</v>
      </c>
      <c r="AF803">
        <v>13</v>
      </c>
      <c r="AG803">
        <v>13</v>
      </c>
    </row>
    <row r="804" spans="1:33" x14ac:dyDescent="0.35">
      <c r="A804" t="s">
        <v>33</v>
      </c>
      <c r="B804" t="s">
        <v>34</v>
      </c>
      <c r="C804">
        <v>21</v>
      </c>
      <c r="D804" t="s">
        <v>35</v>
      </c>
      <c r="E804" t="s">
        <v>47</v>
      </c>
      <c r="F804" t="s">
        <v>44</v>
      </c>
      <c r="G804">
        <v>4</v>
      </c>
      <c r="H804">
        <v>4</v>
      </c>
      <c r="I804" t="s">
        <v>45</v>
      </c>
      <c r="J804" t="s">
        <v>45</v>
      </c>
      <c r="K804" t="s">
        <v>51</v>
      </c>
      <c r="L804" t="s">
        <v>45</v>
      </c>
      <c r="M804">
        <v>1</v>
      </c>
      <c r="N804">
        <v>3</v>
      </c>
      <c r="O804">
        <v>2</v>
      </c>
      <c r="P804" t="s">
        <v>43</v>
      </c>
      <c r="Q804" t="s">
        <v>43</v>
      </c>
      <c r="R804" t="s">
        <v>42</v>
      </c>
      <c r="S804" t="s">
        <v>42</v>
      </c>
      <c r="T804" t="s">
        <v>42</v>
      </c>
      <c r="U804" t="s">
        <v>42</v>
      </c>
      <c r="V804" t="s">
        <v>42</v>
      </c>
      <c r="W804" t="s">
        <v>43</v>
      </c>
      <c r="X804">
        <v>3</v>
      </c>
      <c r="Y804">
        <v>3</v>
      </c>
      <c r="Z804">
        <v>2</v>
      </c>
      <c r="AA804">
        <v>1</v>
      </c>
      <c r="AB804">
        <v>1</v>
      </c>
      <c r="AC804">
        <v>5</v>
      </c>
      <c r="AD804">
        <v>0</v>
      </c>
      <c r="AE804">
        <v>9</v>
      </c>
      <c r="AF804">
        <v>12</v>
      </c>
      <c r="AG804">
        <v>12</v>
      </c>
    </row>
    <row r="805" spans="1:33" x14ac:dyDescent="0.35">
      <c r="A805" t="s">
        <v>33</v>
      </c>
      <c r="B805" t="s">
        <v>50</v>
      </c>
      <c r="C805">
        <v>18</v>
      </c>
      <c r="D805" t="s">
        <v>35</v>
      </c>
      <c r="E805" t="s">
        <v>47</v>
      </c>
      <c r="F805" t="s">
        <v>44</v>
      </c>
      <c r="G805">
        <v>2</v>
      </c>
      <c r="H805">
        <v>2</v>
      </c>
      <c r="I805" t="s">
        <v>48</v>
      </c>
      <c r="J805" t="s">
        <v>48</v>
      </c>
      <c r="K805" t="s">
        <v>51</v>
      </c>
      <c r="L805" t="s">
        <v>41</v>
      </c>
      <c r="M805">
        <v>1</v>
      </c>
      <c r="N805">
        <v>2</v>
      </c>
      <c r="O805">
        <v>0</v>
      </c>
      <c r="P805" t="s">
        <v>43</v>
      </c>
      <c r="Q805" t="s">
        <v>42</v>
      </c>
      <c r="R805" t="s">
        <v>43</v>
      </c>
      <c r="S805" t="s">
        <v>42</v>
      </c>
      <c r="T805" t="s">
        <v>43</v>
      </c>
      <c r="U805" t="s">
        <v>43</v>
      </c>
      <c r="V805" t="s">
        <v>42</v>
      </c>
      <c r="W805" t="s">
        <v>43</v>
      </c>
      <c r="X805">
        <v>4</v>
      </c>
      <c r="Y805">
        <v>4</v>
      </c>
      <c r="Z805">
        <v>4</v>
      </c>
      <c r="AA805">
        <v>1</v>
      </c>
      <c r="AB805">
        <v>3</v>
      </c>
      <c r="AC805">
        <v>3</v>
      </c>
      <c r="AD805">
        <v>11</v>
      </c>
      <c r="AE805">
        <v>9</v>
      </c>
      <c r="AF805">
        <v>11</v>
      </c>
      <c r="AG805">
        <v>12</v>
      </c>
    </row>
    <row r="806" spans="1:33" x14ac:dyDescent="0.35">
      <c r="A806" t="s">
        <v>33</v>
      </c>
      <c r="B806" t="s">
        <v>50</v>
      </c>
      <c r="C806">
        <v>18</v>
      </c>
      <c r="D806" t="s">
        <v>35</v>
      </c>
      <c r="E806" t="s">
        <v>47</v>
      </c>
      <c r="F806" t="s">
        <v>37</v>
      </c>
      <c r="G806">
        <v>3</v>
      </c>
      <c r="H806">
        <v>4</v>
      </c>
      <c r="I806" t="s">
        <v>45</v>
      </c>
      <c r="J806" t="s">
        <v>45</v>
      </c>
      <c r="K806" t="s">
        <v>51</v>
      </c>
      <c r="L806" t="s">
        <v>45</v>
      </c>
      <c r="M806">
        <v>1</v>
      </c>
      <c r="N806">
        <v>2</v>
      </c>
      <c r="O806">
        <v>0</v>
      </c>
      <c r="P806" t="s">
        <v>43</v>
      </c>
      <c r="Q806" t="s">
        <v>43</v>
      </c>
      <c r="R806" t="s">
        <v>43</v>
      </c>
      <c r="S806" t="s">
        <v>42</v>
      </c>
      <c r="T806" t="s">
        <v>42</v>
      </c>
      <c r="U806" t="s">
        <v>42</v>
      </c>
      <c r="V806" t="s">
        <v>42</v>
      </c>
      <c r="W806" t="s">
        <v>42</v>
      </c>
      <c r="X806">
        <v>4</v>
      </c>
      <c r="Y806">
        <v>3</v>
      </c>
      <c r="Z806">
        <v>5</v>
      </c>
      <c r="AA806">
        <v>1</v>
      </c>
      <c r="AB806">
        <v>4</v>
      </c>
      <c r="AC806">
        <v>2</v>
      </c>
      <c r="AD806">
        <v>9</v>
      </c>
      <c r="AE806">
        <v>13</v>
      </c>
      <c r="AF806">
        <v>14</v>
      </c>
      <c r="AG806">
        <v>15</v>
      </c>
    </row>
    <row r="807" spans="1:33" x14ac:dyDescent="0.35">
      <c r="A807" t="s">
        <v>33</v>
      </c>
      <c r="B807" t="s">
        <v>34</v>
      </c>
      <c r="C807">
        <v>17</v>
      </c>
      <c r="D807" t="s">
        <v>35</v>
      </c>
      <c r="E807" t="s">
        <v>36</v>
      </c>
      <c r="F807" t="s">
        <v>44</v>
      </c>
      <c r="G807">
        <v>2</v>
      </c>
      <c r="H807">
        <v>2</v>
      </c>
      <c r="I807" t="s">
        <v>48</v>
      </c>
      <c r="J807" t="s">
        <v>48</v>
      </c>
      <c r="K807" t="s">
        <v>51</v>
      </c>
      <c r="L807" t="s">
        <v>41</v>
      </c>
      <c r="M807">
        <v>1</v>
      </c>
      <c r="N807">
        <v>2</v>
      </c>
      <c r="O807">
        <v>0</v>
      </c>
      <c r="P807" t="s">
        <v>43</v>
      </c>
      <c r="Q807" t="s">
        <v>42</v>
      </c>
      <c r="R807" t="s">
        <v>43</v>
      </c>
      <c r="S807" t="s">
        <v>42</v>
      </c>
      <c r="T807" t="s">
        <v>42</v>
      </c>
      <c r="U807" t="s">
        <v>42</v>
      </c>
      <c r="V807" t="s">
        <v>42</v>
      </c>
      <c r="W807" t="s">
        <v>43</v>
      </c>
      <c r="X807">
        <v>4</v>
      </c>
      <c r="Y807">
        <v>3</v>
      </c>
      <c r="Z807">
        <v>4</v>
      </c>
      <c r="AA807">
        <v>1</v>
      </c>
      <c r="AB807">
        <v>3</v>
      </c>
      <c r="AC807">
        <v>4</v>
      </c>
      <c r="AD807">
        <v>0</v>
      </c>
      <c r="AE807">
        <v>13</v>
      </c>
      <c r="AF807">
        <v>17</v>
      </c>
      <c r="AG807">
        <v>17</v>
      </c>
    </row>
    <row r="808" spans="1:33" x14ac:dyDescent="0.35">
      <c r="A808" t="s">
        <v>33</v>
      </c>
      <c r="B808" t="s">
        <v>50</v>
      </c>
      <c r="C808">
        <v>17</v>
      </c>
      <c r="D808" t="s">
        <v>35</v>
      </c>
      <c r="E808" t="s">
        <v>47</v>
      </c>
      <c r="F808" t="s">
        <v>37</v>
      </c>
      <c r="G808">
        <v>4</v>
      </c>
      <c r="H808">
        <v>4</v>
      </c>
      <c r="I808" t="s">
        <v>28</v>
      </c>
      <c r="J808" t="s">
        <v>45</v>
      </c>
      <c r="K808" t="s">
        <v>51</v>
      </c>
      <c r="L808" t="s">
        <v>41</v>
      </c>
      <c r="M808">
        <v>1</v>
      </c>
      <c r="N808">
        <v>3</v>
      </c>
      <c r="O808">
        <v>0</v>
      </c>
      <c r="P808" t="s">
        <v>43</v>
      </c>
      <c r="Q808" t="s">
        <v>42</v>
      </c>
      <c r="R808" t="s">
        <v>43</v>
      </c>
      <c r="S808" t="s">
        <v>43</v>
      </c>
      <c r="T808" t="s">
        <v>42</v>
      </c>
      <c r="U808" t="s">
        <v>42</v>
      </c>
      <c r="V808" t="s">
        <v>42</v>
      </c>
      <c r="W808" t="s">
        <v>43</v>
      </c>
      <c r="X808">
        <v>4</v>
      </c>
      <c r="Y808">
        <v>4</v>
      </c>
      <c r="Z808">
        <v>2</v>
      </c>
      <c r="AA808">
        <v>1</v>
      </c>
      <c r="AB808">
        <v>2</v>
      </c>
      <c r="AC808">
        <v>4</v>
      </c>
      <c r="AD808">
        <v>2</v>
      </c>
      <c r="AE808">
        <v>12</v>
      </c>
      <c r="AF808">
        <v>15</v>
      </c>
      <c r="AG808">
        <v>15</v>
      </c>
    </row>
    <row r="809" spans="1:33" x14ac:dyDescent="0.35">
      <c r="A809" t="s">
        <v>33</v>
      </c>
      <c r="B809" t="s">
        <v>34</v>
      </c>
      <c r="C809">
        <v>18</v>
      </c>
      <c r="D809" t="s">
        <v>35</v>
      </c>
      <c r="E809" t="s">
        <v>47</v>
      </c>
      <c r="F809" t="s">
        <v>44</v>
      </c>
      <c r="G809">
        <v>4</v>
      </c>
      <c r="H809">
        <v>2</v>
      </c>
      <c r="I809" t="s">
        <v>39</v>
      </c>
      <c r="J809" t="s">
        <v>45</v>
      </c>
      <c r="K809" t="s">
        <v>40</v>
      </c>
      <c r="L809" t="s">
        <v>41</v>
      </c>
      <c r="M809">
        <v>1</v>
      </c>
      <c r="N809">
        <v>2</v>
      </c>
      <c r="O809">
        <v>0</v>
      </c>
      <c r="P809" t="s">
        <v>43</v>
      </c>
      <c r="Q809" t="s">
        <v>42</v>
      </c>
      <c r="R809" t="s">
        <v>43</v>
      </c>
      <c r="S809" t="s">
        <v>42</v>
      </c>
      <c r="T809" t="s">
        <v>42</v>
      </c>
      <c r="U809" t="s">
        <v>42</v>
      </c>
      <c r="V809" t="s">
        <v>42</v>
      </c>
      <c r="W809" t="s">
        <v>43</v>
      </c>
      <c r="X809">
        <v>4</v>
      </c>
      <c r="Y809">
        <v>2</v>
      </c>
      <c r="Z809">
        <v>2</v>
      </c>
      <c r="AA809">
        <v>1</v>
      </c>
      <c r="AB809">
        <v>1</v>
      </c>
      <c r="AC809">
        <v>3</v>
      </c>
      <c r="AD809">
        <v>0</v>
      </c>
      <c r="AE809">
        <v>14</v>
      </c>
      <c r="AF809">
        <v>17</v>
      </c>
      <c r="AG809">
        <v>17</v>
      </c>
    </row>
    <row r="810" spans="1:33" x14ac:dyDescent="0.35">
      <c r="A810" t="s">
        <v>33</v>
      </c>
      <c r="B810" t="s">
        <v>50</v>
      </c>
      <c r="C810">
        <v>21</v>
      </c>
      <c r="D810" t="s">
        <v>52</v>
      </c>
      <c r="E810" t="s">
        <v>47</v>
      </c>
      <c r="F810" t="s">
        <v>44</v>
      </c>
      <c r="G810">
        <v>1</v>
      </c>
      <c r="H810">
        <v>1</v>
      </c>
      <c r="I810" t="s">
        <v>38</v>
      </c>
      <c r="J810" t="s">
        <v>45</v>
      </c>
      <c r="K810" t="s">
        <v>40</v>
      </c>
      <c r="L810" t="s">
        <v>45</v>
      </c>
      <c r="M810">
        <v>2</v>
      </c>
      <c r="N810">
        <v>2</v>
      </c>
      <c r="O810">
        <v>2</v>
      </c>
      <c r="P810" t="s">
        <v>43</v>
      </c>
      <c r="Q810" t="s">
        <v>42</v>
      </c>
      <c r="R810" t="s">
        <v>43</v>
      </c>
      <c r="S810" t="s">
        <v>42</v>
      </c>
      <c r="T810" t="s">
        <v>42</v>
      </c>
      <c r="U810" t="s">
        <v>43</v>
      </c>
      <c r="V810" t="s">
        <v>42</v>
      </c>
      <c r="W810" t="s">
        <v>42</v>
      </c>
      <c r="X810">
        <v>5</v>
      </c>
      <c r="Y810">
        <v>3</v>
      </c>
      <c r="Z810">
        <v>3</v>
      </c>
      <c r="AA810">
        <v>5</v>
      </c>
      <c r="AB810">
        <v>2</v>
      </c>
      <c r="AC810">
        <v>4</v>
      </c>
      <c r="AD810">
        <v>21</v>
      </c>
      <c r="AE810">
        <v>9</v>
      </c>
      <c r="AF810">
        <v>10</v>
      </c>
      <c r="AG810">
        <v>10</v>
      </c>
    </row>
    <row r="811" spans="1:33" x14ac:dyDescent="0.35">
      <c r="A811" t="s">
        <v>33</v>
      </c>
      <c r="B811" t="s">
        <v>34</v>
      </c>
      <c r="C811">
        <v>20</v>
      </c>
      <c r="D811" t="s">
        <v>52</v>
      </c>
      <c r="E811" t="s">
        <v>36</v>
      </c>
      <c r="F811" t="s">
        <v>44</v>
      </c>
      <c r="G811">
        <v>1</v>
      </c>
      <c r="H811">
        <v>1</v>
      </c>
      <c r="I811" t="s">
        <v>45</v>
      </c>
      <c r="J811" t="s">
        <v>45</v>
      </c>
      <c r="K811" t="s">
        <v>51</v>
      </c>
      <c r="L811" t="s">
        <v>45</v>
      </c>
      <c r="M811">
        <v>2</v>
      </c>
      <c r="N811">
        <v>3</v>
      </c>
      <c r="O811">
        <v>0</v>
      </c>
      <c r="P811" t="s">
        <v>43</v>
      </c>
      <c r="Q811" t="s">
        <v>43</v>
      </c>
      <c r="R811" t="s">
        <v>43</v>
      </c>
      <c r="S811" t="s">
        <v>43</v>
      </c>
      <c r="T811" t="s">
        <v>42</v>
      </c>
      <c r="U811" t="s">
        <v>42</v>
      </c>
      <c r="V811" t="s">
        <v>42</v>
      </c>
      <c r="W811" t="s">
        <v>42</v>
      </c>
      <c r="X811">
        <v>3</v>
      </c>
      <c r="Y811">
        <v>2</v>
      </c>
      <c r="Z811">
        <v>2</v>
      </c>
      <c r="AA811">
        <v>1</v>
      </c>
      <c r="AB811">
        <v>3</v>
      </c>
      <c r="AC811">
        <v>3</v>
      </c>
      <c r="AD811">
        <v>8</v>
      </c>
      <c r="AE811">
        <v>11</v>
      </c>
      <c r="AF811">
        <v>15</v>
      </c>
      <c r="AG811">
        <v>15</v>
      </c>
    </row>
    <row r="812" spans="1:33" x14ac:dyDescent="0.35">
      <c r="A812" t="s">
        <v>33</v>
      </c>
      <c r="B812" t="s">
        <v>34</v>
      </c>
      <c r="C812">
        <v>19</v>
      </c>
      <c r="D812" t="s">
        <v>35</v>
      </c>
      <c r="E812" t="s">
        <v>36</v>
      </c>
      <c r="F812" t="s">
        <v>44</v>
      </c>
      <c r="G812">
        <v>4</v>
      </c>
      <c r="H812">
        <v>4</v>
      </c>
      <c r="I812" t="s">
        <v>39</v>
      </c>
      <c r="J812" t="s">
        <v>45</v>
      </c>
      <c r="K812" t="s">
        <v>49</v>
      </c>
      <c r="L812" t="s">
        <v>45</v>
      </c>
      <c r="M812">
        <v>1</v>
      </c>
      <c r="N812">
        <v>1</v>
      </c>
      <c r="O812">
        <v>1</v>
      </c>
      <c r="P812" t="s">
        <v>43</v>
      </c>
      <c r="Q812" t="s">
        <v>42</v>
      </c>
      <c r="R812" t="s">
        <v>43</v>
      </c>
      <c r="S812" t="s">
        <v>43</v>
      </c>
      <c r="T812" t="s">
        <v>42</v>
      </c>
      <c r="U812" t="s">
        <v>42</v>
      </c>
      <c r="V812" t="s">
        <v>42</v>
      </c>
      <c r="W812" t="s">
        <v>42</v>
      </c>
      <c r="X812">
        <v>3</v>
      </c>
      <c r="Y812">
        <v>2</v>
      </c>
      <c r="Z812">
        <v>5</v>
      </c>
      <c r="AA812">
        <v>4</v>
      </c>
      <c r="AB812">
        <v>4</v>
      </c>
      <c r="AC812">
        <v>5</v>
      </c>
      <c r="AD812">
        <v>5</v>
      </c>
      <c r="AE812">
        <v>9</v>
      </c>
      <c r="AF812">
        <v>10</v>
      </c>
      <c r="AG812">
        <v>11</v>
      </c>
    </row>
    <row r="813" spans="1:33" x14ac:dyDescent="0.35">
      <c r="A813" t="s">
        <v>33</v>
      </c>
      <c r="B813" t="s">
        <v>50</v>
      </c>
      <c r="C813">
        <v>17</v>
      </c>
      <c r="D813" t="s">
        <v>35</v>
      </c>
      <c r="E813" t="s">
        <v>47</v>
      </c>
      <c r="F813" t="s">
        <v>37</v>
      </c>
      <c r="G813">
        <v>3</v>
      </c>
      <c r="H813">
        <v>2</v>
      </c>
      <c r="I813" t="s">
        <v>45</v>
      </c>
      <c r="J813" t="s">
        <v>45</v>
      </c>
      <c r="K813" t="s">
        <v>51</v>
      </c>
      <c r="L813" t="s">
        <v>41</v>
      </c>
      <c r="M813">
        <v>1</v>
      </c>
      <c r="N813">
        <v>2</v>
      </c>
      <c r="O813">
        <v>0</v>
      </c>
      <c r="P813" t="s">
        <v>43</v>
      </c>
      <c r="Q813" t="s">
        <v>42</v>
      </c>
      <c r="R813" t="s">
        <v>43</v>
      </c>
      <c r="S813" t="s">
        <v>43</v>
      </c>
      <c r="T813" t="s">
        <v>42</v>
      </c>
      <c r="U813" t="s">
        <v>42</v>
      </c>
      <c r="V813" t="s">
        <v>42</v>
      </c>
      <c r="W813" t="s">
        <v>43</v>
      </c>
      <c r="X813">
        <v>4</v>
      </c>
      <c r="Y813">
        <v>4</v>
      </c>
      <c r="Z813">
        <v>4</v>
      </c>
      <c r="AA813">
        <v>1</v>
      </c>
      <c r="AB813">
        <v>2</v>
      </c>
      <c r="AC813">
        <v>5</v>
      </c>
      <c r="AD813">
        <v>10</v>
      </c>
      <c r="AE813">
        <v>16</v>
      </c>
      <c r="AF813">
        <v>18</v>
      </c>
      <c r="AG813">
        <v>18</v>
      </c>
    </row>
    <row r="814" spans="1:33" x14ac:dyDescent="0.35">
      <c r="A814" t="s">
        <v>33</v>
      </c>
      <c r="B814" t="s">
        <v>34</v>
      </c>
      <c r="C814">
        <v>18</v>
      </c>
      <c r="D814" t="s">
        <v>35</v>
      </c>
      <c r="E814" t="s">
        <v>36</v>
      </c>
      <c r="F814" t="s">
        <v>44</v>
      </c>
      <c r="G814">
        <v>3</v>
      </c>
      <c r="H814">
        <v>2</v>
      </c>
      <c r="I814" t="s">
        <v>38</v>
      </c>
      <c r="J814" t="s">
        <v>45</v>
      </c>
      <c r="K814" t="s">
        <v>51</v>
      </c>
      <c r="L814" t="s">
        <v>46</v>
      </c>
      <c r="M814">
        <v>1</v>
      </c>
      <c r="N814">
        <v>3</v>
      </c>
      <c r="O814">
        <v>0</v>
      </c>
      <c r="P814" t="s">
        <v>43</v>
      </c>
      <c r="Q814" t="s">
        <v>42</v>
      </c>
      <c r="R814" t="s">
        <v>43</v>
      </c>
      <c r="S814" t="s">
        <v>43</v>
      </c>
      <c r="T814" t="s">
        <v>42</v>
      </c>
      <c r="U814" t="s">
        <v>42</v>
      </c>
      <c r="V814" t="s">
        <v>42</v>
      </c>
      <c r="W814" t="s">
        <v>42</v>
      </c>
      <c r="X814">
        <v>4</v>
      </c>
      <c r="Y814">
        <v>3</v>
      </c>
      <c r="Z814">
        <v>4</v>
      </c>
      <c r="AA814">
        <v>1</v>
      </c>
      <c r="AB814">
        <v>2</v>
      </c>
      <c r="AC814">
        <v>2</v>
      </c>
      <c r="AD814">
        <v>5</v>
      </c>
      <c r="AE814">
        <v>14</v>
      </c>
      <c r="AF814">
        <v>17</v>
      </c>
      <c r="AG814">
        <v>17</v>
      </c>
    </row>
    <row r="815" spans="1:33" x14ac:dyDescent="0.35">
      <c r="A815" t="s">
        <v>33</v>
      </c>
      <c r="B815" t="s">
        <v>50</v>
      </c>
      <c r="C815">
        <v>18</v>
      </c>
      <c r="D815" t="s">
        <v>52</v>
      </c>
      <c r="E815" t="s">
        <v>36</v>
      </c>
      <c r="F815" t="s">
        <v>44</v>
      </c>
      <c r="G815">
        <v>2</v>
      </c>
      <c r="H815">
        <v>3</v>
      </c>
      <c r="I815" t="s">
        <v>45</v>
      </c>
      <c r="J815" t="s">
        <v>48</v>
      </c>
      <c r="K815" t="s">
        <v>51</v>
      </c>
      <c r="L815" t="s">
        <v>46</v>
      </c>
      <c r="M815">
        <v>1</v>
      </c>
      <c r="N815">
        <v>1</v>
      </c>
      <c r="O815">
        <v>0</v>
      </c>
      <c r="P815" t="s">
        <v>43</v>
      </c>
      <c r="Q815" t="s">
        <v>43</v>
      </c>
      <c r="R815" t="s">
        <v>43</v>
      </c>
      <c r="S815" t="s">
        <v>43</v>
      </c>
      <c r="T815" t="s">
        <v>42</v>
      </c>
      <c r="U815" t="s">
        <v>42</v>
      </c>
      <c r="V815" t="s">
        <v>42</v>
      </c>
      <c r="W815" t="s">
        <v>43</v>
      </c>
      <c r="X815">
        <v>3</v>
      </c>
      <c r="Y815">
        <v>1</v>
      </c>
      <c r="Z815">
        <v>3</v>
      </c>
      <c r="AA815">
        <v>4</v>
      </c>
      <c r="AB815">
        <v>5</v>
      </c>
      <c r="AC815">
        <v>4</v>
      </c>
      <c r="AD815">
        <v>13</v>
      </c>
      <c r="AE815">
        <v>13</v>
      </c>
      <c r="AF815">
        <v>14</v>
      </c>
      <c r="AG815">
        <v>14</v>
      </c>
    </row>
    <row r="816" spans="1:33" x14ac:dyDescent="0.35">
      <c r="A816" t="s">
        <v>33</v>
      </c>
      <c r="B816" t="s">
        <v>50</v>
      </c>
      <c r="C816">
        <v>19</v>
      </c>
      <c r="D816" t="s">
        <v>35</v>
      </c>
      <c r="E816" t="s">
        <v>36</v>
      </c>
      <c r="F816" t="s">
        <v>44</v>
      </c>
      <c r="G816">
        <v>2</v>
      </c>
      <c r="H816">
        <v>1</v>
      </c>
      <c r="I816" t="s">
        <v>45</v>
      </c>
      <c r="J816" t="s">
        <v>45</v>
      </c>
      <c r="K816" t="s">
        <v>51</v>
      </c>
      <c r="L816" t="s">
        <v>41</v>
      </c>
      <c r="M816">
        <v>1</v>
      </c>
      <c r="N816">
        <v>1</v>
      </c>
      <c r="O816">
        <v>0</v>
      </c>
      <c r="P816" t="s">
        <v>43</v>
      </c>
      <c r="Q816" t="s">
        <v>43</v>
      </c>
      <c r="R816" t="s">
        <v>43</v>
      </c>
      <c r="S816" t="s">
        <v>43</v>
      </c>
      <c r="T816" t="s">
        <v>42</v>
      </c>
      <c r="U816" t="s">
        <v>42</v>
      </c>
      <c r="V816" t="s">
        <v>42</v>
      </c>
      <c r="W816" t="s">
        <v>43</v>
      </c>
      <c r="X816">
        <v>5</v>
      </c>
      <c r="Y816">
        <v>3</v>
      </c>
      <c r="Z816">
        <v>4</v>
      </c>
      <c r="AA816">
        <v>1</v>
      </c>
      <c r="AB816">
        <v>4</v>
      </c>
      <c r="AC816">
        <v>4</v>
      </c>
      <c r="AD816">
        <v>10</v>
      </c>
      <c r="AE816">
        <v>7</v>
      </c>
      <c r="AF816">
        <v>11</v>
      </c>
      <c r="AG816">
        <v>11</v>
      </c>
    </row>
    <row r="817" spans="1:33" x14ac:dyDescent="0.35">
      <c r="A817" t="s">
        <v>33</v>
      </c>
      <c r="B817" t="s">
        <v>34</v>
      </c>
      <c r="C817">
        <v>18</v>
      </c>
      <c r="D817" t="s">
        <v>35</v>
      </c>
      <c r="E817" t="s">
        <v>47</v>
      </c>
      <c r="F817" t="s">
        <v>37</v>
      </c>
      <c r="G817">
        <v>2</v>
      </c>
      <c r="H817">
        <v>2</v>
      </c>
      <c r="I817" t="s">
        <v>48</v>
      </c>
      <c r="J817" t="s">
        <v>45</v>
      </c>
      <c r="K817" t="s">
        <v>51</v>
      </c>
      <c r="L817" t="s">
        <v>41</v>
      </c>
      <c r="M817">
        <v>2</v>
      </c>
      <c r="N817">
        <v>2</v>
      </c>
      <c r="O817">
        <v>0</v>
      </c>
      <c r="P817" t="s">
        <v>43</v>
      </c>
      <c r="Q817" t="s">
        <v>42</v>
      </c>
      <c r="R817" t="s">
        <v>43</v>
      </c>
      <c r="S817" t="s">
        <v>43</v>
      </c>
      <c r="T817" t="s">
        <v>42</v>
      </c>
      <c r="U817" t="s">
        <v>42</v>
      </c>
      <c r="V817" t="s">
        <v>42</v>
      </c>
      <c r="W817" t="s">
        <v>43</v>
      </c>
      <c r="X817">
        <v>4</v>
      </c>
      <c r="Y817">
        <v>1</v>
      </c>
      <c r="Z817">
        <v>4</v>
      </c>
      <c r="AA817">
        <v>1</v>
      </c>
      <c r="AB817">
        <v>3</v>
      </c>
      <c r="AC817">
        <v>4</v>
      </c>
      <c r="AD817">
        <v>10</v>
      </c>
      <c r="AE817">
        <v>14</v>
      </c>
      <c r="AF817">
        <v>17</v>
      </c>
      <c r="AG817">
        <v>17</v>
      </c>
    </row>
    <row r="818" spans="1:33" x14ac:dyDescent="0.35">
      <c r="A818" t="s">
        <v>33</v>
      </c>
      <c r="B818" t="s">
        <v>34</v>
      </c>
      <c r="C818">
        <v>20</v>
      </c>
      <c r="D818" t="s">
        <v>35</v>
      </c>
      <c r="E818" t="s">
        <v>36</v>
      </c>
      <c r="F818" t="s">
        <v>44</v>
      </c>
      <c r="G818">
        <v>1</v>
      </c>
      <c r="H818">
        <v>0</v>
      </c>
      <c r="I818" t="s">
        <v>45</v>
      </c>
      <c r="J818" t="s">
        <v>45</v>
      </c>
      <c r="K818" t="s">
        <v>51</v>
      </c>
      <c r="L818" t="s">
        <v>41</v>
      </c>
      <c r="M818">
        <v>2</v>
      </c>
      <c r="N818">
        <v>1</v>
      </c>
      <c r="O818">
        <v>1</v>
      </c>
      <c r="P818" t="s">
        <v>42</v>
      </c>
      <c r="Q818" t="s">
        <v>43</v>
      </c>
      <c r="R818" t="s">
        <v>43</v>
      </c>
      <c r="S818" t="s">
        <v>43</v>
      </c>
      <c r="T818" t="s">
        <v>42</v>
      </c>
      <c r="U818" t="s">
        <v>42</v>
      </c>
      <c r="V818" t="s">
        <v>42</v>
      </c>
      <c r="W818" t="s">
        <v>42</v>
      </c>
      <c r="X818">
        <v>5</v>
      </c>
      <c r="Y818">
        <v>3</v>
      </c>
      <c r="Z818">
        <v>1</v>
      </c>
      <c r="AA818">
        <v>1</v>
      </c>
      <c r="AB818">
        <v>1</v>
      </c>
      <c r="AC818">
        <v>5</v>
      </c>
      <c r="AD818">
        <v>5</v>
      </c>
      <c r="AE818">
        <v>8</v>
      </c>
      <c r="AF818">
        <v>10</v>
      </c>
      <c r="AG818">
        <v>10</v>
      </c>
    </row>
    <row r="819" spans="1:33" x14ac:dyDescent="0.35">
      <c r="A819" t="s">
        <v>33</v>
      </c>
      <c r="B819" t="s">
        <v>34</v>
      </c>
      <c r="C819">
        <v>18</v>
      </c>
      <c r="D819" t="s">
        <v>35</v>
      </c>
      <c r="E819" t="s">
        <v>36</v>
      </c>
      <c r="F819" t="s">
        <v>44</v>
      </c>
      <c r="G819">
        <v>3</v>
      </c>
      <c r="H819">
        <v>2</v>
      </c>
      <c r="I819" t="s">
        <v>48</v>
      </c>
      <c r="J819" t="s">
        <v>45</v>
      </c>
      <c r="K819" t="s">
        <v>49</v>
      </c>
      <c r="L819" t="s">
        <v>41</v>
      </c>
      <c r="M819">
        <v>1</v>
      </c>
      <c r="N819">
        <v>2</v>
      </c>
      <c r="O819">
        <v>0</v>
      </c>
      <c r="P819" t="s">
        <v>43</v>
      </c>
      <c r="Q819" t="s">
        <v>42</v>
      </c>
      <c r="R819" t="s">
        <v>43</v>
      </c>
      <c r="S819" t="s">
        <v>42</v>
      </c>
      <c r="T819" t="s">
        <v>43</v>
      </c>
      <c r="U819" t="s">
        <v>42</v>
      </c>
      <c r="V819" t="s">
        <v>42</v>
      </c>
      <c r="W819" t="s">
        <v>42</v>
      </c>
      <c r="X819">
        <v>3</v>
      </c>
      <c r="Y819">
        <v>1</v>
      </c>
      <c r="Z819">
        <v>2</v>
      </c>
      <c r="AA819">
        <v>1</v>
      </c>
      <c r="AB819">
        <v>2</v>
      </c>
      <c r="AC819">
        <v>1</v>
      </c>
      <c r="AD819">
        <v>4</v>
      </c>
      <c r="AE819">
        <v>10</v>
      </c>
      <c r="AF819">
        <v>13</v>
      </c>
      <c r="AG819">
        <v>13</v>
      </c>
    </row>
    <row r="820" spans="1:33" x14ac:dyDescent="0.35">
      <c r="A820" t="s">
        <v>53</v>
      </c>
      <c r="B820" t="s">
        <v>34</v>
      </c>
      <c r="C820">
        <v>16</v>
      </c>
      <c r="D820" t="s">
        <v>35</v>
      </c>
      <c r="E820" t="s">
        <v>36</v>
      </c>
      <c r="F820" t="s">
        <v>44</v>
      </c>
      <c r="G820">
        <v>1</v>
      </c>
      <c r="H820">
        <v>3</v>
      </c>
      <c r="I820" t="s">
        <v>38</v>
      </c>
      <c r="J820" t="s">
        <v>45</v>
      </c>
      <c r="K820" t="s">
        <v>45</v>
      </c>
      <c r="L820" t="s">
        <v>46</v>
      </c>
      <c r="M820">
        <v>2</v>
      </c>
      <c r="N820">
        <v>1</v>
      </c>
      <c r="O820">
        <v>0</v>
      </c>
      <c r="P820" t="s">
        <v>43</v>
      </c>
      <c r="Q820" t="s">
        <v>42</v>
      </c>
      <c r="R820" t="s">
        <v>43</v>
      </c>
      <c r="S820" t="s">
        <v>43</v>
      </c>
      <c r="T820" t="s">
        <v>42</v>
      </c>
      <c r="U820" t="s">
        <v>43</v>
      </c>
      <c r="V820" t="s">
        <v>42</v>
      </c>
      <c r="W820" t="s">
        <v>42</v>
      </c>
      <c r="X820">
        <v>4</v>
      </c>
      <c r="Y820">
        <v>3</v>
      </c>
      <c r="Z820">
        <v>3</v>
      </c>
      <c r="AA820">
        <v>1</v>
      </c>
      <c r="AB820">
        <v>3</v>
      </c>
      <c r="AC820">
        <v>5</v>
      </c>
      <c r="AD820">
        <v>11</v>
      </c>
      <c r="AE820">
        <v>10</v>
      </c>
      <c r="AF820">
        <v>11</v>
      </c>
      <c r="AG820">
        <v>11</v>
      </c>
    </row>
    <row r="821" spans="1:33" x14ac:dyDescent="0.35">
      <c r="A821" t="s">
        <v>53</v>
      </c>
      <c r="B821" t="s">
        <v>34</v>
      </c>
      <c r="C821">
        <v>16</v>
      </c>
      <c r="D821" t="s">
        <v>52</v>
      </c>
      <c r="E821" t="s">
        <v>36</v>
      </c>
      <c r="F821" t="s">
        <v>44</v>
      </c>
      <c r="G821">
        <v>2</v>
      </c>
      <c r="H821">
        <v>2</v>
      </c>
      <c r="I821" t="s">
        <v>45</v>
      </c>
      <c r="J821" t="s">
        <v>45</v>
      </c>
      <c r="K821" t="s">
        <v>40</v>
      </c>
      <c r="L821" t="s">
        <v>41</v>
      </c>
      <c r="M821">
        <v>2</v>
      </c>
      <c r="N821">
        <v>2</v>
      </c>
      <c r="O821">
        <v>0</v>
      </c>
      <c r="P821" t="s">
        <v>43</v>
      </c>
      <c r="Q821" t="s">
        <v>42</v>
      </c>
      <c r="R821" t="s">
        <v>43</v>
      </c>
      <c r="S821" t="s">
        <v>42</v>
      </c>
      <c r="T821" t="s">
        <v>42</v>
      </c>
      <c r="U821" t="s">
        <v>42</v>
      </c>
      <c r="V821" t="s">
        <v>42</v>
      </c>
      <c r="W821" t="s">
        <v>43</v>
      </c>
      <c r="X821">
        <v>4</v>
      </c>
      <c r="Y821">
        <v>4</v>
      </c>
      <c r="Z821">
        <v>4</v>
      </c>
      <c r="AA821">
        <v>1</v>
      </c>
      <c r="AB821">
        <v>1</v>
      </c>
      <c r="AC821">
        <v>5</v>
      </c>
      <c r="AD821">
        <v>0</v>
      </c>
      <c r="AE821">
        <v>12</v>
      </c>
      <c r="AF821">
        <v>12</v>
      </c>
      <c r="AG821">
        <v>12</v>
      </c>
    </row>
    <row r="822" spans="1:33" x14ac:dyDescent="0.35">
      <c r="A822" t="s">
        <v>53</v>
      </c>
      <c r="B822" t="s">
        <v>34</v>
      </c>
      <c r="C822">
        <v>15</v>
      </c>
      <c r="D822" t="s">
        <v>52</v>
      </c>
      <c r="E822" t="s">
        <v>36</v>
      </c>
      <c r="F822" t="s">
        <v>44</v>
      </c>
      <c r="G822">
        <v>1</v>
      </c>
      <c r="H822">
        <v>1</v>
      </c>
      <c r="I822" t="s">
        <v>38</v>
      </c>
      <c r="J822" t="s">
        <v>48</v>
      </c>
      <c r="K822" t="s">
        <v>45</v>
      </c>
      <c r="L822" t="s">
        <v>41</v>
      </c>
      <c r="M822">
        <v>1</v>
      </c>
      <c r="N822">
        <v>1</v>
      </c>
      <c r="O822">
        <v>1</v>
      </c>
      <c r="P822" t="s">
        <v>43</v>
      </c>
      <c r="Q822" t="s">
        <v>42</v>
      </c>
      <c r="R822" t="s">
        <v>43</v>
      </c>
      <c r="S822" t="s">
        <v>43</v>
      </c>
      <c r="T822" t="s">
        <v>42</v>
      </c>
      <c r="U822" t="s">
        <v>42</v>
      </c>
      <c r="V822" t="s">
        <v>43</v>
      </c>
      <c r="W822" t="s">
        <v>42</v>
      </c>
      <c r="X822">
        <v>4</v>
      </c>
      <c r="Y822">
        <v>1</v>
      </c>
      <c r="Z822">
        <v>3</v>
      </c>
      <c r="AA822">
        <v>1</v>
      </c>
      <c r="AB822">
        <v>1</v>
      </c>
      <c r="AC822">
        <v>2</v>
      </c>
      <c r="AD822">
        <v>6</v>
      </c>
      <c r="AE822">
        <v>10</v>
      </c>
      <c r="AF822">
        <v>10</v>
      </c>
      <c r="AG822">
        <v>10</v>
      </c>
    </row>
    <row r="823" spans="1:33" x14ac:dyDescent="0.35">
      <c r="A823" t="s">
        <v>53</v>
      </c>
      <c r="B823" t="s">
        <v>34</v>
      </c>
      <c r="C823">
        <v>15</v>
      </c>
      <c r="D823" t="s">
        <v>52</v>
      </c>
      <c r="E823" t="s">
        <v>36</v>
      </c>
      <c r="F823" t="s">
        <v>44</v>
      </c>
      <c r="G823">
        <v>3</v>
      </c>
      <c r="H823">
        <v>3</v>
      </c>
      <c r="I823" t="s">
        <v>38</v>
      </c>
      <c r="J823" t="s">
        <v>45</v>
      </c>
      <c r="K823" t="s">
        <v>40</v>
      </c>
      <c r="L823" t="s">
        <v>41</v>
      </c>
      <c r="M823">
        <v>2</v>
      </c>
      <c r="N823">
        <v>1</v>
      </c>
      <c r="O823">
        <v>0</v>
      </c>
      <c r="P823" t="s">
        <v>43</v>
      </c>
      <c r="Q823" t="s">
        <v>42</v>
      </c>
      <c r="R823" t="s">
        <v>43</v>
      </c>
      <c r="S823" t="s">
        <v>43</v>
      </c>
      <c r="T823" t="s">
        <v>42</v>
      </c>
      <c r="U823" t="s">
        <v>42</v>
      </c>
      <c r="V823" t="s">
        <v>42</v>
      </c>
      <c r="W823" t="s">
        <v>43</v>
      </c>
      <c r="X823">
        <v>5</v>
      </c>
      <c r="Y823">
        <v>4</v>
      </c>
      <c r="Z823">
        <v>4</v>
      </c>
      <c r="AA823">
        <v>2</v>
      </c>
      <c r="AB823">
        <v>3</v>
      </c>
      <c r="AC823">
        <v>5</v>
      </c>
      <c r="AD823">
        <v>4</v>
      </c>
      <c r="AE823">
        <v>10</v>
      </c>
      <c r="AF823">
        <v>10</v>
      </c>
      <c r="AG823">
        <v>11</v>
      </c>
    </row>
    <row r="824" spans="1:33" x14ac:dyDescent="0.35">
      <c r="A824" t="s">
        <v>53</v>
      </c>
      <c r="B824" t="s">
        <v>34</v>
      </c>
      <c r="C824">
        <v>16</v>
      </c>
      <c r="D824" t="s">
        <v>52</v>
      </c>
      <c r="E824" t="s">
        <v>36</v>
      </c>
      <c r="F824" t="s">
        <v>44</v>
      </c>
      <c r="G824">
        <v>2</v>
      </c>
      <c r="H824">
        <v>3</v>
      </c>
      <c r="I824" t="s">
        <v>38</v>
      </c>
      <c r="J824" t="s">
        <v>48</v>
      </c>
      <c r="K824" t="s">
        <v>40</v>
      </c>
      <c r="L824" t="s">
        <v>41</v>
      </c>
      <c r="M824">
        <v>2</v>
      </c>
      <c r="N824">
        <v>2</v>
      </c>
      <c r="O824">
        <v>0</v>
      </c>
      <c r="P824" t="s">
        <v>43</v>
      </c>
      <c r="Q824" t="s">
        <v>43</v>
      </c>
      <c r="R824" t="s">
        <v>43</v>
      </c>
      <c r="S824" t="s">
        <v>43</v>
      </c>
      <c r="T824" t="s">
        <v>42</v>
      </c>
      <c r="U824" t="s">
        <v>42</v>
      </c>
      <c r="V824" t="s">
        <v>43</v>
      </c>
      <c r="W824" t="s">
        <v>43</v>
      </c>
      <c r="X824">
        <v>4</v>
      </c>
      <c r="Y824">
        <v>5</v>
      </c>
      <c r="Z824">
        <v>2</v>
      </c>
      <c r="AA824">
        <v>1</v>
      </c>
      <c r="AB824">
        <v>2</v>
      </c>
      <c r="AC824">
        <v>5</v>
      </c>
      <c r="AD824">
        <v>0</v>
      </c>
      <c r="AE824">
        <v>16</v>
      </c>
      <c r="AF824">
        <v>17</v>
      </c>
      <c r="AG824">
        <v>17</v>
      </c>
    </row>
    <row r="825" spans="1:33" x14ac:dyDescent="0.35">
      <c r="A825" t="s">
        <v>53</v>
      </c>
      <c r="B825" t="s">
        <v>34</v>
      </c>
      <c r="C825">
        <v>15</v>
      </c>
      <c r="D825" t="s">
        <v>52</v>
      </c>
      <c r="E825" t="s">
        <v>47</v>
      </c>
      <c r="F825" t="s">
        <v>44</v>
      </c>
      <c r="G825">
        <v>2</v>
      </c>
      <c r="H825">
        <v>1</v>
      </c>
      <c r="I825" t="s">
        <v>38</v>
      </c>
      <c r="J825" t="s">
        <v>45</v>
      </c>
      <c r="K825" t="s">
        <v>49</v>
      </c>
      <c r="L825" t="s">
        <v>41</v>
      </c>
      <c r="M825">
        <v>2</v>
      </c>
      <c r="N825">
        <v>1</v>
      </c>
      <c r="O825">
        <v>0</v>
      </c>
      <c r="P825" t="s">
        <v>43</v>
      </c>
      <c r="Q825" t="s">
        <v>43</v>
      </c>
      <c r="R825" t="s">
        <v>43</v>
      </c>
      <c r="S825" t="s">
        <v>43</v>
      </c>
      <c r="T825" t="s">
        <v>42</v>
      </c>
      <c r="U825" t="s">
        <v>43</v>
      </c>
      <c r="V825" t="s">
        <v>43</v>
      </c>
      <c r="W825" t="s">
        <v>43</v>
      </c>
      <c r="X825">
        <v>1</v>
      </c>
      <c r="Y825">
        <v>3</v>
      </c>
      <c r="Z825">
        <v>4</v>
      </c>
      <c r="AA825">
        <v>1</v>
      </c>
      <c r="AB825">
        <v>1</v>
      </c>
      <c r="AC825">
        <v>1</v>
      </c>
      <c r="AD825">
        <v>0</v>
      </c>
      <c r="AE825">
        <v>6</v>
      </c>
      <c r="AF825">
        <v>8</v>
      </c>
      <c r="AG825">
        <v>9</v>
      </c>
    </row>
    <row r="826" spans="1:33" x14ac:dyDescent="0.35">
      <c r="A826" t="s">
        <v>53</v>
      </c>
      <c r="B826" t="s">
        <v>50</v>
      </c>
      <c r="C826">
        <v>16</v>
      </c>
      <c r="D826" t="s">
        <v>52</v>
      </c>
      <c r="E826" t="s">
        <v>47</v>
      </c>
      <c r="F826" t="s">
        <v>37</v>
      </c>
      <c r="G826">
        <v>4</v>
      </c>
      <c r="H826">
        <v>4</v>
      </c>
      <c r="I826" t="s">
        <v>38</v>
      </c>
      <c r="J826" t="s">
        <v>45</v>
      </c>
      <c r="K826" t="s">
        <v>49</v>
      </c>
      <c r="L826" t="s">
        <v>41</v>
      </c>
      <c r="M826">
        <v>1</v>
      </c>
      <c r="N826">
        <v>2</v>
      </c>
      <c r="O826">
        <v>0</v>
      </c>
      <c r="P826" t="s">
        <v>43</v>
      </c>
      <c r="Q826" t="s">
        <v>42</v>
      </c>
      <c r="R826" t="s">
        <v>43</v>
      </c>
      <c r="S826" t="s">
        <v>43</v>
      </c>
      <c r="T826" t="s">
        <v>42</v>
      </c>
      <c r="U826" t="s">
        <v>42</v>
      </c>
      <c r="V826" t="s">
        <v>43</v>
      </c>
      <c r="W826" t="s">
        <v>43</v>
      </c>
      <c r="X826">
        <v>5</v>
      </c>
      <c r="Y826">
        <v>3</v>
      </c>
      <c r="Z826">
        <v>2</v>
      </c>
      <c r="AA826">
        <v>1</v>
      </c>
      <c r="AB826">
        <v>3</v>
      </c>
      <c r="AC826">
        <v>2</v>
      </c>
      <c r="AD826">
        <v>5</v>
      </c>
      <c r="AE826">
        <v>10</v>
      </c>
      <c r="AF826">
        <v>11</v>
      </c>
      <c r="AG826">
        <v>11</v>
      </c>
    </row>
    <row r="827" spans="1:33" x14ac:dyDescent="0.35">
      <c r="A827" t="s">
        <v>53</v>
      </c>
      <c r="B827" t="s">
        <v>50</v>
      </c>
      <c r="C827">
        <v>16</v>
      </c>
      <c r="D827" t="s">
        <v>35</v>
      </c>
      <c r="E827" t="s">
        <v>36</v>
      </c>
      <c r="F827" t="s">
        <v>37</v>
      </c>
      <c r="G827">
        <v>1</v>
      </c>
      <c r="H827">
        <v>2</v>
      </c>
      <c r="I827" t="s">
        <v>45</v>
      </c>
      <c r="J827" t="s">
        <v>45</v>
      </c>
      <c r="K827" t="s">
        <v>45</v>
      </c>
      <c r="L827" t="s">
        <v>41</v>
      </c>
      <c r="M827">
        <v>1</v>
      </c>
      <c r="N827">
        <v>3</v>
      </c>
      <c r="O827">
        <v>0</v>
      </c>
      <c r="P827" t="s">
        <v>42</v>
      </c>
      <c r="Q827" t="s">
        <v>43</v>
      </c>
      <c r="R827" t="s">
        <v>43</v>
      </c>
      <c r="S827" t="s">
        <v>43</v>
      </c>
      <c r="T827" t="s">
        <v>42</v>
      </c>
      <c r="U827" t="s">
        <v>42</v>
      </c>
      <c r="V827" t="s">
        <v>42</v>
      </c>
      <c r="W827" t="s">
        <v>43</v>
      </c>
      <c r="X827">
        <v>4</v>
      </c>
      <c r="Y827">
        <v>4</v>
      </c>
      <c r="Z827">
        <v>3</v>
      </c>
      <c r="AA827">
        <v>1</v>
      </c>
      <c r="AB827">
        <v>1</v>
      </c>
      <c r="AC827">
        <v>5</v>
      </c>
      <c r="AD827">
        <v>0</v>
      </c>
      <c r="AE827">
        <v>10</v>
      </c>
      <c r="AF827">
        <v>11</v>
      </c>
      <c r="AG827">
        <v>11</v>
      </c>
    </row>
    <row r="828" spans="1:33" x14ac:dyDescent="0.35">
      <c r="A828" t="s">
        <v>53</v>
      </c>
      <c r="B828" t="s">
        <v>34</v>
      </c>
      <c r="C828">
        <v>17</v>
      </c>
      <c r="D828" t="s">
        <v>52</v>
      </c>
      <c r="E828" t="s">
        <v>36</v>
      </c>
      <c r="F828" t="s">
        <v>44</v>
      </c>
      <c r="G828">
        <v>3</v>
      </c>
      <c r="H828">
        <v>2</v>
      </c>
      <c r="I828" t="s">
        <v>38</v>
      </c>
      <c r="J828" t="s">
        <v>45</v>
      </c>
      <c r="K828" t="s">
        <v>40</v>
      </c>
      <c r="L828" t="s">
        <v>46</v>
      </c>
      <c r="M828">
        <v>1</v>
      </c>
      <c r="N828">
        <v>2</v>
      </c>
      <c r="O828">
        <v>1</v>
      </c>
      <c r="P828" t="s">
        <v>43</v>
      </c>
      <c r="Q828" t="s">
        <v>43</v>
      </c>
      <c r="R828" t="s">
        <v>43</v>
      </c>
      <c r="S828" t="s">
        <v>43</v>
      </c>
      <c r="T828" t="s">
        <v>42</v>
      </c>
      <c r="U828" t="s">
        <v>42</v>
      </c>
      <c r="V828" t="s">
        <v>43</v>
      </c>
      <c r="W828" t="s">
        <v>42</v>
      </c>
      <c r="X828">
        <v>4</v>
      </c>
      <c r="Y828">
        <v>5</v>
      </c>
      <c r="Z828">
        <v>4</v>
      </c>
      <c r="AA828">
        <v>1</v>
      </c>
      <c r="AB828">
        <v>2</v>
      </c>
      <c r="AC828">
        <v>5</v>
      </c>
      <c r="AD828">
        <v>0</v>
      </c>
      <c r="AE828">
        <v>10</v>
      </c>
      <c r="AF828">
        <v>10</v>
      </c>
      <c r="AG828">
        <v>10</v>
      </c>
    </row>
    <row r="829" spans="1:33" x14ac:dyDescent="0.35">
      <c r="A829" t="s">
        <v>53</v>
      </c>
      <c r="B829" t="s">
        <v>34</v>
      </c>
      <c r="C829">
        <v>17</v>
      </c>
      <c r="D829" t="s">
        <v>52</v>
      </c>
      <c r="E829" t="s">
        <v>36</v>
      </c>
      <c r="F829" t="s">
        <v>44</v>
      </c>
      <c r="G829">
        <v>1</v>
      </c>
      <c r="H829">
        <v>1</v>
      </c>
      <c r="I829" t="s">
        <v>45</v>
      </c>
      <c r="J829" t="s">
        <v>45</v>
      </c>
      <c r="K829" t="s">
        <v>45</v>
      </c>
      <c r="L829" t="s">
        <v>46</v>
      </c>
      <c r="M829">
        <v>1</v>
      </c>
      <c r="N829">
        <v>1</v>
      </c>
      <c r="O829">
        <v>1</v>
      </c>
      <c r="P829" t="s">
        <v>43</v>
      </c>
      <c r="Q829" t="s">
        <v>42</v>
      </c>
      <c r="R829" t="s">
        <v>43</v>
      </c>
      <c r="S829" t="s">
        <v>43</v>
      </c>
      <c r="T829" t="s">
        <v>43</v>
      </c>
      <c r="U829" t="s">
        <v>43</v>
      </c>
      <c r="V829" t="s">
        <v>42</v>
      </c>
      <c r="W829" t="s">
        <v>43</v>
      </c>
      <c r="X829">
        <v>5</v>
      </c>
      <c r="Y829">
        <v>4</v>
      </c>
      <c r="Z829">
        <v>4</v>
      </c>
      <c r="AA829">
        <v>2</v>
      </c>
      <c r="AB829">
        <v>2</v>
      </c>
      <c r="AC829">
        <v>5</v>
      </c>
      <c r="AD829">
        <v>0</v>
      </c>
      <c r="AE829">
        <v>6</v>
      </c>
      <c r="AF829">
        <v>6</v>
      </c>
      <c r="AG829">
        <v>7</v>
      </c>
    </row>
    <row r="830" spans="1:33" x14ac:dyDescent="0.35">
      <c r="A830" t="s">
        <v>53</v>
      </c>
      <c r="B830" t="s">
        <v>34</v>
      </c>
      <c r="C830">
        <v>15</v>
      </c>
      <c r="D830" t="s">
        <v>52</v>
      </c>
      <c r="E830" t="s">
        <v>36</v>
      </c>
      <c r="F830" t="s">
        <v>44</v>
      </c>
      <c r="G830">
        <v>4</v>
      </c>
      <c r="H830">
        <v>4</v>
      </c>
      <c r="I830" t="s">
        <v>39</v>
      </c>
      <c r="J830" t="s">
        <v>45</v>
      </c>
      <c r="K830" t="s">
        <v>40</v>
      </c>
      <c r="L830" t="s">
        <v>41</v>
      </c>
      <c r="M830">
        <v>2</v>
      </c>
      <c r="N830">
        <v>1</v>
      </c>
      <c r="O830">
        <v>0</v>
      </c>
      <c r="P830" t="s">
        <v>43</v>
      </c>
      <c r="Q830" t="s">
        <v>43</v>
      </c>
      <c r="R830" t="s">
        <v>43</v>
      </c>
      <c r="S830" t="s">
        <v>43</v>
      </c>
      <c r="T830" t="s">
        <v>42</v>
      </c>
      <c r="U830" t="s">
        <v>42</v>
      </c>
      <c r="V830" t="s">
        <v>42</v>
      </c>
      <c r="W830" t="s">
        <v>42</v>
      </c>
      <c r="X830">
        <v>1</v>
      </c>
      <c r="Y830">
        <v>5</v>
      </c>
      <c r="Z830">
        <v>1</v>
      </c>
      <c r="AA830">
        <v>3</v>
      </c>
      <c r="AB830">
        <v>5</v>
      </c>
      <c r="AC830">
        <v>5</v>
      </c>
      <c r="AD830">
        <v>0</v>
      </c>
      <c r="AE830">
        <v>13</v>
      </c>
      <c r="AF830">
        <v>14</v>
      </c>
      <c r="AG830">
        <v>14</v>
      </c>
    </row>
    <row r="831" spans="1:33" x14ac:dyDescent="0.35">
      <c r="A831" t="s">
        <v>53</v>
      </c>
      <c r="B831" t="s">
        <v>34</v>
      </c>
      <c r="C831">
        <v>16</v>
      </c>
      <c r="D831" t="s">
        <v>35</v>
      </c>
      <c r="E831" t="s">
        <v>47</v>
      </c>
      <c r="F831" t="s">
        <v>37</v>
      </c>
      <c r="G831">
        <v>2</v>
      </c>
      <c r="H831">
        <v>2</v>
      </c>
      <c r="I831" t="s">
        <v>38</v>
      </c>
      <c r="J831" t="s">
        <v>45</v>
      </c>
      <c r="K831" t="s">
        <v>51</v>
      </c>
      <c r="L831" t="s">
        <v>41</v>
      </c>
      <c r="M831">
        <v>2</v>
      </c>
      <c r="N831">
        <v>4</v>
      </c>
      <c r="O831">
        <v>0</v>
      </c>
      <c r="P831" t="s">
        <v>43</v>
      </c>
      <c r="Q831" t="s">
        <v>43</v>
      </c>
      <c r="R831" t="s">
        <v>43</v>
      </c>
      <c r="S831" t="s">
        <v>42</v>
      </c>
      <c r="T831" t="s">
        <v>43</v>
      </c>
      <c r="U831" t="s">
        <v>43</v>
      </c>
      <c r="V831" t="s">
        <v>43</v>
      </c>
      <c r="W831" t="s">
        <v>42</v>
      </c>
      <c r="X831">
        <v>1</v>
      </c>
      <c r="Y831">
        <v>2</v>
      </c>
      <c r="Z831">
        <v>1</v>
      </c>
      <c r="AA831">
        <v>1</v>
      </c>
      <c r="AB831">
        <v>1</v>
      </c>
      <c r="AC831">
        <v>1</v>
      </c>
      <c r="AD831">
        <v>4</v>
      </c>
      <c r="AE831">
        <v>10</v>
      </c>
      <c r="AF831">
        <v>9</v>
      </c>
      <c r="AG831">
        <v>11</v>
      </c>
    </row>
    <row r="832" spans="1:33" x14ac:dyDescent="0.35">
      <c r="A832" t="s">
        <v>53</v>
      </c>
      <c r="B832" t="s">
        <v>34</v>
      </c>
      <c r="C832">
        <v>15</v>
      </c>
      <c r="D832" t="s">
        <v>52</v>
      </c>
      <c r="E832" t="s">
        <v>47</v>
      </c>
      <c r="F832" t="s">
        <v>44</v>
      </c>
      <c r="G832">
        <v>1</v>
      </c>
      <c r="H832">
        <v>1</v>
      </c>
      <c r="I832" t="s">
        <v>38</v>
      </c>
      <c r="J832" t="s">
        <v>48</v>
      </c>
      <c r="K832" t="s">
        <v>51</v>
      </c>
      <c r="L832" t="s">
        <v>46</v>
      </c>
      <c r="M832">
        <v>2</v>
      </c>
      <c r="N832">
        <v>2</v>
      </c>
      <c r="O832">
        <v>0</v>
      </c>
      <c r="P832" t="s">
        <v>43</v>
      </c>
      <c r="Q832" t="s">
        <v>42</v>
      </c>
      <c r="R832" t="s">
        <v>43</v>
      </c>
      <c r="S832" t="s">
        <v>43</v>
      </c>
      <c r="T832" t="s">
        <v>42</v>
      </c>
      <c r="U832" t="s">
        <v>42</v>
      </c>
      <c r="V832" t="s">
        <v>42</v>
      </c>
      <c r="W832" t="s">
        <v>43</v>
      </c>
      <c r="X832">
        <v>5</v>
      </c>
      <c r="Y832">
        <v>4</v>
      </c>
      <c r="Z832">
        <v>3</v>
      </c>
      <c r="AA832">
        <v>1</v>
      </c>
      <c r="AB832">
        <v>2</v>
      </c>
      <c r="AC832">
        <v>4</v>
      </c>
      <c r="AD832">
        <v>0</v>
      </c>
      <c r="AE832">
        <v>10</v>
      </c>
      <c r="AF832">
        <v>10</v>
      </c>
      <c r="AG832">
        <v>10</v>
      </c>
    </row>
    <row r="833" spans="1:33" x14ac:dyDescent="0.35">
      <c r="A833" t="s">
        <v>53</v>
      </c>
      <c r="B833" t="s">
        <v>34</v>
      </c>
      <c r="C833">
        <v>15</v>
      </c>
      <c r="D833" t="s">
        <v>52</v>
      </c>
      <c r="E833" t="s">
        <v>47</v>
      </c>
      <c r="F833" t="s">
        <v>44</v>
      </c>
      <c r="G833">
        <v>1</v>
      </c>
      <c r="H833">
        <v>1</v>
      </c>
      <c r="I833" t="s">
        <v>45</v>
      </c>
      <c r="J833" t="s">
        <v>48</v>
      </c>
      <c r="K833" t="s">
        <v>40</v>
      </c>
      <c r="L833" t="s">
        <v>41</v>
      </c>
      <c r="M833">
        <v>2</v>
      </c>
      <c r="N833">
        <v>1</v>
      </c>
      <c r="O833">
        <v>1</v>
      </c>
      <c r="P833" t="s">
        <v>43</v>
      </c>
      <c r="Q833" t="s">
        <v>42</v>
      </c>
      <c r="R833" t="s">
        <v>43</v>
      </c>
      <c r="S833" t="s">
        <v>43</v>
      </c>
      <c r="T833" t="s">
        <v>42</v>
      </c>
      <c r="U833" t="s">
        <v>42</v>
      </c>
      <c r="V833" t="s">
        <v>42</v>
      </c>
      <c r="W833" t="s">
        <v>42</v>
      </c>
      <c r="X833">
        <v>4</v>
      </c>
      <c r="Y833">
        <v>4</v>
      </c>
      <c r="Z833">
        <v>3</v>
      </c>
      <c r="AA833">
        <v>1</v>
      </c>
      <c r="AB833">
        <v>2</v>
      </c>
      <c r="AC833">
        <v>2</v>
      </c>
      <c r="AD833">
        <v>4</v>
      </c>
      <c r="AE833">
        <v>6</v>
      </c>
      <c r="AF833">
        <v>7</v>
      </c>
      <c r="AG833">
        <v>8</v>
      </c>
    </row>
    <row r="834" spans="1:33" x14ac:dyDescent="0.35">
      <c r="A834" t="s">
        <v>53</v>
      </c>
      <c r="B834" t="s">
        <v>34</v>
      </c>
      <c r="C834">
        <v>16</v>
      </c>
      <c r="D834" t="s">
        <v>52</v>
      </c>
      <c r="E834" t="s">
        <v>36</v>
      </c>
      <c r="F834" t="s">
        <v>44</v>
      </c>
      <c r="G834">
        <v>0</v>
      </c>
      <c r="H834">
        <v>2</v>
      </c>
      <c r="I834" t="s">
        <v>45</v>
      </c>
      <c r="J834" t="s">
        <v>45</v>
      </c>
      <c r="K834" t="s">
        <v>45</v>
      </c>
      <c r="L834" t="s">
        <v>41</v>
      </c>
      <c r="M834">
        <v>2</v>
      </c>
      <c r="N834">
        <v>1</v>
      </c>
      <c r="O834">
        <v>0</v>
      </c>
      <c r="P834" t="s">
        <v>43</v>
      </c>
      <c r="Q834" t="s">
        <v>42</v>
      </c>
      <c r="R834" t="s">
        <v>43</v>
      </c>
      <c r="S834" t="s">
        <v>42</v>
      </c>
      <c r="T834" t="s">
        <v>42</v>
      </c>
      <c r="U834" t="s">
        <v>42</v>
      </c>
      <c r="V834" t="s">
        <v>43</v>
      </c>
      <c r="W834" t="s">
        <v>43</v>
      </c>
      <c r="X834">
        <v>3</v>
      </c>
      <c r="Y834">
        <v>2</v>
      </c>
      <c r="Z834">
        <v>3</v>
      </c>
      <c r="AA834">
        <v>1</v>
      </c>
      <c r="AB834">
        <v>2</v>
      </c>
      <c r="AC834">
        <v>2</v>
      </c>
      <c r="AD834">
        <v>0</v>
      </c>
      <c r="AE834">
        <v>12</v>
      </c>
      <c r="AF834">
        <v>11</v>
      </c>
      <c r="AG834">
        <v>12</v>
      </c>
    </row>
    <row r="835" spans="1:33" x14ac:dyDescent="0.35">
      <c r="A835" t="s">
        <v>53</v>
      </c>
      <c r="B835" t="s">
        <v>34</v>
      </c>
      <c r="C835">
        <v>17</v>
      </c>
      <c r="D835" t="s">
        <v>52</v>
      </c>
      <c r="E835" t="s">
        <v>36</v>
      </c>
      <c r="F835" t="s">
        <v>44</v>
      </c>
      <c r="G835">
        <v>2</v>
      </c>
      <c r="H835">
        <v>3</v>
      </c>
      <c r="I835" t="s">
        <v>45</v>
      </c>
      <c r="J835" t="s">
        <v>45</v>
      </c>
      <c r="K835" t="s">
        <v>40</v>
      </c>
      <c r="L835" t="s">
        <v>41</v>
      </c>
      <c r="M835">
        <v>2</v>
      </c>
      <c r="N835">
        <v>1</v>
      </c>
      <c r="O835">
        <v>0</v>
      </c>
      <c r="P835" t="s">
        <v>43</v>
      </c>
      <c r="Q835" t="s">
        <v>42</v>
      </c>
      <c r="R835" t="s">
        <v>43</v>
      </c>
      <c r="S835" t="s">
        <v>43</v>
      </c>
      <c r="T835" t="s">
        <v>42</v>
      </c>
      <c r="U835" t="s">
        <v>42</v>
      </c>
      <c r="V835" t="s">
        <v>42</v>
      </c>
      <c r="W835" t="s">
        <v>43</v>
      </c>
      <c r="X835">
        <v>5</v>
      </c>
      <c r="Y835">
        <v>5</v>
      </c>
      <c r="Z835">
        <v>5</v>
      </c>
      <c r="AA835">
        <v>1</v>
      </c>
      <c r="AB835">
        <v>3</v>
      </c>
      <c r="AC835">
        <v>3</v>
      </c>
      <c r="AD835">
        <v>2</v>
      </c>
      <c r="AE835">
        <v>10</v>
      </c>
      <c r="AF835">
        <v>11</v>
      </c>
      <c r="AG835">
        <v>12</v>
      </c>
    </row>
    <row r="836" spans="1:33" x14ac:dyDescent="0.35">
      <c r="A836" t="s">
        <v>53</v>
      </c>
      <c r="B836" t="s">
        <v>34</v>
      </c>
      <c r="C836">
        <v>15</v>
      </c>
      <c r="D836" t="s">
        <v>52</v>
      </c>
      <c r="E836" t="s">
        <v>36</v>
      </c>
      <c r="F836" t="s">
        <v>44</v>
      </c>
      <c r="G836">
        <v>3</v>
      </c>
      <c r="H836">
        <v>3</v>
      </c>
      <c r="I836" t="s">
        <v>45</v>
      </c>
      <c r="J836" t="s">
        <v>48</v>
      </c>
      <c r="K836" t="s">
        <v>40</v>
      </c>
      <c r="L836" t="s">
        <v>46</v>
      </c>
      <c r="M836">
        <v>2</v>
      </c>
      <c r="N836">
        <v>1</v>
      </c>
      <c r="O836">
        <v>0</v>
      </c>
      <c r="P836" t="s">
        <v>43</v>
      </c>
      <c r="Q836" t="s">
        <v>43</v>
      </c>
      <c r="R836" t="s">
        <v>43</v>
      </c>
      <c r="S836" t="s">
        <v>43</v>
      </c>
      <c r="T836" t="s">
        <v>43</v>
      </c>
      <c r="U836" t="s">
        <v>42</v>
      </c>
      <c r="V836" t="s">
        <v>42</v>
      </c>
      <c r="W836" t="s">
        <v>43</v>
      </c>
      <c r="X836">
        <v>4</v>
      </c>
      <c r="Y836">
        <v>1</v>
      </c>
      <c r="Z836">
        <v>3</v>
      </c>
      <c r="AA836">
        <v>1</v>
      </c>
      <c r="AB836">
        <v>1</v>
      </c>
      <c r="AC836">
        <v>4</v>
      </c>
      <c r="AD836">
        <v>0</v>
      </c>
      <c r="AE836">
        <v>14</v>
      </c>
      <c r="AF836">
        <v>16</v>
      </c>
      <c r="AG836">
        <v>16</v>
      </c>
    </row>
    <row r="837" spans="1:33" x14ac:dyDescent="0.35">
      <c r="A837" t="s">
        <v>53</v>
      </c>
      <c r="B837" t="s">
        <v>50</v>
      </c>
      <c r="C837">
        <v>16</v>
      </c>
      <c r="D837" t="s">
        <v>35</v>
      </c>
      <c r="E837" t="s">
        <v>36</v>
      </c>
      <c r="F837" t="s">
        <v>44</v>
      </c>
      <c r="G837">
        <v>1</v>
      </c>
      <c r="H837">
        <v>1</v>
      </c>
      <c r="I837" t="s">
        <v>38</v>
      </c>
      <c r="J837" t="s">
        <v>48</v>
      </c>
      <c r="K837" t="s">
        <v>49</v>
      </c>
      <c r="L837" t="s">
        <v>41</v>
      </c>
      <c r="M837">
        <v>2</v>
      </c>
      <c r="N837">
        <v>2</v>
      </c>
      <c r="O837">
        <v>0</v>
      </c>
      <c r="P837" t="s">
        <v>43</v>
      </c>
      <c r="Q837" t="s">
        <v>42</v>
      </c>
      <c r="R837" t="s">
        <v>43</v>
      </c>
      <c r="S837" t="s">
        <v>42</v>
      </c>
      <c r="T837" t="s">
        <v>42</v>
      </c>
      <c r="U837" t="s">
        <v>42</v>
      </c>
      <c r="V837" t="s">
        <v>43</v>
      </c>
      <c r="W837" t="s">
        <v>42</v>
      </c>
      <c r="X837">
        <v>5</v>
      </c>
      <c r="Y837">
        <v>4</v>
      </c>
      <c r="Z837">
        <v>5</v>
      </c>
      <c r="AA837">
        <v>4</v>
      </c>
      <c r="AB837">
        <v>5</v>
      </c>
      <c r="AC837">
        <v>3</v>
      </c>
      <c r="AD837">
        <v>0</v>
      </c>
      <c r="AE837">
        <v>7</v>
      </c>
      <c r="AF837">
        <v>0</v>
      </c>
      <c r="AG837">
        <v>0</v>
      </c>
    </row>
    <row r="838" spans="1:33" x14ac:dyDescent="0.35">
      <c r="A838" t="s">
        <v>53</v>
      </c>
      <c r="B838" t="s">
        <v>50</v>
      </c>
      <c r="C838">
        <v>17</v>
      </c>
      <c r="D838" t="s">
        <v>35</v>
      </c>
      <c r="E838" t="s">
        <v>36</v>
      </c>
      <c r="F838" t="s">
        <v>44</v>
      </c>
      <c r="G838">
        <v>1</v>
      </c>
      <c r="H838">
        <v>1</v>
      </c>
      <c r="I838" t="s">
        <v>45</v>
      </c>
      <c r="J838" t="s">
        <v>45</v>
      </c>
      <c r="K838" t="s">
        <v>49</v>
      </c>
      <c r="L838" t="s">
        <v>41</v>
      </c>
      <c r="M838">
        <v>1</v>
      </c>
      <c r="N838">
        <v>2</v>
      </c>
      <c r="O838">
        <v>0</v>
      </c>
      <c r="P838" t="s">
        <v>43</v>
      </c>
      <c r="Q838" t="s">
        <v>43</v>
      </c>
      <c r="R838" t="s">
        <v>42</v>
      </c>
      <c r="S838" t="s">
        <v>43</v>
      </c>
      <c r="T838" t="s">
        <v>43</v>
      </c>
      <c r="U838" t="s">
        <v>42</v>
      </c>
      <c r="V838" t="s">
        <v>42</v>
      </c>
      <c r="W838" t="s">
        <v>43</v>
      </c>
      <c r="X838">
        <v>4</v>
      </c>
      <c r="Y838">
        <v>4</v>
      </c>
      <c r="Z838">
        <v>3</v>
      </c>
      <c r="AA838">
        <v>2</v>
      </c>
      <c r="AB838">
        <v>4</v>
      </c>
      <c r="AC838">
        <v>5</v>
      </c>
      <c r="AD838">
        <v>4</v>
      </c>
      <c r="AE838">
        <v>8</v>
      </c>
      <c r="AF838">
        <v>9</v>
      </c>
      <c r="AG838">
        <v>9</v>
      </c>
    </row>
    <row r="839" spans="1:33" x14ac:dyDescent="0.35">
      <c r="A839" t="s">
        <v>53</v>
      </c>
      <c r="B839" t="s">
        <v>50</v>
      </c>
      <c r="C839">
        <v>15</v>
      </c>
      <c r="D839" t="s">
        <v>52</v>
      </c>
      <c r="E839" t="s">
        <v>47</v>
      </c>
      <c r="F839" t="s">
        <v>44</v>
      </c>
      <c r="G839">
        <v>4</v>
      </c>
      <c r="H839">
        <v>1</v>
      </c>
      <c r="I839" t="s">
        <v>28</v>
      </c>
      <c r="J839" t="s">
        <v>48</v>
      </c>
      <c r="K839" t="s">
        <v>51</v>
      </c>
      <c r="L839" t="s">
        <v>46</v>
      </c>
      <c r="M839">
        <v>1</v>
      </c>
      <c r="N839">
        <v>2</v>
      </c>
      <c r="O839">
        <v>0</v>
      </c>
      <c r="P839" t="s">
        <v>43</v>
      </c>
      <c r="Q839" t="s">
        <v>42</v>
      </c>
      <c r="R839" t="s">
        <v>43</v>
      </c>
      <c r="S839" t="s">
        <v>42</v>
      </c>
      <c r="T839" t="s">
        <v>42</v>
      </c>
      <c r="U839" t="s">
        <v>42</v>
      </c>
      <c r="V839" t="s">
        <v>42</v>
      </c>
      <c r="W839" t="s">
        <v>43</v>
      </c>
      <c r="X839">
        <v>5</v>
      </c>
      <c r="Y839">
        <v>3</v>
      </c>
      <c r="Z839">
        <v>4</v>
      </c>
      <c r="AA839">
        <v>1</v>
      </c>
      <c r="AB839">
        <v>2</v>
      </c>
      <c r="AC839">
        <v>2</v>
      </c>
      <c r="AD839">
        <v>0</v>
      </c>
      <c r="AE839">
        <v>12</v>
      </c>
      <c r="AF839">
        <v>13</v>
      </c>
      <c r="AG839">
        <v>14</v>
      </c>
    </row>
    <row r="840" spans="1:33" x14ac:dyDescent="0.35">
      <c r="A840" t="s">
        <v>53</v>
      </c>
      <c r="B840" t="s">
        <v>50</v>
      </c>
      <c r="C840">
        <v>15</v>
      </c>
      <c r="D840" t="s">
        <v>52</v>
      </c>
      <c r="E840" t="s">
        <v>47</v>
      </c>
      <c r="F840" t="s">
        <v>44</v>
      </c>
      <c r="G840">
        <v>4</v>
      </c>
      <c r="H840">
        <v>1</v>
      </c>
      <c r="I840" t="s">
        <v>28</v>
      </c>
      <c r="J840" t="s">
        <v>48</v>
      </c>
      <c r="K840" t="s">
        <v>51</v>
      </c>
      <c r="L840" t="s">
        <v>46</v>
      </c>
      <c r="M840">
        <v>1</v>
      </c>
      <c r="N840">
        <v>2</v>
      </c>
      <c r="O840">
        <v>0</v>
      </c>
      <c r="P840" t="s">
        <v>43</v>
      </c>
      <c r="Q840" t="s">
        <v>42</v>
      </c>
      <c r="R840" t="s">
        <v>43</v>
      </c>
      <c r="S840" t="s">
        <v>42</v>
      </c>
      <c r="T840" t="s">
        <v>42</v>
      </c>
      <c r="U840" t="s">
        <v>42</v>
      </c>
      <c r="V840" t="s">
        <v>42</v>
      </c>
      <c r="W840" t="s">
        <v>43</v>
      </c>
      <c r="X840">
        <v>5</v>
      </c>
      <c r="Y840">
        <v>3</v>
      </c>
      <c r="Z840">
        <v>4</v>
      </c>
      <c r="AA840">
        <v>1</v>
      </c>
      <c r="AB840">
        <v>2</v>
      </c>
      <c r="AC840">
        <v>2</v>
      </c>
      <c r="AD840">
        <v>7</v>
      </c>
      <c r="AE840">
        <v>7</v>
      </c>
      <c r="AF840">
        <v>9</v>
      </c>
      <c r="AG840">
        <v>8</v>
      </c>
    </row>
    <row r="841" spans="1:33" x14ac:dyDescent="0.35">
      <c r="A841" t="s">
        <v>53</v>
      </c>
      <c r="B841" t="s">
        <v>50</v>
      </c>
      <c r="C841">
        <v>16</v>
      </c>
      <c r="D841" t="s">
        <v>52</v>
      </c>
      <c r="E841" t="s">
        <v>36</v>
      </c>
      <c r="F841" t="s">
        <v>44</v>
      </c>
      <c r="G841">
        <v>3</v>
      </c>
      <c r="H841">
        <v>4</v>
      </c>
      <c r="I841" t="s">
        <v>45</v>
      </c>
      <c r="J841" t="s">
        <v>28</v>
      </c>
      <c r="K841" t="s">
        <v>45</v>
      </c>
      <c r="L841" t="s">
        <v>41</v>
      </c>
      <c r="M841">
        <v>3</v>
      </c>
      <c r="N841">
        <v>2</v>
      </c>
      <c r="O841">
        <v>0</v>
      </c>
      <c r="P841" t="s">
        <v>43</v>
      </c>
      <c r="Q841" t="s">
        <v>43</v>
      </c>
      <c r="R841" t="s">
        <v>43</v>
      </c>
      <c r="S841" t="s">
        <v>43</v>
      </c>
      <c r="T841" t="s">
        <v>43</v>
      </c>
      <c r="U841" t="s">
        <v>42</v>
      </c>
      <c r="V841" t="s">
        <v>43</v>
      </c>
      <c r="W841" t="s">
        <v>43</v>
      </c>
      <c r="X841">
        <v>3</v>
      </c>
      <c r="Y841">
        <v>4</v>
      </c>
      <c r="Z841">
        <v>5</v>
      </c>
      <c r="AA841">
        <v>1</v>
      </c>
      <c r="AB841">
        <v>2</v>
      </c>
      <c r="AC841">
        <v>5</v>
      </c>
      <c r="AD841">
        <v>4</v>
      </c>
      <c r="AE841">
        <v>9</v>
      </c>
      <c r="AF841">
        <v>10</v>
      </c>
      <c r="AG841">
        <v>11</v>
      </c>
    </row>
    <row r="842" spans="1:33" x14ac:dyDescent="0.35">
      <c r="A842" t="s">
        <v>53</v>
      </c>
      <c r="B842" t="s">
        <v>50</v>
      </c>
      <c r="C842">
        <v>15</v>
      </c>
      <c r="D842" t="s">
        <v>52</v>
      </c>
      <c r="E842" t="s">
        <v>36</v>
      </c>
      <c r="F842" t="s">
        <v>44</v>
      </c>
      <c r="G842">
        <v>1</v>
      </c>
      <c r="H842">
        <v>1</v>
      </c>
      <c r="I842" t="s">
        <v>45</v>
      </c>
      <c r="J842" t="s">
        <v>45</v>
      </c>
      <c r="K842" t="s">
        <v>40</v>
      </c>
      <c r="L842" t="s">
        <v>41</v>
      </c>
      <c r="M842">
        <v>4</v>
      </c>
      <c r="N842">
        <v>2</v>
      </c>
      <c r="O842">
        <v>0</v>
      </c>
      <c r="P842" t="s">
        <v>43</v>
      </c>
      <c r="Q842" t="s">
        <v>42</v>
      </c>
      <c r="R842" t="s">
        <v>43</v>
      </c>
      <c r="S842" t="s">
        <v>42</v>
      </c>
      <c r="T842" t="s">
        <v>42</v>
      </c>
      <c r="U842" t="s">
        <v>42</v>
      </c>
      <c r="V842" t="s">
        <v>43</v>
      </c>
      <c r="W842" t="s">
        <v>42</v>
      </c>
      <c r="X842">
        <v>5</v>
      </c>
      <c r="Y842">
        <v>4</v>
      </c>
      <c r="Z842">
        <v>5</v>
      </c>
      <c r="AA842">
        <v>2</v>
      </c>
      <c r="AB842">
        <v>4</v>
      </c>
      <c r="AC842">
        <v>4</v>
      </c>
      <c r="AD842">
        <v>8</v>
      </c>
      <c r="AE842">
        <v>7</v>
      </c>
      <c r="AF842">
        <v>9</v>
      </c>
      <c r="AG842">
        <v>9</v>
      </c>
    </row>
    <row r="843" spans="1:33" x14ac:dyDescent="0.35">
      <c r="A843" t="s">
        <v>53</v>
      </c>
      <c r="B843" t="s">
        <v>50</v>
      </c>
      <c r="C843">
        <v>15</v>
      </c>
      <c r="D843" t="s">
        <v>35</v>
      </c>
      <c r="E843" t="s">
        <v>47</v>
      </c>
      <c r="F843" t="s">
        <v>44</v>
      </c>
      <c r="G843">
        <v>3</v>
      </c>
      <c r="H843">
        <v>3</v>
      </c>
      <c r="I843" t="s">
        <v>38</v>
      </c>
      <c r="J843" t="s">
        <v>38</v>
      </c>
      <c r="K843" t="s">
        <v>51</v>
      </c>
      <c r="L843" t="s">
        <v>46</v>
      </c>
      <c r="M843">
        <v>1</v>
      </c>
      <c r="N843">
        <v>2</v>
      </c>
      <c r="O843">
        <v>0</v>
      </c>
      <c r="P843" t="s">
        <v>43</v>
      </c>
      <c r="Q843" t="s">
        <v>42</v>
      </c>
      <c r="R843" t="s">
        <v>43</v>
      </c>
      <c r="S843" t="s">
        <v>42</v>
      </c>
      <c r="T843" t="s">
        <v>42</v>
      </c>
      <c r="U843" t="s">
        <v>42</v>
      </c>
      <c r="V843" t="s">
        <v>42</v>
      </c>
      <c r="W843" t="s">
        <v>43</v>
      </c>
      <c r="X843">
        <v>5</v>
      </c>
      <c r="Y843">
        <v>3</v>
      </c>
      <c r="Z843">
        <v>3</v>
      </c>
      <c r="AA843">
        <v>1</v>
      </c>
      <c r="AB843">
        <v>1</v>
      </c>
      <c r="AC843">
        <v>5</v>
      </c>
      <c r="AD843">
        <v>0</v>
      </c>
      <c r="AE843">
        <v>11</v>
      </c>
      <c r="AF843">
        <v>11</v>
      </c>
      <c r="AG843">
        <v>11</v>
      </c>
    </row>
    <row r="844" spans="1:33" x14ac:dyDescent="0.35">
      <c r="A844" t="s">
        <v>53</v>
      </c>
      <c r="B844" t="s">
        <v>50</v>
      </c>
      <c r="C844">
        <v>17</v>
      </c>
      <c r="D844" t="s">
        <v>52</v>
      </c>
      <c r="E844" t="s">
        <v>36</v>
      </c>
      <c r="F844" t="s">
        <v>44</v>
      </c>
      <c r="G844">
        <v>2</v>
      </c>
      <c r="H844">
        <v>1</v>
      </c>
      <c r="I844" t="s">
        <v>45</v>
      </c>
      <c r="J844" t="s">
        <v>45</v>
      </c>
      <c r="K844" t="s">
        <v>45</v>
      </c>
      <c r="L844" t="s">
        <v>41</v>
      </c>
      <c r="M844">
        <v>3</v>
      </c>
      <c r="N844">
        <v>1</v>
      </c>
      <c r="O844">
        <v>0</v>
      </c>
      <c r="P844" t="s">
        <v>43</v>
      </c>
      <c r="Q844" t="s">
        <v>43</v>
      </c>
      <c r="R844" t="s">
        <v>43</v>
      </c>
      <c r="S844" t="s">
        <v>42</v>
      </c>
      <c r="T844" t="s">
        <v>42</v>
      </c>
      <c r="U844" t="s">
        <v>43</v>
      </c>
      <c r="V844" t="s">
        <v>43</v>
      </c>
      <c r="W844" t="s">
        <v>42</v>
      </c>
      <c r="X844">
        <v>5</v>
      </c>
      <c r="Y844">
        <v>5</v>
      </c>
      <c r="Z844">
        <v>5</v>
      </c>
      <c r="AA844">
        <v>5</v>
      </c>
      <c r="AB844">
        <v>5</v>
      </c>
      <c r="AC844">
        <v>3</v>
      </c>
      <c r="AD844">
        <v>8</v>
      </c>
      <c r="AE844">
        <v>8</v>
      </c>
      <c r="AF844">
        <v>10</v>
      </c>
      <c r="AG844">
        <v>9</v>
      </c>
    </row>
    <row r="845" spans="1:33" x14ac:dyDescent="0.35">
      <c r="A845" t="s">
        <v>53</v>
      </c>
      <c r="B845" t="s">
        <v>34</v>
      </c>
      <c r="C845">
        <v>16</v>
      </c>
      <c r="D845" t="s">
        <v>52</v>
      </c>
      <c r="E845" t="s">
        <v>36</v>
      </c>
      <c r="F845" t="s">
        <v>44</v>
      </c>
      <c r="G845">
        <v>4</v>
      </c>
      <c r="H845">
        <v>4</v>
      </c>
      <c r="I845" t="s">
        <v>39</v>
      </c>
      <c r="J845" t="s">
        <v>39</v>
      </c>
      <c r="K845" t="s">
        <v>40</v>
      </c>
      <c r="L845" t="s">
        <v>41</v>
      </c>
      <c r="M845">
        <v>2</v>
      </c>
      <c r="N845">
        <v>3</v>
      </c>
      <c r="O845">
        <v>0</v>
      </c>
      <c r="P845" t="s">
        <v>43</v>
      </c>
      <c r="Q845" t="s">
        <v>43</v>
      </c>
      <c r="R845" t="s">
        <v>43</v>
      </c>
      <c r="S845" t="s">
        <v>42</v>
      </c>
      <c r="T845" t="s">
        <v>42</v>
      </c>
      <c r="U845" t="s">
        <v>42</v>
      </c>
      <c r="V845" t="s">
        <v>42</v>
      </c>
      <c r="W845" t="s">
        <v>42</v>
      </c>
      <c r="X845">
        <v>4</v>
      </c>
      <c r="Y845">
        <v>2</v>
      </c>
      <c r="Z845">
        <v>2</v>
      </c>
      <c r="AA845">
        <v>1</v>
      </c>
      <c r="AB845">
        <v>1</v>
      </c>
      <c r="AC845">
        <v>4</v>
      </c>
      <c r="AD845">
        <v>6</v>
      </c>
      <c r="AE845">
        <v>16</v>
      </c>
      <c r="AF845">
        <v>16</v>
      </c>
      <c r="AG845">
        <v>17</v>
      </c>
    </row>
    <row r="846" spans="1:33" x14ac:dyDescent="0.35">
      <c r="A846" t="s">
        <v>53</v>
      </c>
      <c r="B846" t="s">
        <v>34</v>
      </c>
      <c r="C846">
        <v>15</v>
      </c>
      <c r="D846" t="s">
        <v>52</v>
      </c>
      <c r="E846" t="s">
        <v>36</v>
      </c>
      <c r="F846" t="s">
        <v>44</v>
      </c>
      <c r="G846">
        <v>1</v>
      </c>
      <c r="H846">
        <v>2</v>
      </c>
      <c r="I846" t="s">
        <v>45</v>
      </c>
      <c r="J846" t="s">
        <v>48</v>
      </c>
      <c r="K846" t="s">
        <v>40</v>
      </c>
      <c r="L846" t="s">
        <v>41</v>
      </c>
      <c r="M846">
        <v>2</v>
      </c>
      <c r="N846">
        <v>1</v>
      </c>
      <c r="O846">
        <v>0</v>
      </c>
      <c r="P846" t="s">
        <v>43</v>
      </c>
      <c r="Q846" t="s">
        <v>43</v>
      </c>
      <c r="R846" t="s">
        <v>43</v>
      </c>
      <c r="S846" t="s">
        <v>43</v>
      </c>
      <c r="T846" t="s">
        <v>42</v>
      </c>
      <c r="U846" t="s">
        <v>42</v>
      </c>
      <c r="V846" t="s">
        <v>43</v>
      </c>
      <c r="W846" t="s">
        <v>43</v>
      </c>
      <c r="X846">
        <v>5</v>
      </c>
      <c r="Y846">
        <v>1</v>
      </c>
      <c r="Z846">
        <v>2</v>
      </c>
      <c r="AA846">
        <v>1</v>
      </c>
      <c r="AB846">
        <v>1</v>
      </c>
      <c r="AC846">
        <v>1</v>
      </c>
      <c r="AD846">
        <v>3</v>
      </c>
      <c r="AE846">
        <v>11</v>
      </c>
      <c r="AF846">
        <v>13</v>
      </c>
      <c r="AG846">
        <v>13</v>
      </c>
    </row>
    <row r="847" spans="1:33" x14ac:dyDescent="0.35">
      <c r="A847" t="s">
        <v>53</v>
      </c>
      <c r="B847" t="s">
        <v>34</v>
      </c>
      <c r="C847">
        <v>16</v>
      </c>
      <c r="D847" t="s">
        <v>52</v>
      </c>
      <c r="E847" t="s">
        <v>36</v>
      </c>
      <c r="F847" t="s">
        <v>44</v>
      </c>
      <c r="G847">
        <v>2</v>
      </c>
      <c r="H847">
        <v>3</v>
      </c>
      <c r="I847" t="s">
        <v>45</v>
      </c>
      <c r="J847" t="s">
        <v>48</v>
      </c>
      <c r="K847" t="s">
        <v>40</v>
      </c>
      <c r="L847" t="s">
        <v>41</v>
      </c>
      <c r="M847">
        <v>3</v>
      </c>
      <c r="N847">
        <v>2</v>
      </c>
      <c r="O847">
        <v>0</v>
      </c>
      <c r="P847" t="s">
        <v>43</v>
      </c>
      <c r="Q847" t="s">
        <v>42</v>
      </c>
      <c r="R847" t="s">
        <v>43</v>
      </c>
      <c r="S847" t="s">
        <v>43</v>
      </c>
      <c r="T847" t="s">
        <v>42</v>
      </c>
      <c r="U847" t="s">
        <v>42</v>
      </c>
      <c r="V847" t="s">
        <v>42</v>
      </c>
      <c r="W847" t="s">
        <v>43</v>
      </c>
      <c r="X847">
        <v>4</v>
      </c>
      <c r="Y847">
        <v>5</v>
      </c>
      <c r="Z847">
        <v>4</v>
      </c>
      <c r="AA847">
        <v>1</v>
      </c>
      <c r="AB847">
        <v>2</v>
      </c>
      <c r="AC847">
        <v>1</v>
      </c>
      <c r="AD847">
        <v>2</v>
      </c>
      <c r="AE847">
        <v>15</v>
      </c>
      <c r="AF847">
        <v>15</v>
      </c>
      <c r="AG847">
        <v>15</v>
      </c>
    </row>
    <row r="848" spans="1:33" x14ac:dyDescent="0.35">
      <c r="A848" t="s">
        <v>53</v>
      </c>
      <c r="B848" t="s">
        <v>50</v>
      </c>
      <c r="C848">
        <v>16</v>
      </c>
      <c r="D848" t="s">
        <v>52</v>
      </c>
      <c r="E848" t="s">
        <v>36</v>
      </c>
      <c r="F848" t="s">
        <v>44</v>
      </c>
      <c r="G848">
        <v>1</v>
      </c>
      <c r="H848">
        <v>2</v>
      </c>
      <c r="I848" t="s">
        <v>45</v>
      </c>
      <c r="J848" t="s">
        <v>45</v>
      </c>
      <c r="K848" t="s">
        <v>40</v>
      </c>
      <c r="L848" t="s">
        <v>46</v>
      </c>
      <c r="M848">
        <v>2</v>
      </c>
      <c r="N848">
        <v>2</v>
      </c>
      <c r="O848">
        <v>0</v>
      </c>
      <c r="P848" t="s">
        <v>43</v>
      </c>
      <c r="Q848" t="s">
        <v>43</v>
      </c>
      <c r="R848" t="s">
        <v>43</v>
      </c>
      <c r="S848" t="s">
        <v>43</v>
      </c>
      <c r="T848" t="s">
        <v>42</v>
      </c>
      <c r="U848" t="s">
        <v>42</v>
      </c>
      <c r="V848" t="s">
        <v>43</v>
      </c>
      <c r="W848" t="s">
        <v>43</v>
      </c>
      <c r="X848">
        <v>4</v>
      </c>
      <c r="Y848">
        <v>3</v>
      </c>
      <c r="Z848">
        <v>3</v>
      </c>
      <c r="AA848">
        <v>1</v>
      </c>
      <c r="AB848">
        <v>1</v>
      </c>
      <c r="AC848">
        <v>5</v>
      </c>
      <c r="AD848">
        <v>0</v>
      </c>
      <c r="AE848">
        <v>10</v>
      </c>
      <c r="AF848">
        <v>11</v>
      </c>
      <c r="AG848">
        <v>11</v>
      </c>
    </row>
    <row r="849" spans="1:33" x14ac:dyDescent="0.35">
      <c r="A849" t="s">
        <v>53</v>
      </c>
      <c r="B849" t="s">
        <v>34</v>
      </c>
      <c r="C849">
        <v>16</v>
      </c>
      <c r="D849" t="s">
        <v>52</v>
      </c>
      <c r="E849" t="s">
        <v>36</v>
      </c>
      <c r="F849" t="s">
        <v>44</v>
      </c>
      <c r="G849">
        <v>2</v>
      </c>
      <c r="H849">
        <v>2</v>
      </c>
      <c r="I849" t="s">
        <v>45</v>
      </c>
      <c r="J849" t="s">
        <v>45</v>
      </c>
      <c r="K849" t="s">
        <v>40</v>
      </c>
      <c r="L849" t="s">
        <v>41</v>
      </c>
      <c r="M849">
        <v>3</v>
      </c>
      <c r="N849">
        <v>2</v>
      </c>
      <c r="O849">
        <v>0</v>
      </c>
      <c r="P849" t="s">
        <v>43</v>
      </c>
      <c r="Q849" t="s">
        <v>42</v>
      </c>
      <c r="R849" t="s">
        <v>43</v>
      </c>
      <c r="S849" t="s">
        <v>43</v>
      </c>
      <c r="T849" t="s">
        <v>42</v>
      </c>
      <c r="U849" t="s">
        <v>42</v>
      </c>
      <c r="V849" t="s">
        <v>42</v>
      </c>
      <c r="W849" t="s">
        <v>43</v>
      </c>
      <c r="X849">
        <v>4</v>
      </c>
      <c r="Y849">
        <v>4</v>
      </c>
      <c r="Z849">
        <v>5</v>
      </c>
      <c r="AA849">
        <v>1</v>
      </c>
      <c r="AB849">
        <v>1</v>
      </c>
      <c r="AC849">
        <v>4</v>
      </c>
      <c r="AD849">
        <v>4</v>
      </c>
      <c r="AE849">
        <v>9</v>
      </c>
      <c r="AF849">
        <v>10</v>
      </c>
      <c r="AG849">
        <v>11</v>
      </c>
    </row>
    <row r="850" spans="1:33" x14ac:dyDescent="0.35">
      <c r="A850" t="s">
        <v>53</v>
      </c>
      <c r="B850" t="s">
        <v>34</v>
      </c>
      <c r="C850">
        <v>16</v>
      </c>
      <c r="D850" t="s">
        <v>35</v>
      </c>
      <c r="E850" t="s">
        <v>36</v>
      </c>
      <c r="F850" t="s">
        <v>44</v>
      </c>
      <c r="G850">
        <v>1</v>
      </c>
      <c r="H850">
        <v>2</v>
      </c>
      <c r="I850" t="s">
        <v>45</v>
      </c>
      <c r="J850" t="s">
        <v>48</v>
      </c>
      <c r="K850" t="s">
        <v>40</v>
      </c>
      <c r="L850" t="s">
        <v>41</v>
      </c>
      <c r="M850">
        <v>1</v>
      </c>
      <c r="N850">
        <v>3</v>
      </c>
      <c r="O850">
        <v>1</v>
      </c>
      <c r="P850" t="s">
        <v>43</v>
      </c>
      <c r="Q850" t="s">
        <v>42</v>
      </c>
      <c r="R850" t="s">
        <v>43</v>
      </c>
      <c r="S850" t="s">
        <v>43</v>
      </c>
      <c r="T850" t="s">
        <v>42</v>
      </c>
      <c r="U850" t="s">
        <v>42</v>
      </c>
      <c r="V850" t="s">
        <v>43</v>
      </c>
      <c r="W850" t="s">
        <v>43</v>
      </c>
      <c r="X850">
        <v>1</v>
      </c>
      <c r="Y850">
        <v>3</v>
      </c>
      <c r="Z850">
        <v>2</v>
      </c>
      <c r="AA850">
        <v>1</v>
      </c>
      <c r="AB850">
        <v>2</v>
      </c>
      <c r="AC850">
        <v>4</v>
      </c>
      <c r="AD850">
        <v>0</v>
      </c>
      <c r="AE850">
        <v>10</v>
      </c>
      <c r="AF850">
        <v>8</v>
      </c>
      <c r="AG850">
        <v>8</v>
      </c>
    </row>
    <row r="851" spans="1:33" x14ac:dyDescent="0.35">
      <c r="A851" t="s">
        <v>53</v>
      </c>
      <c r="B851" t="s">
        <v>34</v>
      </c>
      <c r="C851">
        <v>16</v>
      </c>
      <c r="D851" t="s">
        <v>35</v>
      </c>
      <c r="E851" t="s">
        <v>36</v>
      </c>
      <c r="F851" t="s">
        <v>44</v>
      </c>
      <c r="G851">
        <v>1</v>
      </c>
      <c r="H851">
        <v>2</v>
      </c>
      <c r="I851" t="s">
        <v>45</v>
      </c>
      <c r="J851" t="s">
        <v>48</v>
      </c>
      <c r="K851" t="s">
        <v>40</v>
      </c>
      <c r="L851" t="s">
        <v>41</v>
      </c>
      <c r="M851">
        <v>1</v>
      </c>
      <c r="N851">
        <v>3</v>
      </c>
      <c r="O851">
        <v>1</v>
      </c>
      <c r="P851" t="s">
        <v>43</v>
      </c>
      <c r="Q851" t="s">
        <v>42</v>
      </c>
      <c r="R851" t="s">
        <v>43</v>
      </c>
      <c r="S851" t="s">
        <v>43</v>
      </c>
      <c r="T851" t="s">
        <v>42</v>
      </c>
      <c r="U851" t="s">
        <v>42</v>
      </c>
      <c r="V851" t="s">
        <v>43</v>
      </c>
      <c r="W851" t="s">
        <v>43</v>
      </c>
      <c r="X851">
        <v>1</v>
      </c>
      <c r="Y851">
        <v>3</v>
      </c>
      <c r="Z851">
        <v>2</v>
      </c>
      <c r="AA851">
        <v>1</v>
      </c>
      <c r="AB851">
        <v>2</v>
      </c>
      <c r="AC851">
        <v>4</v>
      </c>
      <c r="AD851">
        <v>3</v>
      </c>
      <c r="AE851">
        <v>9</v>
      </c>
      <c r="AF851">
        <v>8</v>
      </c>
      <c r="AG851">
        <v>8</v>
      </c>
    </row>
    <row r="852" spans="1:33" x14ac:dyDescent="0.35">
      <c r="A852" t="s">
        <v>53</v>
      </c>
      <c r="B852" t="s">
        <v>34</v>
      </c>
      <c r="C852">
        <v>15</v>
      </c>
      <c r="D852" t="s">
        <v>35</v>
      </c>
      <c r="E852" t="s">
        <v>36</v>
      </c>
      <c r="F852" t="s">
        <v>44</v>
      </c>
      <c r="G852">
        <v>2</v>
      </c>
      <c r="H852">
        <v>1</v>
      </c>
      <c r="I852" t="s">
        <v>38</v>
      </c>
      <c r="J852" t="s">
        <v>45</v>
      </c>
      <c r="K852" t="s">
        <v>49</v>
      </c>
      <c r="L852" t="s">
        <v>41</v>
      </c>
      <c r="M852">
        <v>1</v>
      </c>
      <c r="N852">
        <v>2</v>
      </c>
      <c r="O852">
        <v>0</v>
      </c>
      <c r="P852" t="s">
        <v>42</v>
      </c>
      <c r="Q852" t="s">
        <v>42</v>
      </c>
      <c r="R852" t="s">
        <v>43</v>
      </c>
      <c r="S852" t="s">
        <v>43</v>
      </c>
      <c r="T852" t="s">
        <v>43</v>
      </c>
      <c r="U852" t="s">
        <v>42</v>
      </c>
      <c r="V852" t="s">
        <v>42</v>
      </c>
      <c r="W852" t="s">
        <v>43</v>
      </c>
      <c r="X852">
        <v>4</v>
      </c>
      <c r="Y852">
        <v>4</v>
      </c>
      <c r="Z852">
        <v>2</v>
      </c>
      <c r="AA852">
        <v>3</v>
      </c>
      <c r="AB852">
        <v>3</v>
      </c>
      <c r="AC852">
        <v>2</v>
      </c>
      <c r="AD852">
        <v>0</v>
      </c>
      <c r="AE852">
        <v>9</v>
      </c>
      <c r="AF852">
        <v>10</v>
      </c>
      <c r="AG852">
        <v>9</v>
      </c>
    </row>
    <row r="853" spans="1:33" x14ac:dyDescent="0.35">
      <c r="A853" t="s">
        <v>53</v>
      </c>
      <c r="B853" t="s">
        <v>34</v>
      </c>
      <c r="C853">
        <v>16</v>
      </c>
      <c r="D853" t="s">
        <v>35</v>
      </c>
      <c r="E853" t="s">
        <v>36</v>
      </c>
      <c r="F853" t="s">
        <v>44</v>
      </c>
      <c r="G853">
        <v>1</v>
      </c>
      <c r="H853">
        <v>1</v>
      </c>
      <c r="I853" t="s">
        <v>38</v>
      </c>
      <c r="J853" t="s">
        <v>45</v>
      </c>
      <c r="K853" t="s">
        <v>40</v>
      </c>
      <c r="L853" t="s">
        <v>46</v>
      </c>
      <c r="M853">
        <v>1</v>
      </c>
      <c r="N853">
        <v>2</v>
      </c>
      <c r="O853">
        <v>0</v>
      </c>
      <c r="P853" t="s">
        <v>43</v>
      </c>
      <c r="Q853" t="s">
        <v>42</v>
      </c>
      <c r="R853" t="s">
        <v>43</v>
      </c>
      <c r="S853" t="s">
        <v>43</v>
      </c>
      <c r="T853" t="s">
        <v>43</v>
      </c>
      <c r="U853" t="s">
        <v>42</v>
      </c>
      <c r="V853" t="s">
        <v>43</v>
      </c>
      <c r="W853" t="s">
        <v>42</v>
      </c>
      <c r="X853">
        <v>5</v>
      </c>
      <c r="Y853">
        <v>4</v>
      </c>
      <c r="Z853">
        <v>3</v>
      </c>
      <c r="AA853">
        <v>2</v>
      </c>
      <c r="AB853">
        <v>1</v>
      </c>
      <c r="AC853">
        <v>2</v>
      </c>
      <c r="AD853">
        <v>0</v>
      </c>
      <c r="AE853">
        <v>13</v>
      </c>
      <c r="AF853">
        <v>14</v>
      </c>
      <c r="AG853">
        <v>15</v>
      </c>
    </row>
    <row r="854" spans="1:33" x14ac:dyDescent="0.35">
      <c r="A854" t="s">
        <v>53</v>
      </c>
      <c r="B854" t="s">
        <v>50</v>
      </c>
      <c r="C854">
        <v>17</v>
      </c>
      <c r="D854" t="s">
        <v>52</v>
      </c>
      <c r="E854" t="s">
        <v>47</v>
      </c>
      <c r="F854" t="s">
        <v>44</v>
      </c>
      <c r="G854">
        <v>1</v>
      </c>
      <c r="H854">
        <v>2</v>
      </c>
      <c r="I854" t="s">
        <v>38</v>
      </c>
      <c r="J854" t="s">
        <v>48</v>
      </c>
      <c r="K854" t="s">
        <v>51</v>
      </c>
      <c r="L854" t="s">
        <v>41</v>
      </c>
      <c r="M854">
        <v>1</v>
      </c>
      <c r="N854">
        <v>1</v>
      </c>
      <c r="O854">
        <v>0</v>
      </c>
      <c r="P854" t="s">
        <v>43</v>
      </c>
      <c r="Q854" t="s">
        <v>42</v>
      </c>
      <c r="R854" t="s">
        <v>43</v>
      </c>
      <c r="S854" t="s">
        <v>42</v>
      </c>
      <c r="T854" t="s">
        <v>42</v>
      </c>
      <c r="U854" t="s">
        <v>42</v>
      </c>
      <c r="V854" t="s">
        <v>42</v>
      </c>
      <c r="W854" t="s">
        <v>43</v>
      </c>
      <c r="X854">
        <v>5</v>
      </c>
      <c r="Y854">
        <v>5</v>
      </c>
      <c r="Z854">
        <v>5</v>
      </c>
      <c r="AA854">
        <v>5</v>
      </c>
      <c r="AB854">
        <v>5</v>
      </c>
      <c r="AC854">
        <v>3</v>
      </c>
      <c r="AD854">
        <v>4</v>
      </c>
      <c r="AE854">
        <v>10</v>
      </c>
      <c r="AF854">
        <v>11</v>
      </c>
      <c r="AG854">
        <v>11</v>
      </c>
    </row>
    <row r="855" spans="1:33" x14ac:dyDescent="0.35">
      <c r="A855" t="s">
        <v>53</v>
      </c>
      <c r="B855" t="s">
        <v>34</v>
      </c>
      <c r="C855">
        <v>16</v>
      </c>
      <c r="D855" t="s">
        <v>52</v>
      </c>
      <c r="E855" t="s">
        <v>36</v>
      </c>
      <c r="F855" t="s">
        <v>44</v>
      </c>
      <c r="G855">
        <v>1</v>
      </c>
      <c r="H855">
        <v>1</v>
      </c>
      <c r="I855" t="s">
        <v>45</v>
      </c>
      <c r="J855" t="s">
        <v>45</v>
      </c>
      <c r="K855" t="s">
        <v>49</v>
      </c>
      <c r="L855" t="s">
        <v>46</v>
      </c>
      <c r="M855">
        <v>4</v>
      </c>
      <c r="N855">
        <v>4</v>
      </c>
      <c r="O855">
        <v>0</v>
      </c>
      <c r="P855" t="s">
        <v>43</v>
      </c>
      <c r="Q855" t="s">
        <v>42</v>
      </c>
      <c r="R855" t="s">
        <v>43</v>
      </c>
      <c r="S855" t="s">
        <v>43</v>
      </c>
      <c r="T855" t="s">
        <v>43</v>
      </c>
      <c r="U855" t="s">
        <v>42</v>
      </c>
      <c r="V855" t="s">
        <v>42</v>
      </c>
      <c r="W855" t="s">
        <v>43</v>
      </c>
      <c r="X855">
        <v>4</v>
      </c>
      <c r="Y855">
        <v>3</v>
      </c>
      <c r="Z855">
        <v>2</v>
      </c>
      <c r="AA855">
        <v>1</v>
      </c>
      <c r="AB855">
        <v>1</v>
      </c>
      <c r="AC855">
        <v>1</v>
      </c>
      <c r="AD855">
        <v>0</v>
      </c>
      <c r="AE855">
        <v>13</v>
      </c>
      <c r="AF855">
        <v>10</v>
      </c>
      <c r="AG855">
        <v>13</v>
      </c>
    </row>
    <row r="856" spans="1:33" x14ac:dyDescent="0.35">
      <c r="A856" t="s">
        <v>53</v>
      </c>
      <c r="B856" t="s">
        <v>34</v>
      </c>
      <c r="C856">
        <v>16</v>
      </c>
      <c r="D856" t="s">
        <v>52</v>
      </c>
      <c r="E856" t="s">
        <v>36</v>
      </c>
      <c r="F856" t="s">
        <v>44</v>
      </c>
      <c r="G856">
        <v>1</v>
      </c>
      <c r="H856">
        <v>1</v>
      </c>
      <c r="I856" t="s">
        <v>38</v>
      </c>
      <c r="J856" t="s">
        <v>45</v>
      </c>
      <c r="K856" t="s">
        <v>45</v>
      </c>
      <c r="L856" t="s">
        <v>46</v>
      </c>
      <c r="M856">
        <v>4</v>
      </c>
      <c r="N856">
        <v>3</v>
      </c>
      <c r="O856">
        <v>0</v>
      </c>
      <c r="P856" t="s">
        <v>42</v>
      </c>
      <c r="Q856" t="s">
        <v>42</v>
      </c>
      <c r="R856" t="s">
        <v>43</v>
      </c>
      <c r="S856" t="s">
        <v>43</v>
      </c>
      <c r="T856" t="s">
        <v>42</v>
      </c>
      <c r="U856" t="s">
        <v>42</v>
      </c>
      <c r="V856" t="s">
        <v>43</v>
      </c>
      <c r="W856" t="s">
        <v>43</v>
      </c>
      <c r="X856">
        <v>4</v>
      </c>
      <c r="Y856">
        <v>4</v>
      </c>
      <c r="Z856">
        <v>3</v>
      </c>
      <c r="AA856">
        <v>1</v>
      </c>
      <c r="AB856">
        <v>1</v>
      </c>
      <c r="AC856">
        <v>5</v>
      </c>
      <c r="AD856">
        <v>2</v>
      </c>
      <c r="AE856">
        <v>10</v>
      </c>
      <c r="AF856">
        <v>9</v>
      </c>
      <c r="AG856">
        <v>10</v>
      </c>
    </row>
    <row r="857" spans="1:33" x14ac:dyDescent="0.35">
      <c r="A857" t="s">
        <v>53</v>
      </c>
      <c r="B857" t="s">
        <v>34</v>
      </c>
      <c r="C857">
        <v>15</v>
      </c>
      <c r="D857" t="s">
        <v>52</v>
      </c>
      <c r="E857" t="s">
        <v>36</v>
      </c>
      <c r="F857" t="s">
        <v>44</v>
      </c>
      <c r="G857">
        <v>1</v>
      </c>
      <c r="H857">
        <v>1</v>
      </c>
      <c r="I857" t="s">
        <v>38</v>
      </c>
      <c r="J857" t="s">
        <v>45</v>
      </c>
      <c r="K857" t="s">
        <v>49</v>
      </c>
      <c r="L857" t="s">
        <v>46</v>
      </c>
      <c r="M857">
        <v>2</v>
      </c>
      <c r="N857">
        <v>2</v>
      </c>
      <c r="O857">
        <v>0</v>
      </c>
      <c r="P857" t="s">
        <v>43</v>
      </c>
      <c r="Q857" t="s">
        <v>42</v>
      </c>
      <c r="R857" t="s">
        <v>43</v>
      </c>
      <c r="S857" t="s">
        <v>42</v>
      </c>
      <c r="T857" t="s">
        <v>42</v>
      </c>
      <c r="U857" t="s">
        <v>42</v>
      </c>
      <c r="V857" t="s">
        <v>42</v>
      </c>
      <c r="W857" t="s">
        <v>43</v>
      </c>
      <c r="X857">
        <v>4</v>
      </c>
      <c r="Y857">
        <v>3</v>
      </c>
      <c r="Z857">
        <v>3</v>
      </c>
      <c r="AA857">
        <v>1</v>
      </c>
      <c r="AB857">
        <v>1</v>
      </c>
      <c r="AC857">
        <v>2</v>
      </c>
      <c r="AD857">
        <v>1</v>
      </c>
      <c r="AE857">
        <v>11</v>
      </c>
      <c r="AF857">
        <v>10</v>
      </c>
      <c r="AG857">
        <v>11</v>
      </c>
    </row>
    <row r="858" spans="1:33" x14ac:dyDescent="0.35">
      <c r="A858" t="s">
        <v>53</v>
      </c>
      <c r="B858" t="s">
        <v>34</v>
      </c>
      <c r="C858">
        <v>16</v>
      </c>
      <c r="D858" t="s">
        <v>52</v>
      </c>
      <c r="E858" t="s">
        <v>36</v>
      </c>
      <c r="F858" t="s">
        <v>44</v>
      </c>
      <c r="G858">
        <v>1</v>
      </c>
      <c r="H858">
        <v>1</v>
      </c>
      <c r="I858" t="s">
        <v>38</v>
      </c>
      <c r="J858" t="s">
        <v>45</v>
      </c>
      <c r="K858" t="s">
        <v>45</v>
      </c>
      <c r="L858" t="s">
        <v>41</v>
      </c>
      <c r="M858">
        <v>2</v>
      </c>
      <c r="N858">
        <v>1</v>
      </c>
      <c r="O858">
        <v>0</v>
      </c>
      <c r="P858" t="s">
        <v>43</v>
      </c>
      <c r="Q858" t="s">
        <v>43</v>
      </c>
      <c r="R858" t="s">
        <v>43</v>
      </c>
      <c r="S858" t="s">
        <v>42</v>
      </c>
      <c r="T858" t="s">
        <v>42</v>
      </c>
      <c r="U858" t="s">
        <v>42</v>
      </c>
      <c r="V858" t="s">
        <v>42</v>
      </c>
      <c r="W858" t="s">
        <v>42</v>
      </c>
      <c r="X858">
        <v>4</v>
      </c>
      <c r="Y858">
        <v>2</v>
      </c>
      <c r="Z858">
        <v>2</v>
      </c>
      <c r="AA858">
        <v>4</v>
      </c>
      <c r="AB858">
        <v>3</v>
      </c>
      <c r="AC858">
        <v>2</v>
      </c>
      <c r="AD858">
        <v>0</v>
      </c>
      <c r="AE858">
        <v>13</v>
      </c>
      <c r="AF858">
        <v>12</v>
      </c>
      <c r="AG858">
        <v>14</v>
      </c>
    </row>
    <row r="859" spans="1:33" x14ac:dyDescent="0.35">
      <c r="A859" t="s">
        <v>53</v>
      </c>
      <c r="B859" t="s">
        <v>34</v>
      </c>
      <c r="C859">
        <v>15</v>
      </c>
      <c r="D859" t="s">
        <v>52</v>
      </c>
      <c r="E859" t="s">
        <v>36</v>
      </c>
      <c r="F859" t="s">
        <v>44</v>
      </c>
      <c r="G859">
        <v>1</v>
      </c>
      <c r="H859">
        <v>1</v>
      </c>
      <c r="I859" t="s">
        <v>38</v>
      </c>
      <c r="J859" t="s">
        <v>38</v>
      </c>
      <c r="K859" t="s">
        <v>40</v>
      </c>
      <c r="L859" t="s">
        <v>46</v>
      </c>
      <c r="M859">
        <v>3</v>
      </c>
      <c r="N859">
        <v>2</v>
      </c>
      <c r="O859">
        <v>0</v>
      </c>
      <c r="P859" t="s">
        <v>43</v>
      </c>
      <c r="Q859" t="s">
        <v>42</v>
      </c>
      <c r="R859" t="s">
        <v>43</v>
      </c>
      <c r="S859" t="s">
        <v>43</v>
      </c>
      <c r="T859" t="s">
        <v>42</v>
      </c>
      <c r="U859" t="s">
        <v>42</v>
      </c>
      <c r="V859" t="s">
        <v>43</v>
      </c>
      <c r="W859" t="s">
        <v>43</v>
      </c>
      <c r="X859">
        <v>4</v>
      </c>
      <c r="Y859">
        <v>2</v>
      </c>
      <c r="Z859">
        <v>1</v>
      </c>
      <c r="AA859">
        <v>1</v>
      </c>
      <c r="AB859">
        <v>2</v>
      </c>
      <c r="AC859">
        <v>2</v>
      </c>
      <c r="AD859">
        <v>0</v>
      </c>
      <c r="AE859">
        <v>13</v>
      </c>
      <c r="AF859">
        <v>14</v>
      </c>
      <c r="AG859">
        <v>14</v>
      </c>
    </row>
    <row r="860" spans="1:33" x14ac:dyDescent="0.35">
      <c r="A860" t="s">
        <v>53</v>
      </c>
      <c r="B860" t="s">
        <v>34</v>
      </c>
      <c r="C860">
        <v>15</v>
      </c>
      <c r="D860" t="s">
        <v>52</v>
      </c>
      <c r="E860" t="s">
        <v>47</v>
      </c>
      <c r="F860" t="s">
        <v>44</v>
      </c>
      <c r="G860">
        <v>2</v>
      </c>
      <c r="H860">
        <v>2</v>
      </c>
      <c r="I860" t="s">
        <v>45</v>
      </c>
      <c r="J860" t="s">
        <v>45</v>
      </c>
      <c r="K860" t="s">
        <v>45</v>
      </c>
      <c r="L860" t="s">
        <v>46</v>
      </c>
      <c r="M860">
        <v>1</v>
      </c>
      <c r="N860">
        <v>3</v>
      </c>
      <c r="O860">
        <v>0</v>
      </c>
      <c r="P860" t="s">
        <v>42</v>
      </c>
      <c r="Q860" t="s">
        <v>42</v>
      </c>
      <c r="R860" t="s">
        <v>43</v>
      </c>
      <c r="S860" t="s">
        <v>43</v>
      </c>
      <c r="T860" t="s">
        <v>42</v>
      </c>
      <c r="U860" t="s">
        <v>42</v>
      </c>
      <c r="V860" t="s">
        <v>43</v>
      </c>
      <c r="W860" t="s">
        <v>43</v>
      </c>
      <c r="X860">
        <v>4</v>
      </c>
      <c r="Y860">
        <v>4</v>
      </c>
      <c r="Z860">
        <v>3</v>
      </c>
      <c r="AA860">
        <v>2</v>
      </c>
      <c r="AB860">
        <v>2</v>
      </c>
      <c r="AC860">
        <v>5</v>
      </c>
      <c r="AD860">
        <v>2</v>
      </c>
      <c r="AE860">
        <v>14</v>
      </c>
      <c r="AF860">
        <v>11</v>
      </c>
      <c r="AG860">
        <v>12</v>
      </c>
    </row>
    <row r="861" spans="1:33" x14ac:dyDescent="0.35">
      <c r="A861" t="s">
        <v>53</v>
      </c>
      <c r="B861" t="s">
        <v>50</v>
      </c>
      <c r="C861">
        <v>16</v>
      </c>
      <c r="D861" t="s">
        <v>52</v>
      </c>
      <c r="E861" t="s">
        <v>36</v>
      </c>
      <c r="F861" t="s">
        <v>44</v>
      </c>
      <c r="G861">
        <v>1</v>
      </c>
      <c r="H861">
        <v>1</v>
      </c>
      <c r="I861" t="s">
        <v>38</v>
      </c>
      <c r="J861" t="s">
        <v>45</v>
      </c>
      <c r="K861" t="s">
        <v>45</v>
      </c>
      <c r="L861" t="s">
        <v>46</v>
      </c>
      <c r="M861">
        <v>2</v>
      </c>
      <c r="N861">
        <v>1</v>
      </c>
      <c r="O861">
        <v>0</v>
      </c>
      <c r="P861" t="s">
        <v>43</v>
      </c>
      <c r="Q861" t="s">
        <v>43</v>
      </c>
      <c r="R861" t="s">
        <v>43</v>
      </c>
      <c r="S861" t="s">
        <v>42</v>
      </c>
      <c r="T861" t="s">
        <v>42</v>
      </c>
      <c r="U861" t="s">
        <v>42</v>
      </c>
      <c r="V861" t="s">
        <v>43</v>
      </c>
      <c r="W861" t="s">
        <v>43</v>
      </c>
      <c r="X861">
        <v>3</v>
      </c>
      <c r="Y861">
        <v>4</v>
      </c>
      <c r="Z861">
        <v>4</v>
      </c>
      <c r="AA861">
        <v>3</v>
      </c>
      <c r="AB861">
        <v>4</v>
      </c>
      <c r="AC861">
        <v>5</v>
      </c>
      <c r="AD861">
        <v>6</v>
      </c>
      <c r="AE861">
        <v>11</v>
      </c>
      <c r="AF861">
        <v>11</v>
      </c>
      <c r="AG861">
        <v>11</v>
      </c>
    </row>
    <row r="862" spans="1:33" x14ac:dyDescent="0.35">
      <c r="A862" t="s">
        <v>53</v>
      </c>
      <c r="B862" t="s">
        <v>34</v>
      </c>
      <c r="C862">
        <v>18</v>
      </c>
      <c r="D862" t="s">
        <v>35</v>
      </c>
      <c r="E862" t="s">
        <v>36</v>
      </c>
      <c r="F862" t="s">
        <v>44</v>
      </c>
      <c r="G862">
        <v>1</v>
      </c>
      <c r="H862">
        <v>2</v>
      </c>
      <c r="I862" t="s">
        <v>45</v>
      </c>
      <c r="J862" t="s">
        <v>45</v>
      </c>
      <c r="K862" t="s">
        <v>40</v>
      </c>
      <c r="L862" t="s">
        <v>46</v>
      </c>
      <c r="M862">
        <v>1</v>
      </c>
      <c r="N862">
        <v>2</v>
      </c>
      <c r="O862">
        <v>1</v>
      </c>
      <c r="P862" t="s">
        <v>43</v>
      </c>
      <c r="Q862" t="s">
        <v>42</v>
      </c>
      <c r="R862" t="s">
        <v>43</v>
      </c>
      <c r="S862" t="s">
        <v>42</v>
      </c>
      <c r="T862" t="s">
        <v>42</v>
      </c>
      <c r="U862" t="s">
        <v>42</v>
      </c>
      <c r="V862" t="s">
        <v>42</v>
      </c>
      <c r="W862" t="s">
        <v>42</v>
      </c>
      <c r="X862">
        <v>3</v>
      </c>
      <c r="Y862">
        <v>4</v>
      </c>
      <c r="Z862">
        <v>4</v>
      </c>
      <c r="AA862">
        <v>2</v>
      </c>
      <c r="AB862">
        <v>3</v>
      </c>
      <c r="AC862">
        <v>5</v>
      </c>
      <c r="AD862">
        <v>9</v>
      </c>
      <c r="AE862">
        <v>9</v>
      </c>
      <c r="AF862">
        <v>8</v>
      </c>
      <c r="AG862">
        <v>8</v>
      </c>
    </row>
    <row r="863" spans="1:33" x14ac:dyDescent="0.35">
      <c r="A863" t="s">
        <v>53</v>
      </c>
      <c r="B863" t="s">
        <v>50</v>
      </c>
      <c r="C863">
        <v>15</v>
      </c>
      <c r="D863" t="s">
        <v>35</v>
      </c>
      <c r="E863" t="s">
        <v>36</v>
      </c>
      <c r="F863" t="s">
        <v>44</v>
      </c>
      <c r="G863">
        <v>3</v>
      </c>
      <c r="H863">
        <v>1</v>
      </c>
      <c r="I863" t="s">
        <v>45</v>
      </c>
      <c r="J863" t="s">
        <v>48</v>
      </c>
      <c r="K863" t="s">
        <v>49</v>
      </c>
      <c r="L863" t="s">
        <v>41</v>
      </c>
      <c r="M863">
        <v>2</v>
      </c>
      <c r="N863">
        <v>1</v>
      </c>
      <c r="O863">
        <v>0</v>
      </c>
      <c r="P863" t="s">
        <v>43</v>
      </c>
      <c r="Q863" t="s">
        <v>42</v>
      </c>
      <c r="R863" t="s">
        <v>43</v>
      </c>
      <c r="S863" t="s">
        <v>43</v>
      </c>
      <c r="T863" t="s">
        <v>42</v>
      </c>
      <c r="U863" t="s">
        <v>42</v>
      </c>
      <c r="V863" t="s">
        <v>43</v>
      </c>
      <c r="W863" t="s">
        <v>43</v>
      </c>
      <c r="X863">
        <v>3</v>
      </c>
      <c r="Y863">
        <v>2</v>
      </c>
      <c r="Z863">
        <v>3</v>
      </c>
      <c r="AA863">
        <v>1</v>
      </c>
      <c r="AB863">
        <v>3</v>
      </c>
      <c r="AC863">
        <v>4</v>
      </c>
      <c r="AD863">
        <v>0</v>
      </c>
      <c r="AE863">
        <v>10</v>
      </c>
      <c r="AF863">
        <v>9</v>
      </c>
      <c r="AG863">
        <v>11</v>
      </c>
    </row>
    <row r="864" spans="1:33" x14ac:dyDescent="0.35">
      <c r="A864" t="s">
        <v>53</v>
      </c>
      <c r="B864" t="s">
        <v>34</v>
      </c>
      <c r="C864">
        <v>16</v>
      </c>
      <c r="D864" t="s">
        <v>52</v>
      </c>
      <c r="E864" t="s">
        <v>36</v>
      </c>
      <c r="F864" t="s">
        <v>44</v>
      </c>
      <c r="G864">
        <v>2</v>
      </c>
      <c r="H864">
        <v>2</v>
      </c>
      <c r="I864" t="s">
        <v>45</v>
      </c>
      <c r="J864" t="s">
        <v>48</v>
      </c>
      <c r="K864" t="s">
        <v>40</v>
      </c>
      <c r="L864" t="s">
        <v>46</v>
      </c>
      <c r="M864">
        <v>3</v>
      </c>
      <c r="N864">
        <v>2</v>
      </c>
      <c r="O864">
        <v>0</v>
      </c>
      <c r="P864" t="s">
        <v>43</v>
      </c>
      <c r="Q864" t="s">
        <v>42</v>
      </c>
      <c r="R864" t="s">
        <v>43</v>
      </c>
      <c r="S864" t="s">
        <v>42</v>
      </c>
      <c r="T864" t="s">
        <v>42</v>
      </c>
      <c r="U864" t="s">
        <v>42</v>
      </c>
      <c r="V864" t="s">
        <v>42</v>
      </c>
      <c r="W864" t="s">
        <v>43</v>
      </c>
      <c r="X864">
        <v>5</v>
      </c>
      <c r="Y864">
        <v>3</v>
      </c>
      <c r="Z864">
        <v>4</v>
      </c>
      <c r="AA864">
        <v>1</v>
      </c>
      <c r="AB864">
        <v>1</v>
      </c>
      <c r="AC864">
        <v>2</v>
      </c>
      <c r="AD864">
        <v>1</v>
      </c>
      <c r="AE864">
        <v>14</v>
      </c>
      <c r="AF864">
        <v>13</v>
      </c>
      <c r="AG864">
        <v>14</v>
      </c>
    </row>
    <row r="865" spans="1:33" x14ac:dyDescent="0.35">
      <c r="A865" t="s">
        <v>53</v>
      </c>
      <c r="B865" t="s">
        <v>50</v>
      </c>
      <c r="C865">
        <v>15</v>
      </c>
      <c r="D865" t="s">
        <v>35</v>
      </c>
      <c r="E865" t="s">
        <v>36</v>
      </c>
      <c r="F865" t="s">
        <v>44</v>
      </c>
      <c r="G865">
        <v>2</v>
      </c>
      <c r="H865">
        <v>2</v>
      </c>
      <c r="I865" t="s">
        <v>28</v>
      </c>
      <c r="J865" t="s">
        <v>45</v>
      </c>
      <c r="K865" t="s">
        <v>51</v>
      </c>
      <c r="L865" t="s">
        <v>41</v>
      </c>
      <c r="M865">
        <v>3</v>
      </c>
      <c r="N865">
        <v>1</v>
      </c>
      <c r="O865">
        <v>0</v>
      </c>
      <c r="P865" t="s">
        <v>43</v>
      </c>
      <c r="Q865" t="s">
        <v>43</v>
      </c>
      <c r="R865" t="s">
        <v>43</v>
      </c>
      <c r="S865" t="s">
        <v>43</v>
      </c>
      <c r="T865" t="s">
        <v>42</v>
      </c>
      <c r="U865" t="s">
        <v>42</v>
      </c>
      <c r="V865" t="s">
        <v>43</v>
      </c>
      <c r="W865" t="s">
        <v>43</v>
      </c>
      <c r="X865">
        <v>4</v>
      </c>
      <c r="Y865">
        <v>3</v>
      </c>
      <c r="Z865">
        <v>3</v>
      </c>
      <c r="AA865">
        <v>1</v>
      </c>
      <c r="AB865">
        <v>2</v>
      </c>
      <c r="AC865">
        <v>4</v>
      </c>
      <c r="AD865">
        <v>1</v>
      </c>
      <c r="AE865">
        <v>13</v>
      </c>
      <c r="AF865">
        <v>12</v>
      </c>
      <c r="AG865">
        <v>13</v>
      </c>
    </row>
    <row r="866" spans="1:33" x14ac:dyDescent="0.35">
      <c r="A866" t="s">
        <v>53</v>
      </c>
      <c r="B866" t="s">
        <v>50</v>
      </c>
      <c r="C866">
        <v>16</v>
      </c>
      <c r="D866" t="s">
        <v>35</v>
      </c>
      <c r="E866" t="s">
        <v>36</v>
      </c>
      <c r="F866" t="s">
        <v>44</v>
      </c>
      <c r="G866">
        <v>4</v>
      </c>
      <c r="H866">
        <v>4</v>
      </c>
      <c r="I866" t="s">
        <v>45</v>
      </c>
      <c r="J866" t="s">
        <v>39</v>
      </c>
      <c r="K866" t="s">
        <v>40</v>
      </c>
      <c r="L866" t="s">
        <v>46</v>
      </c>
      <c r="M866">
        <v>1</v>
      </c>
      <c r="N866">
        <v>2</v>
      </c>
      <c r="O866">
        <v>0</v>
      </c>
      <c r="P866" t="s">
        <v>43</v>
      </c>
      <c r="Q866" t="s">
        <v>42</v>
      </c>
      <c r="R866" t="s">
        <v>43</v>
      </c>
      <c r="S866" t="s">
        <v>42</v>
      </c>
      <c r="T866" t="s">
        <v>42</v>
      </c>
      <c r="U866" t="s">
        <v>42</v>
      </c>
      <c r="V866" t="s">
        <v>43</v>
      </c>
      <c r="W866" t="s">
        <v>42</v>
      </c>
      <c r="X866">
        <v>4</v>
      </c>
      <c r="Y866">
        <v>3</v>
      </c>
      <c r="Z866">
        <v>1</v>
      </c>
      <c r="AA866">
        <v>1</v>
      </c>
      <c r="AB866">
        <v>1</v>
      </c>
      <c r="AC866">
        <v>3</v>
      </c>
      <c r="AD866">
        <v>0</v>
      </c>
      <c r="AE866">
        <v>13</v>
      </c>
      <c r="AF866">
        <v>12</v>
      </c>
      <c r="AG866">
        <v>13</v>
      </c>
    </row>
    <row r="867" spans="1:33" x14ac:dyDescent="0.35">
      <c r="A867" t="s">
        <v>53</v>
      </c>
      <c r="B867" t="s">
        <v>34</v>
      </c>
      <c r="C867">
        <v>15</v>
      </c>
      <c r="D867" t="s">
        <v>52</v>
      </c>
      <c r="E867" t="s">
        <v>36</v>
      </c>
      <c r="F867" t="s">
        <v>44</v>
      </c>
      <c r="G867">
        <v>3</v>
      </c>
      <c r="H867">
        <v>3</v>
      </c>
      <c r="I867" t="s">
        <v>48</v>
      </c>
      <c r="J867" t="s">
        <v>45</v>
      </c>
      <c r="K867" t="s">
        <v>51</v>
      </c>
      <c r="L867" t="s">
        <v>41</v>
      </c>
      <c r="M867">
        <v>1</v>
      </c>
      <c r="N867">
        <v>2</v>
      </c>
      <c r="O867">
        <v>0</v>
      </c>
      <c r="P867" t="s">
        <v>43</v>
      </c>
      <c r="Q867" t="s">
        <v>42</v>
      </c>
      <c r="R867" t="s">
        <v>43</v>
      </c>
      <c r="S867" t="s">
        <v>43</v>
      </c>
      <c r="T867" t="s">
        <v>42</v>
      </c>
      <c r="U867" t="s">
        <v>42</v>
      </c>
      <c r="V867" t="s">
        <v>42</v>
      </c>
      <c r="W867" t="s">
        <v>42</v>
      </c>
      <c r="X867">
        <v>4</v>
      </c>
      <c r="Y867">
        <v>5</v>
      </c>
      <c r="Z867">
        <v>4</v>
      </c>
      <c r="AA867">
        <v>1</v>
      </c>
      <c r="AB867">
        <v>1</v>
      </c>
      <c r="AC867">
        <v>1</v>
      </c>
      <c r="AD867">
        <v>4</v>
      </c>
      <c r="AE867">
        <v>13</v>
      </c>
      <c r="AF867">
        <v>12</v>
      </c>
      <c r="AG867">
        <v>12</v>
      </c>
    </row>
    <row r="868" spans="1:33" x14ac:dyDescent="0.35">
      <c r="A868" t="s">
        <v>53</v>
      </c>
      <c r="B868" t="s">
        <v>34</v>
      </c>
      <c r="C868">
        <v>16</v>
      </c>
      <c r="D868" t="s">
        <v>52</v>
      </c>
      <c r="E868" t="s">
        <v>36</v>
      </c>
      <c r="F868" t="s">
        <v>44</v>
      </c>
      <c r="G868">
        <v>2</v>
      </c>
      <c r="H868">
        <v>2</v>
      </c>
      <c r="I868" t="s">
        <v>38</v>
      </c>
      <c r="J868" t="s">
        <v>45</v>
      </c>
      <c r="K868" t="s">
        <v>40</v>
      </c>
      <c r="L868" t="s">
        <v>41</v>
      </c>
      <c r="M868">
        <v>2</v>
      </c>
      <c r="N868">
        <v>2</v>
      </c>
      <c r="O868">
        <v>1</v>
      </c>
      <c r="P868" t="s">
        <v>43</v>
      </c>
      <c r="Q868" t="s">
        <v>42</v>
      </c>
      <c r="R868" t="s">
        <v>43</v>
      </c>
      <c r="S868" t="s">
        <v>42</v>
      </c>
      <c r="T868" t="s">
        <v>43</v>
      </c>
      <c r="U868" t="s">
        <v>42</v>
      </c>
      <c r="V868" t="s">
        <v>43</v>
      </c>
      <c r="W868" t="s">
        <v>43</v>
      </c>
      <c r="X868">
        <v>4</v>
      </c>
      <c r="Y868">
        <v>4</v>
      </c>
      <c r="Z868">
        <v>4</v>
      </c>
      <c r="AA868">
        <v>2</v>
      </c>
      <c r="AB868">
        <v>3</v>
      </c>
      <c r="AC868">
        <v>5</v>
      </c>
      <c r="AD868">
        <v>2</v>
      </c>
      <c r="AE868">
        <v>12</v>
      </c>
      <c r="AF868">
        <v>11</v>
      </c>
      <c r="AG868">
        <v>12</v>
      </c>
    </row>
    <row r="869" spans="1:33" x14ac:dyDescent="0.35">
      <c r="A869" t="s">
        <v>53</v>
      </c>
      <c r="B869" t="s">
        <v>34</v>
      </c>
      <c r="C869">
        <v>16</v>
      </c>
      <c r="D869" t="s">
        <v>52</v>
      </c>
      <c r="E869" t="s">
        <v>47</v>
      </c>
      <c r="F869" t="s">
        <v>44</v>
      </c>
      <c r="G869">
        <v>2</v>
      </c>
      <c r="H869">
        <v>2</v>
      </c>
      <c r="I869" t="s">
        <v>45</v>
      </c>
      <c r="J869" t="s">
        <v>45</v>
      </c>
      <c r="K869" t="s">
        <v>49</v>
      </c>
      <c r="L869" t="s">
        <v>46</v>
      </c>
      <c r="M869">
        <v>3</v>
      </c>
      <c r="N869">
        <v>1</v>
      </c>
      <c r="O869">
        <v>0</v>
      </c>
      <c r="P869" t="s">
        <v>43</v>
      </c>
      <c r="Q869" t="s">
        <v>42</v>
      </c>
      <c r="R869" t="s">
        <v>43</v>
      </c>
      <c r="S869" t="s">
        <v>42</v>
      </c>
      <c r="T869" t="s">
        <v>42</v>
      </c>
      <c r="U869" t="s">
        <v>42</v>
      </c>
      <c r="V869" t="s">
        <v>43</v>
      </c>
      <c r="W869" t="s">
        <v>42</v>
      </c>
      <c r="X869">
        <v>4</v>
      </c>
      <c r="Y869">
        <v>3</v>
      </c>
      <c r="Z869">
        <v>2</v>
      </c>
      <c r="AA869">
        <v>1</v>
      </c>
      <c r="AB869">
        <v>1</v>
      </c>
      <c r="AC869">
        <v>4</v>
      </c>
      <c r="AD869">
        <v>0</v>
      </c>
      <c r="AE869">
        <v>14</v>
      </c>
      <c r="AF869">
        <v>14</v>
      </c>
      <c r="AG869">
        <v>16</v>
      </c>
    </row>
    <row r="870" spans="1:33" x14ac:dyDescent="0.35">
      <c r="A870" t="s">
        <v>53</v>
      </c>
      <c r="B870" t="s">
        <v>50</v>
      </c>
      <c r="C870">
        <v>16</v>
      </c>
      <c r="D870" t="s">
        <v>35</v>
      </c>
      <c r="E870" t="s">
        <v>47</v>
      </c>
      <c r="F870" t="s">
        <v>44</v>
      </c>
      <c r="G870">
        <v>2</v>
      </c>
      <c r="H870">
        <v>1</v>
      </c>
      <c r="I870" t="s">
        <v>38</v>
      </c>
      <c r="J870" t="s">
        <v>48</v>
      </c>
      <c r="K870" t="s">
        <v>40</v>
      </c>
      <c r="L870" t="s">
        <v>41</v>
      </c>
      <c r="M870">
        <v>2</v>
      </c>
      <c r="N870">
        <v>1</v>
      </c>
      <c r="O870">
        <v>0</v>
      </c>
      <c r="P870" t="s">
        <v>43</v>
      </c>
      <c r="Q870" t="s">
        <v>42</v>
      </c>
      <c r="R870" t="s">
        <v>43</v>
      </c>
      <c r="S870" t="s">
        <v>42</v>
      </c>
      <c r="T870" t="s">
        <v>42</v>
      </c>
      <c r="U870" t="s">
        <v>42</v>
      </c>
      <c r="V870" t="s">
        <v>42</v>
      </c>
      <c r="W870" t="s">
        <v>43</v>
      </c>
      <c r="X870">
        <v>2</v>
      </c>
      <c r="Y870">
        <v>4</v>
      </c>
      <c r="Z870">
        <v>3</v>
      </c>
      <c r="AA870">
        <v>2</v>
      </c>
      <c r="AB870">
        <v>3</v>
      </c>
      <c r="AC870">
        <v>4</v>
      </c>
      <c r="AD870">
        <v>4</v>
      </c>
      <c r="AE870">
        <v>10</v>
      </c>
      <c r="AF870">
        <v>8</v>
      </c>
      <c r="AG870">
        <v>10</v>
      </c>
    </row>
    <row r="871" spans="1:33" x14ac:dyDescent="0.35">
      <c r="A871" t="s">
        <v>53</v>
      </c>
      <c r="B871" t="s">
        <v>50</v>
      </c>
      <c r="C871">
        <v>15</v>
      </c>
      <c r="D871" t="s">
        <v>52</v>
      </c>
      <c r="E871" t="s">
        <v>47</v>
      </c>
      <c r="F871" t="s">
        <v>44</v>
      </c>
      <c r="G871">
        <v>1</v>
      </c>
      <c r="H871">
        <v>3</v>
      </c>
      <c r="I871" t="s">
        <v>38</v>
      </c>
      <c r="J871" t="s">
        <v>45</v>
      </c>
      <c r="K871" t="s">
        <v>51</v>
      </c>
      <c r="L871" t="s">
        <v>46</v>
      </c>
      <c r="M871">
        <v>3</v>
      </c>
      <c r="N871">
        <v>1</v>
      </c>
      <c r="O871">
        <v>0</v>
      </c>
      <c r="P871" t="s">
        <v>43</v>
      </c>
      <c r="Q871" t="s">
        <v>42</v>
      </c>
      <c r="R871" t="s">
        <v>43</v>
      </c>
      <c r="S871" t="s">
        <v>42</v>
      </c>
      <c r="T871" t="s">
        <v>42</v>
      </c>
      <c r="U871" t="s">
        <v>42</v>
      </c>
      <c r="V871" t="s">
        <v>42</v>
      </c>
      <c r="W871" t="s">
        <v>43</v>
      </c>
      <c r="X871">
        <v>4</v>
      </c>
      <c r="Y871">
        <v>2</v>
      </c>
      <c r="Z871">
        <v>4</v>
      </c>
      <c r="AA871">
        <v>3</v>
      </c>
      <c r="AB871">
        <v>5</v>
      </c>
      <c r="AC871">
        <v>3</v>
      </c>
      <c r="AD871">
        <v>2</v>
      </c>
      <c r="AE871">
        <v>10</v>
      </c>
      <c r="AF871">
        <v>11</v>
      </c>
      <c r="AG871">
        <v>11</v>
      </c>
    </row>
    <row r="872" spans="1:33" x14ac:dyDescent="0.35">
      <c r="A872" t="s">
        <v>53</v>
      </c>
      <c r="B872" t="s">
        <v>34</v>
      </c>
      <c r="C872">
        <v>15</v>
      </c>
      <c r="D872" t="s">
        <v>35</v>
      </c>
      <c r="E872" t="s">
        <v>36</v>
      </c>
      <c r="F872" t="s">
        <v>44</v>
      </c>
      <c r="G872">
        <v>2</v>
      </c>
      <c r="H872">
        <v>2</v>
      </c>
      <c r="I872" t="s">
        <v>45</v>
      </c>
      <c r="J872" t="s">
        <v>48</v>
      </c>
      <c r="K872" t="s">
        <v>40</v>
      </c>
      <c r="L872" t="s">
        <v>41</v>
      </c>
      <c r="M872">
        <v>2</v>
      </c>
      <c r="N872">
        <v>3</v>
      </c>
      <c r="O872">
        <v>0</v>
      </c>
      <c r="P872" t="s">
        <v>43</v>
      </c>
      <c r="Q872" t="s">
        <v>42</v>
      </c>
      <c r="R872" t="s">
        <v>43</v>
      </c>
      <c r="S872" t="s">
        <v>42</v>
      </c>
      <c r="T872" t="s">
        <v>42</v>
      </c>
      <c r="U872" t="s">
        <v>42</v>
      </c>
      <c r="V872" t="s">
        <v>43</v>
      </c>
      <c r="W872" t="s">
        <v>43</v>
      </c>
      <c r="X872">
        <v>5</v>
      </c>
      <c r="Y872">
        <v>3</v>
      </c>
      <c r="Z872">
        <v>2</v>
      </c>
      <c r="AA872">
        <v>1</v>
      </c>
      <c r="AB872">
        <v>1</v>
      </c>
      <c r="AC872">
        <v>4</v>
      </c>
      <c r="AD872">
        <v>0</v>
      </c>
      <c r="AE872">
        <v>12</v>
      </c>
      <c r="AF872">
        <v>13</v>
      </c>
      <c r="AG872">
        <v>14</v>
      </c>
    </row>
    <row r="873" spans="1:33" x14ac:dyDescent="0.35">
      <c r="A873" t="s">
        <v>53</v>
      </c>
      <c r="B873" t="s">
        <v>34</v>
      </c>
      <c r="C873">
        <v>16</v>
      </c>
      <c r="D873" t="s">
        <v>52</v>
      </c>
      <c r="E873" t="s">
        <v>47</v>
      </c>
      <c r="F873" t="s">
        <v>44</v>
      </c>
      <c r="G873">
        <v>2</v>
      </c>
      <c r="H873">
        <v>1</v>
      </c>
      <c r="I873" t="s">
        <v>45</v>
      </c>
      <c r="J873" t="s">
        <v>45</v>
      </c>
      <c r="K873" t="s">
        <v>49</v>
      </c>
      <c r="L873" t="s">
        <v>41</v>
      </c>
      <c r="M873">
        <v>1</v>
      </c>
      <c r="N873">
        <v>1</v>
      </c>
      <c r="O873">
        <v>0</v>
      </c>
      <c r="P873" t="s">
        <v>43</v>
      </c>
      <c r="Q873" t="s">
        <v>42</v>
      </c>
      <c r="R873" t="s">
        <v>43</v>
      </c>
      <c r="S873" t="s">
        <v>43</v>
      </c>
      <c r="T873" t="s">
        <v>42</v>
      </c>
      <c r="U873" t="s">
        <v>42</v>
      </c>
      <c r="V873" t="s">
        <v>42</v>
      </c>
      <c r="W873" t="s">
        <v>42</v>
      </c>
      <c r="X873">
        <v>5</v>
      </c>
      <c r="Y873">
        <v>4</v>
      </c>
      <c r="Z873">
        <v>3</v>
      </c>
      <c r="AA873">
        <v>1</v>
      </c>
      <c r="AB873">
        <v>1</v>
      </c>
      <c r="AC873">
        <v>5</v>
      </c>
      <c r="AD873">
        <v>2</v>
      </c>
      <c r="AE873">
        <v>10</v>
      </c>
      <c r="AF873">
        <v>8</v>
      </c>
      <c r="AG873">
        <v>8</v>
      </c>
    </row>
    <row r="874" spans="1:33" x14ac:dyDescent="0.35">
      <c r="A874" t="s">
        <v>53</v>
      </c>
      <c r="B874" t="s">
        <v>50</v>
      </c>
      <c r="C874">
        <v>15</v>
      </c>
      <c r="D874" t="s">
        <v>35</v>
      </c>
      <c r="E874" t="s">
        <v>36</v>
      </c>
      <c r="F874" t="s">
        <v>44</v>
      </c>
      <c r="G874">
        <v>3</v>
      </c>
      <c r="H874">
        <v>3</v>
      </c>
      <c r="I874" t="s">
        <v>48</v>
      </c>
      <c r="J874" t="s">
        <v>48</v>
      </c>
      <c r="K874" t="s">
        <v>40</v>
      </c>
      <c r="L874" t="s">
        <v>46</v>
      </c>
      <c r="M874">
        <v>2</v>
      </c>
      <c r="N874">
        <v>1</v>
      </c>
      <c r="O874">
        <v>0</v>
      </c>
      <c r="P874" t="s">
        <v>43</v>
      </c>
      <c r="Q874" t="s">
        <v>42</v>
      </c>
      <c r="R874" t="s">
        <v>43</v>
      </c>
      <c r="S874" t="s">
        <v>42</v>
      </c>
      <c r="T874" t="s">
        <v>43</v>
      </c>
      <c r="U874" t="s">
        <v>42</v>
      </c>
      <c r="V874" t="s">
        <v>42</v>
      </c>
      <c r="W874" t="s">
        <v>43</v>
      </c>
      <c r="X874">
        <v>4</v>
      </c>
      <c r="Y874">
        <v>3</v>
      </c>
      <c r="Z874">
        <v>3</v>
      </c>
      <c r="AA874">
        <v>2</v>
      </c>
      <c r="AB874">
        <v>4</v>
      </c>
      <c r="AC874">
        <v>3</v>
      </c>
      <c r="AD874">
        <v>11</v>
      </c>
      <c r="AE874">
        <v>12</v>
      </c>
      <c r="AF874">
        <v>10</v>
      </c>
      <c r="AG874">
        <v>11</v>
      </c>
    </row>
    <row r="875" spans="1:33" x14ac:dyDescent="0.35">
      <c r="A875" t="s">
        <v>53</v>
      </c>
      <c r="B875" t="s">
        <v>34</v>
      </c>
      <c r="C875">
        <v>16</v>
      </c>
      <c r="D875" t="s">
        <v>52</v>
      </c>
      <c r="E875" t="s">
        <v>36</v>
      </c>
      <c r="F875" t="s">
        <v>44</v>
      </c>
      <c r="G875">
        <v>1</v>
      </c>
      <c r="H875">
        <v>1</v>
      </c>
      <c r="I875" t="s">
        <v>38</v>
      </c>
      <c r="J875" t="s">
        <v>45</v>
      </c>
      <c r="K875" t="s">
        <v>40</v>
      </c>
      <c r="L875" t="s">
        <v>46</v>
      </c>
      <c r="M875">
        <v>2</v>
      </c>
      <c r="N875">
        <v>2</v>
      </c>
      <c r="O875">
        <v>3</v>
      </c>
      <c r="P875" t="s">
        <v>42</v>
      </c>
      <c r="Q875" t="s">
        <v>42</v>
      </c>
      <c r="R875" t="s">
        <v>43</v>
      </c>
      <c r="S875" t="s">
        <v>43</v>
      </c>
      <c r="T875" t="s">
        <v>42</v>
      </c>
      <c r="U875" t="s">
        <v>42</v>
      </c>
      <c r="V875" t="s">
        <v>43</v>
      </c>
      <c r="W875" t="s">
        <v>43</v>
      </c>
      <c r="X875">
        <v>3</v>
      </c>
      <c r="Y875">
        <v>4</v>
      </c>
      <c r="Z875">
        <v>3</v>
      </c>
      <c r="AA875">
        <v>1</v>
      </c>
      <c r="AB875">
        <v>1</v>
      </c>
      <c r="AC875">
        <v>1</v>
      </c>
      <c r="AD875">
        <v>0</v>
      </c>
      <c r="AE875">
        <v>7</v>
      </c>
      <c r="AF875">
        <v>7</v>
      </c>
      <c r="AG875">
        <v>8</v>
      </c>
    </row>
    <row r="876" spans="1:33" x14ac:dyDescent="0.35">
      <c r="A876" t="s">
        <v>53</v>
      </c>
      <c r="B876" t="s">
        <v>34</v>
      </c>
      <c r="C876">
        <v>17</v>
      </c>
      <c r="D876" t="s">
        <v>35</v>
      </c>
      <c r="E876" t="s">
        <v>36</v>
      </c>
      <c r="F876" t="s">
        <v>44</v>
      </c>
      <c r="G876">
        <v>2</v>
      </c>
      <c r="H876">
        <v>2</v>
      </c>
      <c r="I876" t="s">
        <v>45</v>
      </c>
      <c r="J876" t="s">
        <v>38</v>
      </c>
      <c r="K876" t="s">
        <v>40</v>
      </c>
      <c r="L876" t="s">
        <v>41</v>
      </c>
      <c r="M876">
        <v>1</v>
      </c>
      <c r="N876">
        <v>1</v>
      </c>
      <c r="O876">
        <v>0</v>
      </c>
      <c r="P876" t="s">
        <v>43</v>
      </c>
      <c r="Q876" t="s">
        <v>42</v>
      </c>
      <c r="R876" t="s">
        <v>43</v>
      </c>
      <c r="S876" t="s">
        <v>42</v>
      </c>
      <c r="T876" t="s">
        <v>42</v>
      </c>
      <c r="U876" t="s">
        <v>43</v>
      </c>
      <c r="V876" t="s">
        <v>43</v>
      </c>
      <c r="W876" t="s">
        <v>43</v>
      </c>
      <c r="X876">
        <v>4</v>
      </c>
      <c r="Y876">
        <v>5</v>
      </c>
      <c r="Z876">
        <v>3</v>
      </c>
      <c r="AA876">
        <v>1</v>
      </c>
      <c r="AB876">
        <v>1</v>
      </c>
      <c r="AC876">
        <v>5</v>
      </c>
      <c r="AD876">
        <v>4</v>
      </c>
      <c r="AE876">
        <v>9</v>
      </c>
      <c r="AF876">
        <v>9</v>
      </c>
      <c r="AG876">
        <v>10</v>
      </c>
    </row>
    <row r="877" spans="1:33" x14ac:dyDescent="0.35">
      <c r="A877" t="s">
        <v>53</v>
      </c>
      <c r="B877" t="s">
        <v>34</v>
      </c>
      <c r="C877">
        <v>19</v>
      </c>
      <c r="D877" t="s">
        <v>35</v>
      </c>
      <c r="E877" t="s">
        <v>36</v>
      </c>
      <c r="F877" t="s">
        <v>44</v>
      </c>
      <c r="G877">
        <v>2</v>
      </c>
      <c r="H877">
        <v>3</v>
      </c>
      <c r="I877" t="s">
        <v>38</v>
      </c>
      <c r="J877" t="s">
        <v>48</v>
      </c>
      <c r="K877" t="s">
        <v>40</v>
      </c>
      <c r="L877" t="s">
        <v>45</v>
      </c>
      <c r="M877">
        <v>1</v>
      </c>
      <c r="N877">
        <v>1</v>
      </c>
      <c r="O877">
        <v>1</v>
      </c>
      <c r="P877" t="s">
        <v>43</v>
      </c>
      <c r="Q877" t="s">
        <v>43</v>
      </c>
      <c r="R877" t="s">
        <v>43</v>
      </c>
      <c r="S877" t="s">
        <v>43</v>
      </c>
      <c r="T877" t="s">
        <v>42</v>
      </c>
      <c r="U877" t="s">
        <v>43</v>
      </c>
      <c r="V877" t="s">
        <v>42</v>
      </c>
      <c r="W877" t="s">
        <v>42</v>
      </c>
      <c r="X877">
        <v>4</v>
      </c>
      <c r="Y877">
        <v>4</v>
      </c>
      <c r="Z877">
        <v>4</v>
      </c>
      <c r="AA877">
        <v>1</v>
      </c>
      <c r="AB877">
        <v>1</v>
      </c>
      <c r="AC877">
        <v>2</v>
      </c>
      <c r="AD877">
        <v>0</v>
      </c>
      <c r="AE877">
        <v>9</v>
      </c>
      <c r="AF877">
        <v>9</v>
      </c>
      <c r="AG877">
        <v>10</v>
      </c>
    </row>
    <row r="878" spans="1:33" x14ac:dyDescent="0.35">
      <c r="A878" t="s">
        <v>53</v>
      </c>
      <c r="B878" t="s">
        <v>34</v>
      </c>
      <c r="C878">
        <v>17</v>
      </c>
      <c r="D878" t="s">
        <v>52</v>
      </c>
      <c r="E878" t="s">
        <v>36</v>
      </c>
      <c r="F878" t="s">
        <v>44</v>
      </c>
      <c r="G878">
        <v>2</v>
      </c>
      <c r="H878">
        <v>1</v>
      </c>
      <c r="I878" t="s">
        <v>38</v>
      </c>
      <c r="J878" t="s">
        <v>45</v>
      </c>
      <c r="K878" t="s">
        <v>40</v>
      </c>
      <c r="L878" t="s">
        <v>41</v>
      </c>
      <c r="M878">
        <v>3</v>
      </c>
      <c r="N878">
        <v>1</v>
      </c>
      <c r="O878">
        <v>0</v>
      </c>
      <c r="P878" t="s">
        <v>43</v>
      </c>
      <c r="Q878" t="s">
        <v>42</v>
      </c>
      <c r="R878" t="s">
        <v>43</v>
      </c>
      <c r="S878" t="s">
        <v>42</v>
      </c>
      <c r="T878" t="s">
        <v>42</v>
      </c>
      <c r="U878" t="s">
        <v>43</v>
      </c>
      <c r="V878" t="s">
        <v>43</v>
      </c>
      <c r="W878" t="s">
        <v>42</v>
      </c>
      <c r="X878">
        <v>5</v>
      </c>
      <c r="Y878">
        <v>5</v>
      </c>
      <c r="Z878">
        <v>3</v>
      </c>
      <c r="AA878">
        <v>1</v>
      </c>
      <c r="AB878">
        <v>1</v>
      </c>
      <c r="AC878">
        <v>3</v>
      </c>
      <c r="AD878">
        <v>2</v>
      </c>
      <c r="AE878">
        <v>9</v>
      </c>
      <c r="AF878">
        <v>10</v>
      </c>
      <c r="AG878">
        <v>11</v>
      </c>
    </row>
    <row r="879" spans="1:33" x14ac:dyDescent="0.35">
      <c r="A879" t="s">
        <v>53</v>
      </c>
      <c r="B879" t="s">
        <v>34</v>
      </c>
      <c r="C879">
        <v>15</v>
      </c>
      <c r="D879" t="s">
        <v>52</v>
      </c>
      <c r="E879" t="s">
        <v>47</v>
      </c>
      <c r="F879" t="s">
        <v>44</v>
      </c>
      <c r="G879">
        <v>1</v>
      </c>
      <c r="H879">
        <v>1</v>
      </c>
      <c r="I879" t="s">
        <v>38</v>
      </c>
      <c r="J879" t="s">
        <v>45</v>
      </c>
      <c r="K879" t="s">
        <v>40</v>
      </c>
      <c r="L879" t="s">
        <v>41</v>
      </c>
      <c r="M879">
        <v>2</v>
      </c>
      <c r="N879">
        <v>1</v>
      </c>
      <c r="O879">
        <v>0</v>
      </c>
      <c r="P879" t="s">
        <v>43</v>
      </c>
      <c r="Q879" t="s">
        <v>42</v>
      </c>
      <c r="R879" t="s">
        <v>43</v>
      </c>
      <c r="S879" t="s">
        <v>43</v>
      </c>
      <c r="T879" t="s">
        <v>42</v>
      </c>
      <c r="U879" t="s">
        <v>43</v>
      </c>
      <c r="V879" t="s">
        <v>43</v>
      </c>
      <c r="W879" t="s">
        <v>42</v>
      </c>
      <c r="X879">
        <v>5</v>
      </c>
      <c r="Y879">
        <v>2</v>
      </c>
      <c r="Z879">
        <v>1</v>
      </c>
      <c r="AA879">
        <v>1</v>
      </c>
      <c r="AB879">
        <v>3</v>
      </c>
      <c r="AC879">
        <v>4</v>
      </c>
      <c r="AD879">
        <v>0</v>
      </c>
      <c r="AE879">
        <v>9</v>
      </c>
      <c r="AF879">
        <v>10</v>
      </c>
      <c r="AG879">
        <v>9</v>
      </c>
    </row>
    <row r="880" spans="1:33" x14ac:dyDescent="0.35">
      <c r="A880" t="s">
        <v>53</v>
      </c>
      <c r="B880" t="s">
        <v>34</v>
      </c>
      <c r="C880">
        <v>16</v>
      </c>
      <c r="D880" t="s">
        <v>52</v>
      </c>
      <c r="E880" t="s">
        <v>36</v>
      </c>
      <c r="F880" t="s">
        <v>44</v>
      </c>
      <c r="G880">
        <v>2</v>
      </c>
      <c r="H880">
        <v>2</v>
      </c>
      <c r="I880" t="s">
        <v>45</v>
      </c>
      <c r="J880" t="s">
        <v>45</v>
      </c>
      <c r="K880" t="s">
        <v>40</v>
      </c>
      <c r="L880" t="s">
        <v>46</v>
      </c>
      <c r="M880">
        <v>3</v>
      </c>
      <c r="N880">
        <v>2</v>
      </c>
      <c r="O880">
        <v>0</v>
      </c>
      <c r="P880" t="s">
        <v>43</v>
      </c>
      <c r="Q880" t="s">
        <v>42</v>
      </c>
      <c r="R880" t="s">
        <v>43</v>
      </c>
      <c r="S880" t="s">
        <v>43</v>
      </c>
      <c r="T880" t="s">
        <v>42</v>
      </c>
      <c r="U880" t="s">
        <v>43</v>
      </c>
      <c r="V880" t="s">
        <v>42</v>
      </c>
      <c r="W880" t="s">
        <v>43</v>
      </c>
      <c r="X880">
        <v>3</v>
      </c>
      <c r="Y880">
        <v>4</v>
      </c>
      <c r="Z880">
        <v>5</v>
      </c>
      <c r="AA880">
        <v>1</v>
      </c>
      <c r="AB880">
        <v>2</v>
      </c>
      <c r="AC880">
        <v>1</v>
      </c>
      <c r="AD880">
        <v>1</v>
      </c>
      <c r="AE880">
        <v>9</v>
      </c>
      <c r="AF880">
        <v>10</v>
      </c>
      <c r="AG880">
        <v>11</v>
      </c>
    </row>
    <row r="881" spans="1:33" x14ac:dyDescent="0.35">
      <c r="A881" t="s">
        <v>53</v>
      </c>
      <c r="B881" t="s">
        <v>34</v>
      </c>
      <c r="C881">
        <v>16</v>
      </c>
      <c r="D881" t="s">
        <v>35</v>
      </c>
      <c r="E881" t="s">
        <v>47</v>
      </c>
      <c r="F881" t="s">
        <v>37</v>
      </c>
      <c r="G881">
        <v>2</v>
      </c>
      <c r="H881">
        <v>2</v>
      </c>
      <c r="I881" t="s">
        <v>45</v>
      </c>
      <c r="J881" t="s">
        <v>45</v>
      </c>
      <c r="K881" t="s">
        <v>49</v>
      </c>
      <c r="L881" t="s">
        <v>41</v>
      </c>
      <c r="M881">
        <v>1</v>
      </c>
      <c r="N881">
        <v>1</v>
      </c>
      <c r="O881">
        <v>0</v>
      </c>
      <c r="P881" t="s">
        <v>43</v>
      </c>
      <c r="Q881" t="s">
        <v>42</v>
      </c>
      <c r="R881" t="s">
        <v>43</v>
      </c>
      <c r="S881" t="s">
        <v>43</v>
      </c>
      <c r="T881" t="s">
        <v>42</v>
      </c>
      <c r="U881" t="s">
        <v>43</v>
      </c>
      <c r="V881" t="s">
        <v>43</v>
      </c>
      <c r="W881" t="s">
        <v>43</v>
      </c>
      <c r="X881">
        <v>4</v>
      </c>
      <c r="Y881">
        <v>3</v>
      </c>
      <c r="Z881">
        <v>4</v>
      </c>
      <c r="AA881">
        <v>1</v>
      </c>
      <c r="AB881">
        <v>2</v>
      </c>
      <c r="AC881">
        <v>1</v>
      </c>
      <c r="AD881">
        <v>6</v>
      </c>
      <c r="AE881">
        <v>7</v>
      </c>
      <c r="AF881">
        <v>7</v>
      </c>
      <c r="AG881">
        <v>8</v>
      </c>
    </row>
    <row r="882" spans="1:33" x14ac:dyDescent="0.35">
      <c r="A882" t="s">
        <v>53</v>
      </c>
      <c r="B882" t="s">
        <v>34</v>
      </c>
      <c r="C882">
        <v>17</v>
      </c>
      <c r="D882" t="s">
        <v>52</v>
      </c>
      <c r="E882" t="s">
        <v>36</v>
      </c>
      <c r="F882" t="s">
        <v>44</v>
      </c>
      <c r="G882">
        <v>2</v>
      </c>
      <c r="H882">
        <v>2</v>
      </c>
      <c r="I882" t="s">
        <v>38</v>
      </c>
      <c r="J882" t="s">
        <v>45</v>
      </c>
      <c r="K882" t="s">
        <v>40</v>
      </c>
      <c r="L882" t="s">
        <v>41</v>
      </c>
      <c r="M882">
        <v>2</v>
      </c>
      <c r="N882">
        <v>2</v>
      </c>
      <c r="O882">
        <v>0</v>
      </c>
      <c r="P882" t="s">
        <v>43</v>
      </c>
      <c r="Q882" t="s">
        <v>42</v>
      </c>
      <c r="R882" t="s">
        <v>43</v>
      </c>
      <c r="S882" t="s">
        <v>43</v>
      </c>
      <c r="T882" t="s">
        <v>42</v>
      </c>
      <c r="U882" t="s">
        <v>42</v>
      </c>
      <c r="V882" t="s">
        <v>42</v>
      </c>
      <c r="W882" t="s">
        <v>43</v>
      </c>
      <c r="X882">
        <v>4</v>
      </c>
      <c r="Y882">
        <v>3</v>
      </c>
      <c r="Z882">
        <v>5</v>
      </c>
      <c r="AA882">
        <v>1</v>
      </c>
      <c r="AB882">
        <v>2</v>
      </c>
      <c r="AC882">
        <v>4</v>
      </c>
      <c r="AD882">
        <v>0</v>
      </c>
      <c r="AE882">
        <v>11</v>
      </c>
      <c r="AF882">
        <v>10</v>
      </c>
      <c r="AG882">
        <v>11</v>
      </c>
    </row>
    <row r="883" spans="1:33" x14ac:dyDescent="0.35">
      <c r="A883" t="s">
        <v>53</v>
      </c>
      <c r="B883" t="s">
        <v>34</v>
      </c>
      <c r="C883">
        <v>16</v>
      </c>
      <c r="D883" t="s">
        <v>35</v>
      </c>
      <c r="E883" t="s">
        <v>36</v>
      </c>
      <c r="F883" t="s">
        <v>44</v>
      </c>
      <c r="G883">
        <v>2</v>
      </c>
      <c r="H883">
        <v>2</v>
      </c>
      <c r="I883" t="s">
        <v>45</v>
      </c>
      <c r="J883" t="s">
        <v>48</v>
      </c>
      <c r="K883" t="s">
        <v>40</v>
      </c>
      <c r="L883" t="s">
        <v>46</v>
      </c>
      <c r="M883">
        <v>1</v>
      </c>
      <c r="N883">
        <v>1</v>
      </c>
      <c r="O883">
        <v>1</v>
      </c>
      <c r="P883" t="s">
        <v>43</v>
      </c>
      <c r="Q883" t="s">
        <v>42</v>
      </c>
      <c r="R883" t="s">
        <v>42</v>
      </c>
      <c r="S883" t="s">
        <v>42</v>
      </c>
      <c r="T883" t="s">
        <v>43</v>
      </c>
      <c r="U883" t="s">
        <v>42</v>
      </c>
      <c r="V883" t="s">
        <v>42</v>
      </c>
      <c r="W883" t="s">
        <v>43</v>
      </c>
      <c r="X883">
        <v>4</v>
      </c>
      <c r="Y883">
        <v>4</v>
      </c>
      <c r="Z883">
        <v>3</v>
      </c>
      <c r="AA883">
        <v>1</v>
      </c>
      <c r="AB883">
        <v>4</v>
      </c>
      <c r="AC883">
        <v>3</v>
      </c>
      <c r="AD883">
        <v>1</v>
      </c>
      <c r="AE883">
        <v>9</v>
      </c>
      <c r="AF883">
        <v>10</v>
      </c>
      <c r="AG883">
        <v>10</v>
      </c>
    </row>
    <row r="884" spans="1:33" x14ac:dyDescent="0.35">
      <c r="A884" t="s">
        <v>53</v>
      </c>
      <c r="B884" t="s">
        <v>34</v>
      </c>
      <c r="C884">
        <v>18</v>
      </c>
      <c r="D884" t="s">
        <v>52</v>
      </c>
      <c r="E884" t="s">
        <v>47</v>
      </c>
      <c r="F884" t="s">
        <v>37</v>
      </c>
      <c r="G884">
        <v>3</v>
      </c>
      <c r="H884">
        <v>2</v>
      </c>
      <c r="I884" t="s">
        <v>45</v>
      </c>
      <c r="J884" t="s">
        <v>45</v>
      </c>
      <c r="K884" t="s">
        <v>40</v>
      </c>
      <c r="L884" t="s">
        <v>45</v>
      </c>
      <c r="M884">
        <v>2</v>
      </c>
      <c r="N884">
        <v>3</v>
      </c>
      <c r="O884">
        <v>2</v>
      </c>
      <c r="P884" t="s">
        <v>43</v>
      </c>
      <c r="Q884" t="s">
        <v>42</v>
      </c>
      <c r="R884" t="s">
        <v>43</v>
      </c>
      <c r="S884" t="s">
        <v>43</v>
      </c>
      <c r="T884" t="s">
        <v>43</v>
      </c>
      <c r="U884" t="s">
        <v>43</v>
      </c>
      <c r="V884" t="s">
        <v>43</v>
      </c>
      <c r="W884" t="s">
        <v>42</v>
      </c>
      <c r="X884">
        <v>3</v>
      </c>
      <c r="Y884">
        <v>3</v>
      </c>
      <c r="Z884">
        <v>2</v>
      </c>
      <c r="AA884">
        <v>1</v>
      </c>
      <c r="AB884">
        <v>1</v>
      </c>
      <c r="AC884">
        <v>2</v>
      </c>
      <c r="AD884">
        <v>6</v>
      </c>
      <c r="AE884">
        <v>7</v>
      </c>
      <c r="AF884">
        <v>9</v>
      </c>
      <c r="AG884">
        <v>10</v>
      </c>
    </row>
    <row r="885" spans="1:33" x14ac:dyDescent="0.35">
      <c r="A885" t="s">
        <v>53</v>
      </c>
      <c r="B885" t="s">
        <v>34</v>
      </c>
      <c r="C885">
        <v>19</v>
      </c>
      <c r="D885" t="s">
        <v>35</v>
      </c>
      <c r="E885" t="s">
        <v>36</v>
      </c>
      <c r="F885" t="s">
        <v>44</v>
      </c>
      <c r="G885">
        <v>1</v>
      </c>
      <c r="H885">
        <v>1</v>
      </c>
      <c r="I885" t="s">
        <v>38</v>
      </c>
      <c r="J885" t="s">
        <v>48</v>
      </c>
      <c r="K885" t="s">
        <v>40</v>
      </c>
      <c r="L885" t="s">
        <v>41</v>
      </c>
      <c r="M885">
        <v>1</v>
      </c>
      <c r="N885">
        <v>3</v>
      </c>
      <c r="O885">
        <v>1</v>
      </c>
      <c r="P885" t="s">
        <v>43</v>
      </c>
      <c r="Q885" t="s">
        <v>43</v>
      </c>
      <c r="R885" t="s">
        <v>43</v>
      </c>
      <c r="S885" t="s">
        <v>42</v>
      </c>
      <c r="T885" t="s">
        <v>42</v>
      </c>
      <c r="U885" t="s">
        <v>43</v>
      </c>
      <c r="V885" t="s">
        <v>43</v>
      </c>
      <c r="W885" t="s">
        <v>42</v>
      </c>
      <c r="X885">
        <v>5</v>
      </c>
      <c r="Y885">
        <v>3</v>
      </c>
      <c r="Z885">
        <v>1</v>
      </c>
      <c r="AA885">
        <v>1</v>
      </c>
      <c r="AB885">
        <v>1</v>
      </c>
      <c r="AC885">
        <v>3</v>
      </c>
      <c r="AD885">
        <v>6</v>
      </c>
      <c r="AE885">
        <v>7</v>
      </c>
      <c r="AF885">
        <v>9</v>
      </c>
      <c r="AG885">
        <v>9</v>
      </c>
    </row>
    <row r="886" spans="1:33" x14ac:dyDescent="0.35">
      <c r="A886" t="s">
        <v>53</v>
      </c>
      <c r="B886" t="s">
        <v>50</v>
      </c>
      <c r="C886">
        <v>18</v>
      </c>
      <c r="D886" t="s">
        <v>52</v>
      </c>
      <c r="E886" t="s">
        <v>36</v>
      </c>
      <c r="F886" t="s">
        <v>44</v>
      </c>
      <c r="G886">
        <v>1</v>
      </c>
      <c r="H886">
        <v>1</v>
      </c>
      <c r="I886" t="s">
        <v>45</v>
      </c>
      <c r="J886" t="s">
        <v>45</v>
      </c>
      <c r="K886" t="s">
        <v>49</v>
      </c>
      <c r="L886" t="s">
        <v>41</v>
      </c>
      <c r="M886">
        <v>2</v>
      </c>
      <c r="N886">
        <v>1</v>
      </c>
      <c r="O886">
        <v>1</v>
      </c>
      <c r="P886" t="s">
        <v>43</v>
      </c>
      <c r="Q886" t="s">
        <v>43</v>
      </c>
      <c r="R886" t="s">
        <v>43</v>
      </c>
      <c r="S886" t="s">
        <v>42</v>
      </c>
      <c r="T886" t="s">
        <v>42</v>
      </c>
      <c r="U886" t="s">
        <v>43</v>
      </c>
      <c r="V886" t="s">
        <v>42</v>
      </c>
      <c r="W886" t="s">
        <v>43</v>
      </c>
      <c r="X886">
        <v>4</v>
      </c>
      <c r="Y886">
        <v>4</v>
      </c>
      <c r="Z886">
        <v>3</v>
      </c>
      <c r="AA886">
        <v>3</v>
      </c>
      <c r="AB886">
        <v>4</v>
      </c>
      <c r="AC886">
        <v>4</v>
      </c>
      <c r="AD886">
        <v>0</v>
      </c>
      <c r="AE886">
        <v>8</v>
      </c>
      <c r="AF886">
        <v>9</v>
      </c>
      <c r="AG886">
        <v>10</v>
      </c>
    </row>
    <row r="887" spans="1:33" x14ac:dyDescent="0.35">
      <c r="A887" t="s">
        <v>53</v>
      </c>
      <c r="B887" t="s">
        <v>34</v>
      </c>
      <c r="C887">
        <v>18</v>
      </c>
      <c r="D887" t="s">
        <v>52</v>
      </c>
      <c r="E887" t="s">
        <v>36</v>
      </c>
      <c r="F887" t="s">
        <v>44</v>
      </c>
      <c r="G887">
        <v>1</v>
      </c>
      <c r="H887">
        <v>1</v>
      </c>
      <c r="I887" t="s">
        <v>38</v>
      </c>
      <c r="J887" t="s">
        <v>38</v>
      </c>
      <c r="K887" t="s">
        <v>40</v>
      </c>
      <c r="L887" t="s">
        <v>41</v>
      </c>
      <c r="M887">
        <v>2</v>
      </c>
      <c r="N887">
        <v>1</v>
      </c>
      <c r="O887">
        <v>1</v>
      </c>
      <c r="P887" t="s">
        <v>43</v>
      </c>
      <c r="Q887" t="s">
        <v>43</v>
      </c>
      <c r="R887" t="s">
        <v>43</v>
      </c>
      <c r="S887" t="s">
        <v>43</v>
      </c>
      <c r="T887" t="s">
        <v>43</v>
      </c>
      <c r="U887" t="s">
        <v>43</v>
      </c>
      <c r="V887" t="s">
        <v>42</v>
      </c>
      <c r="W887" t="s">
        <v>42</v>
      </c>
      <c r="X887">
        <v>3</v>
      </c>
      <c r="Y887">
        <v>2</v>
      </c>
      <c r="Z887">
        <v>3</v>
      </c>
      <c r="AA887">
        <v>1</v>
      </c>
      <c r="AB887">
        <v>1</v>
      </c>
      <c r="AC887">
        <v>2</v>
      </c>
      <c r="AD887">
        <v>4</v>
      </c>
      <c r="AE887">
        <v>9</v>
      </c>
      <c r="AF887">
        <v>11</v>
      </c>
      <c r="AG887">
        <v>10</v>
      </c>
    </row>
    <row r="888" spans="1:33" x14ac:dyDescent="0.35">
      <c r="A888" t="s">
        <v>53</v>
      </c>
      <c r="B888" t="s">
        <v>34</v>
      </c>
      <c r="C888">
        <v>19</v>
      </c>
      <c r="D888" t="s">
        <v>35</v>
      </c>
      <c r="E888" t="s">
        <v>36</v>
      </c>
      <c r="F888" t="s">
        <v>44</v>
      </c>
      <c r="G888">
        <v>1</v>
      </c>
      <c r="H888">
        <v>1</v>
      </c>
      <c r="I888" t="s">
        <v>45</v>
      </c>
      <c r="J888" t="s">
        <v>45</v>
      </c>
      <c r="K888" t="s">
        <v>40</v>
      </c>
      <c r="L888" t="s">
        <v>45</v>
      </c>
      <c r="M888">
        <v>2</v>
      </c>
      <c r="N888">
        <v>2</v>
      </c>
      <c r="O888">
        <v>1</v>
      </c>
      <c r="P888" t="s">
        <v>43</v>
      </c>
      <c r="Q888" t="s">
        <v>42</v>
      </c>
      <c r="R888" t="s">
        <v>43</v>
      </c>
      <c r="S888" t="s">
        <v>43</v>
      </c>
      <c r="T888" t="s">
        <v>42</v>
      </c>
      <c r="U888" t="s">
        <v>42</v>
      </c>
      <c r="V888" t="s">
        <v>42</v>
      </c>
      <c r="W888" t="s">
        <v>42</v>
      </c>
      <c r="X888">
        <v>1</v>
      </c>
      <c r="Y888">
        <v>1</v>
      </c>
      <c r="Z888">
        <v>4</v>
      </c>
      <c r="AA888">
        <v>4</v>
      </c>
      <c r="AB888">
        <v>1</v>
      </c>
      <c r="AC888">
        <v>1</v>
      </c>
      <c r="AD888">
        <v>12</v>
      </c>
      <c r="AE888">
        <v>7</v>
      </c>
      <c r="AF888">
        <v>8</v>
      </c>
      <c r="AG888">
        <v>9</v>
      </c>
    </row>
    <row r="889" spans="1:33" x14ac:dyDescent="0.35">
      <c r="A889" t="s">
        <v>53</v>
      </c>
      <c r="B889" t="s">
        <v>34</v>
      </c>
      <c r="C889">
        <v>16</v>
      </c>
      <c r="D889" t="s">
        <v>52</v>
      </c>
      <c r="E889" t="s">
        <v>36</v>
      </c>
      <c r="F889" t="s">
        <v>37</v>
      </c>
      <c r="G889">
        <v>2</v>
      </c>
      <c r="H889">
        <v>2</v>
      </c>
      <c r="I889" t="s">
        <v>28</v>
      </c>
      <c r="J889" t="s">
        <v>45</v>
      </c>
      <c r="K889" t="s">
        <v>40</v>
      </c>
      <c r="L889" t="s">
        <v>41</v>
      </c>
      <c r="M889">
        <v>1</v>
      </c>
      <c r="N889">
        <v>2</v>
      </c>
      <c r="O889">
        <v>0</v>
      </c>
      <c r="P889" t="s">
        <v>43</v>
      </c>
      <c r="Q889" t="s">
        <v>43</v>
      </c>
      <c r="R889" t="s">
        <v>43</v>
      </c>
      <c r="S889" t="s">
        <v>43</v>
      </c>
      <c r="T889" t="s">
        <v>43</v>
      </c>
      <c r="U889" t="s">
        <v>42</v>
      </c>
      <c r="V889" t="s">
        <v>43</v>
      </c>
      <c r="W889" t="s">
        <v>42</v>
      </c>
      <c r="X889">
        <v>3</v>
      </c>
      <c r="Y889">
        <v>3</v>
      </c>
      <c r="Z889">
        <v>2</v>
      </c>
      <c r="AA889">
        <v>1</v>
      </c>
      <c r="AB889">
        <v>1</v>
      </c>
      <c r="AC889">
        <v>3</v>
      </c>
      <c r="AD889">
        <v>2</v>
      </c>
      <c r="AE889">
        <v>8</v>
      </c>
      <c r="AF889">
        <v>10</v>
      </c>
      <c r="AG889">
        <v>10</v>
      </c>
    </row>
    <row r="890" spans="1:33" x14ac:dyDescent="0.35">
      <c r="A890" t="s">
        <v>53</v>
      </c>
      <c r="B890" t="s">
        <v>34</v>
      </c>
      <c r="C890">
        <v>17</v>
      </c>
      <c r="D890" t="s">
        <v>35</v>
      </c>
      <c r="E890" t="s">
        <v>36</v>
      </c>
      <c r="F890" t="s">
        <v>44</v>
      </c>
      <c r="G890">
        <v>0</v>
      </c>
      <c r="H890">
        <v>1</v>
      </c>
      <c r="I890" t="s">
        <v>45</v>
      </c>
      <c r="J890" t="s">
        <v>38</v>
      </c>
      <c r="K890" t="s">
        <v>40</v>
      </c>
      <c r="L890" t="s">
        <v>46</v>
      </c>
      <c r="M890">
        <v>2</v>
      </c>
      <c r="N890">
        <v>1</v>
      </c>
      <c r="O890">
        <v>0</v>
      </c>
      <c r="P890" t="s">
        <v>43</v>
      </c>
      <c r="Q890" t="s">
        <v>43</v>
      </c>
      <c r="R890" t="s">
        <v>43</v>
      </c>
      <c r="S890" t="s">
        <v>42</v>
      </c>
      <c r="T890" t="s">
        <v>43</v>
      </c>
      <c r="U890" t="s">
        <v>42</v>
      </c>
      <c r="V890" t="s">
        <v>43</v>
      </c>
      <c r="W890" t="s">
        <v>43</v>
      </c>
      <c r="X890">
        <v>2</v>
      </c>
      <c r="Y890">
        <v>4</v>
      </c>
      <c r="Z890">
        <v>4</v>
      </c>
      <c r="AA890">
        <v>3</v>
      </c>
      <c r="AB890">
        <v>5</v>
      </c>
      <c r="AC890">
        <v>5</v>
      </c>
      <c r="AD890">
        <v>5</v>
      </c>
      <c r="AE890">
        <v>9</v>
      </c>
      <c r="AF890">
        <v>9</v>
      </c>
      <c r="AG890">
        <v>10</v>
      </c>
    </row>
    <row r="891" spans="1:33" x14ac:dyDescent="0.35">
      <c r="A891" t="s">
        <v>53</v>
      </c>
      <c r="B891" t="s">
        <v>34</v>
      </c>
      <c r="C891">
        <v>16</v>
      </c>
      <c r="D891" t="s">
        <v>52</v>
      </c>
      <c r="E891" t="s">
        <v>47</v>
      </c>
      <c r="F891" t="s">
        <v>44</v>
      </c>
      <c r="G891">
        <v>1</v>
      </c>
      <c r="H891">
        <v>2</v>
      </c>
      <c r="I891" t="s">
        <v>38</v>
      </c>
      <c r="J891" t="s">
        <v>45</v>
      </c>
      <c r="K891" t="s">
        <v>40</v>
      </c>
      <c r="L891" t="s">
        <v>41</v>
      </c>
      <c r="M891">
        <v>1</v>
      </c>
      <c r="N891">
        <v>2</v>
      </c>
      <c r="O891">
        <v>0</v>
      </c>
      <c r="P891" t="s">
        <v>43</v>
      </c>
      <c r="Q891" t="s">
        <v>43</v>
      </c>
      <c r="R891" t="s">
        <v>43</v>
      </c>
      <c r="S891" t="s">
        <v>42</v>
      </c>
      <c r="T891" t="s">
        <v>42</v>
      </c>
      <c r="U891" t="s">
        <v>43</v>
      </c>
      <c r="V891" t="s">
        <v>42</v>
      </c>
      <c r="W891" t="s">
        <v>43</v>
      </c>
      <c r="X891">
        <v>4</v>
      </c>
      <c r="Y891">
        <v>4</v>
      </c>
      <c r="Z891">
        <v>5</v>
      </c>
      <c r="AA891">
        <v>1</v>
      </c>
      <c r="AB891">
        <v>3</v>
      </c>
      <c r="AC891">
        <v>3</v>
      </c>
      <c r="AD891">
        <v>0</v>
      </c>
      <c r="AE891">
        <v>8</v>
      </c>
      <c r="AF891">
        <v>9</v>
      </c>
      <c r="AG891">
        <v>9</v>
      </c>
    </row>
    <row r="892" spans="1:33" x14ac:dyDescent="0.35">
      <c r="A892" t="s">
        <v>53</v>
      </c>
      <c r="B892" t="s">
        <v>34</v>
      </c>
      <c r="C892">
        <v>16</v>
      </c>
      <c r="D892" t="s">
        <v>35</v>
      </c>
      <c r="E892" t="s">
        <v>36</v>
      </c>
      <c r="F892" t="s">
        <v>44</v>
      </c>
      <c r="G892">
        <v>3</v>
      </c>
      <c r="H892">
        <v>3</v>
      </c>
      <c r="I892" t="s">
        <v>45</v>
      </c>
      <c r="J892" t="s">
        <v>45</v>
      </c>
      <c r="K892" t="s">
        <v>51</v>
      </c>
      <c r="L892" t="s">
        <v>41</v>
      </c>
      <c r="M892">
        <v>1</v>
      </c>
      <c r="N892">
        <v>1</v>
      </c>
      <c r="O892">
        <v>0</v>
      </c>
      <c r="P892" t="s">
        <v>43</v>
      </c>
      <c r="Q892" t="s">
        <v>43</v>
      </c>
      <c r="R892" t="s">
        <v>43</v>
      </c>
      <c r="S892" t="s">
        <v>42</v>
      </c>
      <c r="T892" t="s">
        <v>42</v>
      </c>
      <c r="U892" t="s">
        <v>43</v>
      </c>
      <c r="V892" t="s">
        <v>42</v>
      </c>
      <c r="W892" t="s">
        <v>42</v>
      </c>
      <c r="X892">
        <v>4</v>
      </c>
      <c r="Y892">
        <v>5</v>
      </c>
      <c r="Z892">
        <v>4</v>
      </c>
      <c r="AA892">
        <v>1</v>
      </c>
      <c r="AB892">
        <v>1</v>
      </c>
      <c r="AC892">
        <v>4</v>
      </c>
      <c r="AD892">
        <v>0</v>
      </c>
      <c r="AE892">
        <v>14</v>
      </c>
      <c r="AF892">
        <v>13</v>
      </c>
      <c r="AG892">
        <v>13</v>
      </c>
    </row>
    <row r="893" spans="1:33" x14ac:dyDescent="0.35">
      <c r="A893" t="s">
        <v>53</v>
      </c>
      <c r="B893" t="s">
        <v>34</v>
      </c>
      <c r="C893">
        <v>16</v>
      </c>
      <c r="D893" t="s">
        <v>52</v>
      </c>
      <c r="E893" t="s">
        <v>47</v>
      </c>
      <c r="F893" t="s">
        <v>44</v>
      </c>
      <c r="G893">
        <v>1</v>
      </c>
      <c r="H893">
        <v>1</v>
      </c>
      <c r="I893" t="s">
        <v>48</v>
      </c>
      <c r="J893" t="s">
        <v>48</v>
      </c>
      <c r="K893" t="s">
        <v>49</v>
      </c>
      <c r="L893" t="s">
        <v>41</v>
      </c>
      <c r="M893">
        <v>1</v>
      </c>
      <c r="N893">
        <v>1</v>
      </c>
      <c r="O893">
        <v>0</v>
      </c>
      <c r="P893" t="s">
        <v>43</v>
      </c>
      <c r="Q893" t="s">
        <v>42</v>
      </c>
      <c r="R893" t="s">
        <v>43</v>
      </c>
      <c r="S893" t="s">
        <v>42</v>
      </c>
      <c r="T893" t="s">
        <v>42</v>
      </c>
      <c r="U893" t="s">
        <v>42</v>
      </c>
      <c r="V893" t="s">
        <v>42</v>
      </c>
      <c r="W893" t="s">
        <v>42</v>
      </c>
      <c r="X893">
        <v>4</v>
      </c>
      <c r="Y893">
        <v>4</v>
      </c>
      <c r="Z893">
        <v>4</v>
      </c>
      <c r="AA893">
        <v>2</v>
      </c>
      <c r="AB893">
        <v>2</v>
      </c>
      <c r="AC893">
        <v>4</v>
      </c>
      <c r="AD893">
        <v>2</v>
      </c>
      <c r="AE893">
        <v>14</v>
      </c>
      <c r="AF893">
        <v>14</v>
      </c>
      <c r="AG893">
        <v>14</v>
      </c>
    </row>
    <row r="894" spans="1:33" x14ac:dyDescent="0.35">
      <c r="A894" t="s">
        <v>53</v>
      </c>
      <c r="B894" t="s">
        <v>50</v>
      </c>
      <c r="C894">
        <v>17</v>
      </c>
      <c r="D894" t="s">
        <v>35</v>
      </c>
      <c r="E894" t="s">
        <v>36</v>
      </c>
      <c r="F894" t="s">
        <v>44</v>
      </c>
      <c r="G894">
        <v>3</v>
      </c>
      <c r="H894">
        <v>3</v>
      </c>
      <c r="I894" t="s">
        <v>48</v>
      </c>
      <c r="J894" t="s">
        <v>38</v>
      </c>
      <c r="K894" t="s">
        <v>40</v>
      </c>
      <c r="L894" t="s">
        <v>41</v>
      </c>
      <c r="M894">
        <v>2</v>
      </c>
      <c r="N894">
        <v>4</v>
      </c>
      <c r="O894">
        <v>1</v>
      </c>
      <c r="P894" t="s">
        <v>43</v>
      </c>
      <c r="Q894" t="s">
        <v>42</v>
      </c>
      <c r="R894" t="s">
        <v>42</v>
      </c>
      <c r="S894" t="s">
        <v>42</v>
      </c>
      <c r="T894" t="s">
        <v>42</v>
      </c>
      <c r="U894" t="s">
        <v>42</v>
      </c>
      <c r="V894" t="s">
        <v>43</v>
      </c>
      <c r="W894" t="s">
        <v>43</v>
      </c>
      <c r="X894">
        <v>5</v>
      </c>
      <c r="Y894">
        <v>4</v>
      </c>
      <c r="Z894">
        <v>5</v>
      </c>
      <c r="AA894">
        <v>3</v>
      </c>
      <c r="AB894">
        <v>4</v>
      </c>
      <c r="AC894">
        <v>5</v>
      </c>
      <c r="AD894">
        <v>0</v>
      </c>
      <c r="AE894">
        <v>10</v>
      </c>
      <c r="AF894">
        <v>11</v>
      </c>
      <c r="AG894">
        <v>10</v>
      </c>
    </row>
    <row r="895" spans="1:33" x14ac:dyDescent="0.35">
      <c r="A895" t="s">
        <v>53</v>
      </c>
      <c r="B895" t="s">
        <v>34</v>
      </c>
      <c r="C895">
        <v>16</v>
      </c>
      <c r="D895" t="s">
        <v>35</v>
      </c>
      <c r="E895" t="s">
        <v>36</v>
      </c>
      <c r="F895" t="s">
        <v>44</v>
      </c>
      <c r="G895">
        <v>2</v>
      </c>
      <c r="H895">
        <v>1</v>
      </c>
      <c r="I895" t="s">
        <v>45</v>
      </c>
      <c r="J895" t="s">
        <v>48</v>
      </c>
      <c r="K895" t="s">
        <v>40</v>
      </c>
      <c r="L895" t="s">
        <v>41</v>
      </c>
      <c r="M895">
        <v>1</v>
      </c>
      <c r="N895">
        <v>2</v>
      </c>
      <c r="O895">
        <v>0</v>
      </c>
      <c r="P895" t="s">
        <v>43</v>
      </c>
      <c r="Q895" t="s">
        <v>42</v>
      </c>
      <c r="R895" t="s">
        <v>43</v>
      </c>
      <c r="S895" t="s">
        <v>42</v>
      </c>
      <c r="T895" t="s">
        <v>42</v>
      </c>
      <c r="U895" t="s">
        <v>42</v>
      </c>
      <c r="V895" t="s">
        <v>42</v>
      </c>
      <c r="W895" t="s">
        <v>43</v>
      </c>
      <c r="X895">
        <v>5</v>
      </c>
      <c r="Y895">
        <v>3</v>
      </c>
      <c r="Z895">
        <v>3</v>
      </c>
      <c r="AA895">
        <v>1</v>
      </c>
      <c r="AB895">
        <v>1</v>
      </c>
      <c r="AC895">
        <v>1</v>
      </c>
      <c r="AD895">
        <v>0</v>
      </c>
      <c r="AE895">
        <v>14</v>
      </c>
      <c r="AF895">
        <v>13</v>
      </c>
      <c r="AG895">
        <v>14</v>
      </c>
    </row>
    <row r="896" spans="1:33" x14ac:dyDescent="0.35">
      <c r="A896" t="s">
        <v>53</v>
      </c>
      <c r="B896" t="s">
        <v>34</v>
      </c>
      <c r="C896">
        <v>16</v>
      </c>
      <c r="D896" t="s">
        <v>35</v>
      </c>
      <c r="E896" t="s">
        <v>36</v>
      </c>
      <c r="F896" t="s">
        <v>44</v>
      </c>
      <c r="G896">
        <v>2</v>
      </c>
      <c r="H896">
        <v>2</v>
      </c>
      <c r="I896" t="s">
        <v>48</v>
      </c>
      <c r="J896" t="s">
        <v>45</v>
      </c>
      <c r="K896" t="s">
        <v>40</v>
      </c>
      <c r="L896" t="s">
        <v>41</v>
      </c>
      <c r="M896">
        <v>1</v>
      </c>
      <c r="N896">
        <v>1</v>
      </c>
      <c r="O896">
        <v>0</v>
      </c>
      <c r="P896" t="s">
        <v>43</v>
      </c>
      <c r="Q896" t="s">
        <v>42</v>
      </c>
      <c r="R896" t="s">
        <v>42</v>
      </c>
      <c r="S896" t="s">
        <v>42</v>
      </c>
      <c r="T896" t="s">
        <v>42</v>
      </c>
      <c r="U896" t="s">
        <v>42</v>
      </c>
      <c r="V896" t="s">
        <v>43</v>
      </c>
      <c r="W896" t="s">
        <v>42</v>
      </c>
      <c r="X896">
        <v>4</v>
      </c>
      <c r="Y896">
        <v>2</v>
      </c>
      <c r="Z896">
        <v>5</v>
      </c>
      <c r="AA896">
        <v>1</v>
      </c>
      <c r="AB896">
        <v>2</v>
      </c>
      <c r="AC896">
        <v>5</v>
      </c>
      <c r="AD896">
        <v>0</v>
      </c>
      <c r="AE896">
        <v>17</v>
      </c>
      <c r="AF896">
        <v>16</v>
      </c>
      <c r="AG896">
        <v>16</v>
      </c>
    </row>
    <row r="897" spans="1:33" x14ac:dyDescent="0.35">
      <c r="A897" t="s">
        <v>53</v>
      </c>
      <c r="B897" t="s">
        <v>50</v>
      </c>
      <c r="C897">
        <v>17</v>
      </c>
      <c r="D897" t="s">
        <v>35</v>
      </c>
      <c r="E897" t="s">
        <v>36</v>
      </c>
      <c r="F897" t="s">
        <v>44</v>
      </c>
      <c r="G897">
        <v>1</v>
      </c>
      <c r="H897">
        <v>2</v>
      </c>
      <c r="I897" t="s">
        <v>45</v>
      </c>
      <c r="J897" t="s">
        <v>45</v>
      </c>
      <c r="K897" t="s">
        <v>40</v>
      </c>
      <c r="L897" t="s">
        <v>46</v>
      </c>
      <c r="M897">
        <v>1</v>
      </c>
      <c r="N897">
        <v>1</v>
      </c>
      <c r="O897">
        <v>1</v>
      </c>
      <c r="P897" t="s">
        <v>43</v>
      </c>
      <c r="Q897" t="s">
        <v>42</v>
      </c>
      <c r="R897" t="s">
        <v>43</v>
      </c>
      <c r="S897" t="s">
        <v>42</v>
      </c>
      <c r="T897" t="s">
        <v>42</v>
      </c>
      <c r="U897" t="s">
        <v>43</v>
      </c>
      <c r="V897" t="s">
        <v>42</v>
      </c>
      <c r="W897" t="s">
        <v>42</v>
      </c>
      <c r="X897">
        <v>5</v>
      </c>
      <c r="Y897">
        <v>3</v>
      </c>
      <c r="Z897">
        <v>5</v>
      </c>
      <c r="AA897">
        <v>5</v>
      </c>
      <c r="AB897">
        <v>5</v>
      </c>
      <c r="AC897">
        <v>1</v>
      </c>
      <c r="AD897">
        <v>12</v>
      </c>
      <c r="AE897">
        <v>6</v>
      </c>
      <c r="AF897">
        <v>7</v>
      </c>
      <c r="AG897">
        <v>7</v>
      </c>
    </row>
    <row r="898" spans="1:33" x14ac:dyDescent="0.35">
      <c r="A898" t="s">
        <v>53</v>
      </c>
      <c r="B898" t="s">
        <v>50</v>
      </c>
      <c r="C898">
        <v>16</v>
      </c>
      <c r="D898" t="s">
        <v>35</v>
      </c>
      <c r="E898" t="s">
        <v>47</v>
      </c>
      <c r="F898" t="s">
        <v>44</v>
      </c>
      <c r="G898">
        <v>4</v>
      </c>
      <c r="H898">
        <v>3</v>
      </c>
      <c r="I898" t="s">
        <v>45</v>
      </c>
      <c r="J898" t="s">
        <v>45</v>
      </c>
      <c r="K898" t="s">
        <v>40</v>
      </c>
      <c r="L898" t="s">
        <v>46</v>
      </c>
      <c r="M898">
        <v>1</v>
      </c>
      <c r="N898">
        <v>1</v>
      </c>
      <c r="O898">
        <v>0</v>
      </c>
      <c r="P898" t="s">
        <v>43</v>
      </c>
      <c r="Q898" t="s">
        <v>43</v>
      </c>
      <c r="R898" t="s">
        <v>43</v>
      </c>
      <c r="S898" t="s">
        <v>42</v>
      </c>
      <c r="T898" t="s">
        <v>42</v>
      </c>
      <c r="U898" t="s">
        <v>42</v>
      </c>
      <c r="V898" t="s">
        <v>42</v>
      </c>
      <c r="W898" t="s">
        <v>43</v>
      </c>
      <c r="X898">
        <v>4</v>
      </c>
      <c r="Y898">
        <v>2</v>
      </c>
      <c r="Z898">
        <v>5</v>
      </c>
      <c r="AA898">
        <v>1</v>
      </c>
      <c r="AB898">
        <v>5</v>
      </c>
      <c r="AC898">
        <v>5</v>
      </c>
      <c r="AD898">
        <v>8</v>
      </c>
      <c r="AE898">
        <v>14</v>
      </c>
      <c r="AF898">
        <v>12</v>
      </c>
      <c r="AG898">
        <v>13</v>
      </c>
    </row>
    <row r="899" spans="1:33" x14ac:dyDescent="0.35">
      <c r="A899" t="s">
        <v>53</v>
      </c>
      <c r="B899" t="s">
        <v>50</v>
      </c>
      <c r="C899">
        <v>17</v>
      </c>
      <c r="D899" t="s">
        <v>52</v>
      </c>
      <c r="E899" t="s">
        <v>47</v>
      </c>
      <c r="F899" t="s">
        <v>44</v>
      </c>
      <c r="G899">
        <v>2</v>
      </c>
      <c r="H899">
        <v>2</v>
      </c>
      <c r="I899" t="s">
        <v>48</v>
      </c>
      <c r="J899" t="s">
        <v>48</v>
      </c>
      <c r="K899" t="s">
        <v>45</v>
      </c>
      <c r="L899" t="s">
        <v>41</v>
      </c>
      <c r="M899">
        <v>3</v>
      </c>
      <c r="N899">
        <v>4</v>
      </c>
      <c r="O899">
        <v>1</v>
      </c>
      <c r="P899" t="s">
        <v>43</v>
      </c>
      <c r="Q899" t="s">
        <v>42</v>
      </c>
      <c r="R899" t="s">
        <v>43</v>
      </c>
      <c r="S899" t="s">
        <v>43</v>
      </c>
      <c r="T899" t="s">
        <v>42</v>
      </c>
      <c r="U899" t="s">
        <v>42</v>
      </c>
      <c r="V899" t="s">
        <v>43</v>
      </c>
      <c r="W899" t="s">
        <v>43</v>
      </c>
      <c r="X899">
        <v>1</v>
      </c>
      <c r="Y899">
        <v>3</v>
      </c>
      <c r="Z899">
        <v>5</v>
      </c>
      <c r="AA899">
        <v>3</v>
      </c>
      <c r="AB899">
        <v>5</v>
      </c>
      <c r="AC899">
        <v>3</v>
      </c>
      <c r="AD899">
        <v>2</v>
      </c>
      <c r="AE899">
        <v>10</v>
      </c>
      <c r="AF899">
        <v>8</v>
      </c>
      <c r="AG899">
        <v>9</v>
      </c>
    </row>
    <row r="900" spans="1:33" x14ac:dyDescent="0.35">
      <c r="A900" t="s">
        <v>53</v>
      </c>
      <c r="B900" t="s">
        <v>34</v>
      </c>
      <c r="C900">
        <v>16</v>
      </c>
      <c r="D900" t="s">
        <v>35</v>
      </c>
      <c r="E900" t="s">
        <v>36</v>
      </c>
      <c r="F900" t="s">
        <v>44</v>
      </c>
      <c r="G900">
        <v>1</v>
      </c>
      <c r="H900">
        <v>1</v>
      </c>
      <c r="I900" t="s">
        <v>45</v>
      </c>
      <c r="J900" t="s">
        <v>45</v>
      </c>
      <c r="K900" t="s">
        <v>40</v>
      </c>
      <c r="L900" t="s">
        <v>45</v>
      </c>
      <c r="M900">
        <v>1</v>
      </c>
      <c r="N900">
        <v>4</v>
      </c>
      <c r="O900">
        <v>0</v>
      </c>
      <c r="P900" t="s">
        <v>42</v>
      </c>
      <c r="Q900" t="s">
        <v>42</v>
      </c>
      <c r="R900" t="s">
        <v>43</v>
      </c>
      <c r="S900" t="s">
        <v>42</v>
      </c>
      <c r="T900" t="s">
        <v>42</v>
      </c>
      <c r="U900" t="s">
        <v>42</v>
      </c>
      <c r="V900" t="s">
        <v>42</v>
      </c>
      <c r="W900" t="s">
        <v>43</v>
      </c>
      <c r="X900">
        <v>2</v>
      </c>
      <c r="Y900">
        <v>2</v>
      </c>
      <c r="Z900">
        <v>1</v>
      </c>
      <c r="AA900">
        <v>1</v>
      </c>
      <c r="AB900">
        <v>1</v>
      </c>
      <c r="AC900">
        <v>5</v>
      </c>
      <c r="AD900">
        <v>0</v>
      </c>
      <c r="AE900">
        <v>14</v>
      </c>
      <c r="AF900">
        <v>14</v>
      </c>
      <c r="AG900">
        <v>14</v>
      </c>
    </row>
    <row r="901" spans="1:33" x14ac:dyDescent="0.35">
      <c r="A901" t="s">
        <v>53</v>
      </c>
      <c r="B901" t="s">
        <v>34</v>
      </c>
      <c r="C901">
        <v>19</v>
      </c>
      <c r="D901" t="s">
        <v>35</v>
      </c>
      <c r="E901" t="s">
        <v>47</v>
      </c>
      <c r="F901" t="s">
        <v>44</v>
      </c>
      <c r="G901">
        <v>2</v>
      </c>
      <c r="H901">
        <v>2</v>
      </c>
      <c r="I901" t="s">
        <v>45</v>
      </c>
      <c r="J901" t="s">
        <v>45</v>
      </c>
      <c r="K901" t="s">
        <v>49</v>
      </c>
      <c r="L901" t="s">
        <v>41</v>
      </c>
      <c r="M901">
        <v>1</v>
      </c>
      <c r="N901">
        <v>3</v>
      </c>
      <c r="O901">
        <v>0</v>
      </c>
      <c r="P901" t="s">
        <v>43</v>
      </c>
      <c r="Q901" t="s">
        <v>43</v>
      </c>
      <c r="R901" t="s">
        <v>43</v>
      </c>
      <c r="S901" t="s">
        <v>43</v>
      </c>
      <c r="T901" t="s">
        <v>42</v>
      </c>
      <c r="U901" t="s">
        <v>42</v>
      </c>
      <c r="V901" t="s">
        <v>42</v>
      </c>
      <c r="W901" t="s">
        <v>42</v>
      </c>
      <c r="X901">
        <v>5</v>
      </c>
      <c r="Y901">
        <v>4</v>
      </c>
      <c r="Z901">
        <v>5</v>
      </c>
      <c r="AA901">
        <v>1</v>
      </c>
      <c r="AB901">
        <v>1</v>
      </c>
      <c r="AC901">
        <v>1</v>
      </c>
      <c r="AD901">
        <v>0</v>
      </c>
      <c r="AE901">
        <v>12</v>
      </c>
      <c r="AF901">
        <v>13</v>
      </c>
      <c r="AG901">
        <v>13</v>
      </c>
    </row>
    <row r="902" spans="1:33" x14ac:dyDescent="0.35">
      <c r="A902" t="s">
        <v>53</v>
      </c>
      <c r="B902" t="s">
        <v>34</v>
      </c>
      <c r="C902">
        <v>17</v>
      </c>
      <c r="D902" t="s">
        <v>52</v>
      </c>
      <c r="E902" t="s">
        <v>36</v>
      </c>
      <c r="F902" t="s">
        <v>44</v>
      </c>
      <c r="G902">
        <v>1</v>
      </c>
      <c r="H902">
        <v>1</v>
      </c>
      <c r="I902" t="s">
        <v>38</v>
      </c>
      <c r="J902" t="s">
        <v>45</v>
      </c>
      <c r="K902" t="s">
        <v>51</v>
      </c>
      <c r="L902" t="s">
        <v>41</v>
      </c>
      <c r="M902">
        <v>2</v>
      </c>
      <c r="N902">
        <v>1</v>
      </c>
      <c r="O902">
        <v>0</v>
      </c>
      <c r="P902" t="s">
        <v>43</v>
      </c>
      <c r="Q902" t="s">
        <v>42</v>
      </c>
      <c r="R902" t="s">
        <v>43</v>
      </c>
      <c r="S902" t="s">
        <v>42</v>
      </c>
      <c r="T902" t="s">
        <v>43</v>
      </c>
      <c r="U902" t="s">
        <v>42</v>
      </c>
      <c r="V902" t="s">
        <v>42</v>
      </c>
      <c r="W902" t="s">
        <v>42</v>
      </c>
      <c r="X902">
        <v>4</v>
      </c>
      <c r="Y902">
        <v>4</v>
      </c>
      <c r="Z902">
        <v>5</v>
      </c>
      <c r="AA902">
        <v>1</v>
      </c>
      <c r="AB902">
        <v>2</v>
      </c>
      <c r="AC902">
        <v>5</v>
      </c>
      <c r="AD902">
        <v>0</v>
      </c>
      <c r="AE902">
        <v>11</v>
      </c>
      <c r="AF902">
        <v>11</v>
      </c>
      <c r="AG902">
        <v>11</v>
      </c>
    </row>
    <row r="903" spans="1:33" x14ac:dyDescent="0.35">
      <c r="A903" t="s">
        <v>53</v>
      </c>
      <c r="B903" t="s">
        <v>34</v>
      </c>
      <c r="C903">
        <v>20</v>
      </c>
      <c r="D903" t="s">
        <v>35</v>
      </c>
      <c r="E903" t="s">
        <v>36</v>
      </c>
      <c r="F903" t="s">
        <v>44</v>
      </c>
      <c r="G903">
        <v>3</v>
      </c>
      <c r="H903">
        <v>3</v>
      </c>
      <c r="I903" t="s">
        <v>38</v>
      </c>
      <c r="J903" t="s">
        <v>48</v>
      </c>
      <c r="K903" t="s">
        <v>45</v>
      </c>
      <c r="L903" t="s">
        <v>41</v>
      </c>
      <c r="M903">
        <v>2</v>
      </c>
      <c r="N903">
        <v>2</v>
      </c>
      <c r="O903">
        <v>1</v>
      </c>
      <c r="P903" t="s">
        <v>43</v>
      </c>
      <c r="Q903" t="s">
        <v>43</v>
      </c>
      <c r="R903" t="s">
        <v>43</v>
      </c>
      <c r="S903" t="s">
        <v>42</v>
      </c>
      <c r="T903" t="s">
        <v>42</v>
      </c>
      <c r="U903" t="s">
        <v>42</v>
      </c>
      <c r="V903" t="s">
        <v>42</v>
      </c>
      <c r="W903" t="s">
        <v>42</v>
      </c>
      <c r="X903">
        <v>3</v>
      </c>
      <c r="Y903">
        <v>3</v>
      </c>
      <c r="Z903">
        <v>4</v>
      </c>
      <c r="AA903">
        <v>2</v>
      </c>
      <c r="AB903">
        <v>4</v>
      </c>
      <c r="AC903">
        <v>3</v>
      </c>
      <c r="AD903">
        <v>8</v>
      </c>
      <c r="AE903">
        <v>11</v>
      </c>
      <c r="AF903">
        <v>9</v>
      </c>
      <c r="AG903">
        <v>10</v>
      </c>
    </row>
    <row r="904" spans="1:33" x14ac:dyDescent="0.35">
      <c r="A904" t="s">
        <v>53</v>
      </c>
      <c r="B904" t="s">
        <v>34</v>
      </c>
      <c r="C904">
        <v>17</v>
      </c>
      <c r="D904" t="s">
        <v>35</v>
      </c>
      <c r="E904" t="s">
        <v>47</v>
      </c>
      <c r="F904" t="s">
        <v>44</v>
      </c>
      <c r="G904">
        <v>1</v>
      </c>
      <c r="H904">
        <v>1</v>
      </c>
      <c r="I904" t="s">
        <v>45</v>
      </c>
      <c r="J904" t="s">
        <v>48</v>
      </c>
      <c r="K904" t="s">
        <v>40</v>
      </c>
      <c r="L904" t="s">
        <v>46</v>
      </c>
      <c r="M904">
        <v>1</v>
      </c>
      <c r="N904">
        <v>3</v>
      </c>
      <c r="O904">
        <v>0</v>
      </c>
      <c r="P904" t="s">
        <v>43</v>
      </c>
      <c r="Q904" t="s">
        <v>42</v>
      </c>
      <c r="R904" t="s">
        <v>43</v>
      </c>
      <c r="S904" t="s">
        <v>43</v>
      </c>
      <c r="T904" t="s">
        <v>42</v>
      </c>
      <c r="U904" t="s">
        <v>42</v>
      </c>
      <c r="V904" t="s">
        <v>43</v>
      </c>
      <c r="W904" t="s">
        <v>42</v>
      </c>
      <c r="X904">
        <v>4</v>
      </c>
      <c r="Y904">
        <v>3</v>
      </c>
      <c r="Z904">
        <v>3</v>
      </c>
      <c r="AA904">
        <v>1</v>
      </c>
      <c r="AB904">
        <v>1</v>
      </c>
      <c r="AC904">
        <v>3</v>
      </c>
      <c r="AD904">
        <v>0</v>
      </c>
      <c r="AE904">
        <v>11</v>
      </c>
      <c r="AF904">
        <v>11</v>
      </c>
      <c r="AG904">
        <v>10</v>
      </c>
    </row>
    <row r="905" spans="1:33" x14ac:dyDescent="0.35">
      <c r="A905" t="s">
        <v>53</v>
      </c>
      <c r="B905" t="s">
        <v>50</v>
      </c>
      <c r="C905">
        <v>17</v>
      </c>
      <c r="D905" t="s">
        <v>52</v>
      </c>
      <c r="E905" t="s">
        <v>36</v>
      </c>
      <c r="F905" t="s">
        <v>44</v>
      </c>
      <c r="G905">
        <v>2</v>
      </c>
      <c r="H905">
        <v>2</v>
      </c>
      <c r="I905" t="s">
        <v>45</v>
      </c>
      <c r="J905" t="s">
        <v>45</v>
      </c>
      <c r="K905" t="s">
        <v>40</v>
      </c>
      <c r="L905" t="s">
        <v>41</v>
      </c>
      <c r="M905">
        <v>3</v>
      </c>
      <c r="N905">
        <v>1</v>
      </c>
      <c r="O905">
        <v>1</v>
      </c>
      <c r="P905" t="s">
        <v>43</v>
      </c>
      <c r="Q905" t="s">
        <v>42</v>
      </c>
      <c r="R905" t="s">
        <v>43</v>
      </c>
      <c r="S905" t="s">
        <v>43</v>
      </c>
      <c r="T905" t="s">
        <v>43</v>
      </c>
      <c r="U905" t="s">
        <v>42</v>
      </c>
      <c r="V905" t="s">
        <v>42</v>
      </c>
      <c r="W905" t="s">
        <v>43</v>
      </c>
      <c r="X905">
        <v>4</v>
      </c>
      <c r="Y905">
        <v>4</v>
      </c>
      <c r="Z905">
        <v>5</v>
      </c>
      <c r="AA905">
        <v>1</v>
      </c>
      <c r="AB905">
        <v>2</v>
      </c>
      <c r="AC905">
        <v>5</v>
      </c>
      <c r="AD905">
        <v>0</v>
      </c>
      <c r="AE905">
        <v>10</v>
      </c>
      <c r="AF905">
        <v>9</v>
      </c>
      <c r="AG905">
        <v>9</v>
      </c>
    </row>
    <row r="906" spans="1:33" x14ac:dyDescent="0.35">
      <c r="A906" t="s">
        <v>53</v>
      </c>
      <c r="B906" t="s">
        <v>34</v>
      </c>
      <c r="C906">
        <v>16</v>
      </c>
      <c r="D906" t="s">
        <v>52</v>
      </c>
      <c r="E906" t="s">
        <v>47</v>
      </c>
      <c r="F906" t="s">
        <v>44</v>
      </c>
      <c r="G906">
        <v>1</v>
      </c>
      <c r="H906">
        <v>1</v>
      </c>
      <c r="I906" t="s">
        <v>38</v>
      </c>
      <c r="J906" t="s">
        <v>45</v>
      </c>
      <c r="K906" t="s">
        <v>40</v>
      </c>
      <c r="L906" t="s">
        <v>46</v>
      </c>
      <c r="M906">
        <v>3</v>
      </c>
      <c r="N906">
        <v>2</v>
      </c>
      <c r="O906">
        <v>0</v>
      </c>
      <c r="P906" t="s">
        <v>43</v>
      </c>
      <c r="Q906" t="s">
        <v>42</v>
      </c>
      <c r="R906" t="s">
        <v>43</v>
      </c>
      <c r="S906" t="s">
        <v>43</v>
      </c>
      <c r="T906" t="s">
        <v>42</v>
      </c>
      <c r="U906" t="s">
        <v>42</v>
      </c>
      <c r="V906" t="s">
        <v>43</v>
      </c>
      <c r="W906" t="s">
        <v>43</v>
      </c>
      <c r="X906">
        <v>5</v>
      </c>
      <c r="Y906">
        <v>3</v>
      </c>
      <c r="Z906">
        <v>2</v>
      </c>
      <c r="AA906">
        <v>1</v>
      </c>
      <c r="AB906">
        <v>1</v>
      </c>
      <c r="AC906">
        <v>1</v>
      </c>
      <c r="AD906">
        <v>0</v>
      </c>
      <c r="AE906">
        <v>16</v>
      </c>
      <c r="AF906">
        <v>17</v>
      </c>
      <c r="AG906">
        <v>18</v>
      </c>
    </row>
    <row r="907" spans="1:33" x14ac:dyDescent="0.35">
      <c r="A907" t="s">
        <v>53</v>
      </c>
      <c r="B907" t="s">
        <v>34</v>
      </c>
      <c r="C907">
        <v>17</v>
      </c>
      <c r="D907" t="s">
        <v>52</v>
      </c>
      <c r="E907" t="s">
        <v>36</v>
      </c>
      <c r="F907" t="s">
        <v>44</v>
      </c>
      <c r="G907">
        <v>2</v>
      </c>
      <c r="H907">
        <v>2</v>
      </c>
      <c r="I907" t="s">
        <v>45</v>
      </c>
      <c r="J907" t="s">
        <v>45</v>
      </c>
      <c r="K907" t="s">
        <v>51</v>
      </c>
      <c r="L907" t="s">
        <v>41</v>
      </c>
      <c r="M907">
        <v>2</v>
      </c>
      <c r="N907">
        <v>2</v>
      </c>
      <c r="O907">
        <v>0</v>
      </c>
      <c r="P907" t="s">
        <v>43</v>
      </c>
      <c r="Q907" t="s">
        <v>42</v>
      </c>
      <c r="R907" t="s">
        <v>43</v>
      </c>
      <c r="S907" t="s">
        <v>42</v>
      </c>
      <c r="T907" t="s">
        <v>42</v>
      </c>
      <c r="U907" t="s">
        <v>42</v>
      </c>
      <c r="V907" t="s">
        <v>43</v>
      </c>
      <c r="W907" t="s">
        <v>43</v>
      </c>
      <c r="X907">
        <v>5</v>
      </c>
      <c r="Y907">
        <v>3</v>
      </c>
      <c r="Z907">
        <v>2</v>
      </c>
      <c r="AA907">
        <v>1</v>
      </c>
      <c r="AB907">
        <v>1</v>
      </c>
      <c r="AC907">
        <v>1</v>
      </c>
      <c r="AD907">
        <v>0</v>
      </c>
      <c r="AE907">
        <v>15</v>
      </c>
      <c r="AF907">
        <v>17</v>
      </c>
      <c r="AG907">
        <v>17</v>
      </c>
    </row>
    <row r="908" spans="1:33" x14ac:dyDescent="0.35">
      <c r="A908" t="s">
        <v>53</v>
      </c>
      <c r="B908" t="s">
        <v>34</v>
      </c>
      <c r="C908">
        <v>17</v>
      </c>
      <c r="D908" t="s">
        <v>35</v>
      </c>
      <c r="E908" t="s">
        <v>36</v>
      </c>
      <c r="F908" t="s">
        <v>37</v>
      </c>
      <c r="G908">
        <v>1</v>
      </c>
      <c r="H908">
        <v>0</v>
      </c>
      <c r="I908" t="s">
        <v>45</v>
      </c>
      <c r="J908" t="s">
        <v>45</v>
      </c>
      <c r="K908" t="s">
        <v>45</v>
      </c>
      <c r="L908" t="s">
        <v>41</v>
      </c>
      <c r="M908">
        <v>2</v>
      </c>
      <c r="N908">
        <v>2</v>
      </c>
      <c r="O908">
        <v>0</v>
      </c>
      <c r="P908" t="s">
        <v>43</v>
      </c>
      <c r="Q908" t="s">
        <v>43</v>
      </c>
      <c r="R908" t="s">
        <v>43</v>
      </c>
      <c r="S908" t="s">
        <v>43</v>
      </c>
      <c r="T908" t="s">
        <v>42</v>
      </c>
      <c r="U908" t="s">
        <v>42</v>
      </c>
      <c r="V908" t="s">
        <v>42</v>
      </c>
      <c r="W908" t="s">
        <v>42</v>
      </c>
      <c r="X908">
        <v>4</v>
      </c>
      <c r="Y908">
        <v>4</v>
      </c>
      <c r="Z908">
        <v>5</v>
      </c>
      <c r="AA908">
        <v>1</v>
      </c>
      <c r="AB908">
        <v>1</v>
      </c>
      <c r="AC908">
        <v>4</v>
      </c>
      <c r="AD908">
        <v>1</v>
      </c>
      <c r="AE908">
        <v>11</v>
      </c>
      <c r="AF908">
        <v>9</v>
      </c>
      <c r="AG908">
        <v>10</v>
      </c>
    </row>
    <row r="909" spans="1:33" x14ac:dyDescent="0.35">
      <c r="A909" t="s">
        <v>53</v>
      </c>
      <c r="B909" t="s">
        <v>34</v>
      </c>
      <c r="C909">
        <v>18</v>
      </c>
      <c r="D909" t="s">
        <v>52</v>
      </c>
      <c r="E909" t="s">
        <v>36</v>
      </c>
      <c r="F909" t="s">
        <v>44</v>
      </c>
      <c r="G909">
        <v>1</v>
      </c>
      <c r="H909">
        <v>1</v>
      </c>
      <c r="I909" t="s">
        <v>38</v>
      </c>
      <c r="J909" t="s">
        <v>45</v>
      </c>
      <c r="K909" t="s">
        <v>45</v>
      </c>
      <c r="L909" t="s">
        <v>41</v>
      </c>
      <c r="M909">
        <v>1</v>
      </c>
      <c r="N909">
        <v>2</v>
      </c>
      <c r="O909">
        <v>1</v>
      </c>
      <c r="P909" t="s">
        <v>43</v>
      </c>
      <c r="Q909" t="s">
        <v>42</v>
      </c>
      <c r="R909" t="s">
        <v>43</v>
      </c>
      <c r="S909" t="s">
        <v>43</v>
      </c>
      <c r="T909" t="s">
        <v>42</v>
      </c>
      <c r="U909" t="s">
        <v>42</v>
      </c>
      <c r="V909" t="s">
        <v>42</v>
      </c>
      <c r="W909" t="s">
        <v>42</v>
      </c>
      <c r="X909">
        <v>4</v>
      </c>
      <c r="Y909">
        <v>3</v>
      </c>
      <c r="Z909">
        <v>2</v>
      </c>
      <c r="AA909">
        <v>1</v>
      </c>
      <c r="AB909">
        <v>1</v>
      </c>
      <c r="AC909">
        <v>5</v>
      </c>
      <c r="AD909">
        <v>9</v>
      </c>
      <c r="AE909">
        <v>7</v>
      </c>
      <c r="AF909">
        <v>7</v>
      </c>
      <c r="AG909">
        <v>7</v>
      </c>
    </row>
    <row r="910" spans="1:33" x14ac:dyDescent="0.35">
      <c r="A910" t="s">
        <v>53</v>
      </c>
      <c r="B910" t="s">
        <v>34</v>
      </c>
      <c r="C910">
        <v>16</v>
      </c>
      <c r="D910" t="s">
        <v>35</v>
      </c>
      <c r="E910" t="s">
        <v>36</v>
      </c>
      <c r="F910" t="s">
        <v>44</v>
      </c>
      <c r="G910">
        <v>3</v>
      </c>
      <c r="H910">
        <v>1</v>
      </c>
      <c r="I910" t="s">
        <v>45</v>
      </c>
      <c r="J910" t="s">
        <v>45</v>
      </c>
      <c r="K910" t="s">
        <v>40</v>
      </c>
      <c r="L910" t="s">
        <v>41</v>
      </c>
      <c r="M910">
        <v>1</v>
      </c>
      <c r="N910">
        <v>1</v>
      </c>
      <c r="O910">
        <v>0</v>
      </c>
      <c r="P910" t="s">
        <v>43</v>
      </c>
      <c r="Q910" t="s">
        <v>43</v>
      </c>
      <c r="R910" t="s">
        <v>43</v>
      </c>
      <c r="S910" t="s">
        <v>42</v>
      </c>
      <c r="T910" t="s">
        <v>42</v>
      </c>
      <c r="U910" t="s">
        <v>42</v>
      </c>
      <c r="V910" t="s">
        <v>42</v>
      </c>
      <c r="W910" t="s">
        <v>43</v>
      </c>
      <c r="X910">
        <v>3</v>
      </c>
      <c r="Y910">
        <v>1</v>
      </c>
      <c r="Z910">
        <v>3</v>
      </c>
      <c r="AA910">
        <v>1</v>
      </c>
      <c r="AB910">
        <v>3</v>
      </c>
      <c r="AC910">
        <v>1</v>
      </c>
      <c r="AD910">
        <v>0</v>
      </c>
      <c r="AE910">
        <v>8</v>
      </c>
      <c r="AF910">
        <v>6</v>
      </c>
      <c r="AG910">
        <v>8</v>
      </c>
    </row>
    <row r="911" spans="1:33" x14ac:dyDescent="0.35">
      <c r="A911" t="s">
        <v>53</v>
      </c>
      <c r="B911" t="s">
        <v>34</v>
      </c>
      <c r="C911">
        <v>16</v>
      </c>
      <c r="D911" t="s">
        <v>35</v>
      </c>
      <c r="E911" t="s">
        <v>36</v>
      </c>
      <c r="F911" t="s">
        <v>44</v>
      </c>
      <c r="G911">
        <v>3</v>
      </c>
      <c r="H911">
        <v>2</v>
      </c>
      <c r="I911" t="s">
        <v>48</v>
      </c>
      <c r="J911" t="s">
        <v>38</v>
      </c>
      <c r="K911" t="s">
        <v>40</v>
      </c>
      <c r="L911" t="s">
        <v>41</v>
      </c>
      <c r="M911">
        <v>1</v>
      </c>
      <c r="N911">
        <v>1</v>
      </c>
      <c r="O911">
        <v>0</v>
      </c>
      <c r="P911" t="s">
        <v>43</v>
      </c>
      <c r="Q911" t="s">
        <v>43</v>
      </c>
      <c r="R911" t="s">
        <v>43</v>
      </c>
      <c r="S911" t="s">
        <v>43</v>
      </c>
      <c r="T911" t="s">
        <v>42</v>
      </c>
      <c r="U911" t="s">
        <v>42</v>
      </c>
      <c r="V911" t="s">
        <v>42</v>
      </c>
      <c r="W911" t="s">
        <v>43</v>
      </c>
      <c r="X911">
        <v>3</v>
      </c>
      <c r="Y911">
        <v>1</v>
      </c>
      <c r="Z911">
        <v>3</v>
      </c>
      <c r="AA911">
        <v>1</v>
      </c>
      <c r="AB911">
        <v>4</v>
      </c>
      <c r="AC911">
        <v>3</v>
      </c>
      <c r="AD911">
        <v>2</v>
      </c>
      <c r="AE911">
        <v>7</v>
      </c>
      <c r="AF911">
        <v>6</v>
      </c>
      <c r="AG911">
        <v>7</v>
      </c>
    </row>
    <row r="912" spans="1:33" x14ac:dyDescent="0.35">
      <c r="A912" t="s">
        <v>53</v>
      </c>
      <c r="B912" t="s">
        <v>34</v>
      </c>
      <c r="C912">
        <v>18</v>
      </c>
      <c r="D912" t="s">
        <v>35</v>
      </c>
      <c r="E912" t="s">
        <v>47</v>
      </c>
      <c r="F912" t="s">
        <v>44</v>
      </c>
      <c r="G912">
        <v>1</v>
      </c>
      <c r="H912">
        <v>1</v>
      </c>
      <c r="I912" t="s">
        <v>45</v>
      </c>
      <c r="J912" t="s">
        <v>38</v>
      </c>
      <c r="K912" t="s">
        <v>51</v>
      </c>
      <c r="L912" t="s">
        <v>41</v>
      </c>
      <c r="M912">
        <v>2</v>
      </c>
      <c r="N912">
        <v>2</v>
      </c>
      <c r="O912">
        <v>0</v>
      </c>
      <c r="P912" t="s">
        <v>42</v>
      </c>
      <c r="Q912" t="s">
        <v>43</v>
      </c>
      <c r="R912" t="s">
        <v>43</v>
      </c>
      <c r="S912" t="s">
        <v>43</v>
      </c>
      <c r="T912" t="s">
        <v>42</v>
      </c>
      <c r="U912" t="s">
        <v>42</v>
      </c>
      <c r="V912" t="s">
        <v>43</v>
      </c>
      <c r="W912" t="s">
        <v>43</v>
      </c>
      <c r="X912">
        <v>2</v>
      </c>
      <c r="Y912">
        <v>3</v>
      </c>
      <c r="Z912">
        <v>5</v>
      </c>
      <c r="AA912">
        <v>1</v>
      </c>
      <c r="AB912">
        <v>4</v>
      </c>
      <c r="AC912">
        <v>3</v>
      </c>
      <c r="AD912">
        <v>8</v>
      </c>
      <c r="AE912">
        <v>9</v>
      </c>
      <c r="AF912">
        <v>8</v>
      </c>
      <c r="AG912">
        <v>10</v>
      </c>
    </row>
    <row r="913" spans="1:33" x14ac:dyDescent="0.35">
      <c r="A913" t="s">
        <v>53</v>
      </c>
      <c r="B913" t="s">
        <v>34</v>
      </c>
      <c r="C913">
        <v>16</v>
      </c>
      <c r="D913" t="s">
        <v>52</v>
      </c>
      <c r="E913" t="s">
        <v>36</v>
      </c>
      <c r="F913" t="s">
        <v>44</v>
      </c>
      <c r="G913">
        <v>4</v>
      </c>
      <c r="H913">
        <v>4</v>
      </c>
      <c r="I913" t="s">
        <v>28</v>
      </c>
      <c r="J913" t="s">
        <v>39</v>
      </c>
      <c r="K913" t="s">
        <v>51</v>
      </c>
      <c r="L913" t="s">
        <v>46</v>
      </c>
      <c r="M913">
        <v>1</v>
      </c>
      <c r="N913">
        <v>2</v>
      </c>
      <c r="O913">
        <v>0</v>
      </c>
      <c r="P913" t="s">
        <v>43</v>
      </c>
      <c r="Q913" t="s">
        <v>43</v>
      </c>
      <c r="R913" t="s">
        <v>43</v>
      </c>
      <c r="S913" t="s">
        <v>42</v>
      </c>
      <c r="T913" t="s">
        <v>43</v>
      </c>
      <c r="U913" t="s">
        <v>42</v>
      </c>
      <c r="V913" t="s">
        <v>42</v>
      </c>
      <c r="W913" t="s">
        <v>42</v>
      </c>
      <c r="X913">
        <v>4</v>
      </c>
      <c r="Y913">
        <v>3</v>
      </c>
      <c r="Z913">
        <v>3</v>
      </c>
      <c r="AA913">
        <v>2</v>
      </c>
      <c r="AB913">
        <v>3</v>
      </c>
      <c r="AC913">
        <v>2</v>
      </c>
      <c r="AD913">
        <v>0</v>
      </c>
      <c r="AE913">
        <v>14</v>
      </c>
      <c r="AF913">
        <v>16</v>
      </c>
      <c r="AG913">
        <v>16</v>
      </c>
    </row>
    <row r="914" spans="1:33" x14ac:dyDescent="0.35">
      <c r="A914" t="s">
        <v>53</v>
      </c>
      <c r="B914" t="s">
        <v>34</v>
      </c>
      <c r="C914">
        <v>16</v>
      </c>
      <c r="D914" t="s">
        <v>52</v>
      </c>
      <c r="E914" t="s">
        <v>47</v>
      </c>
      <c r="F914" t="s">
        <v>44</v>
      </c>
      <c r="G914">
        <v>1</v>
      </c>
      <c r="H914">
        <v>2</v>
      </c>
      <c r="I914" t="s">
        <v>45</v>
      </c>
      <c r="J914" t="s">
        <v>45</v>
      </c>
      <c r="K914" t="s">
        <v>51</v>
      </c>
      <c r="L914" t="s">
        <v>41</v>
      </c>
      <c r="M914">
        <v>2</v>
      </c>
      <c r="N914">
        <v>1</v>
      </c>
      <c r="O914">
        <v>0</v>
      </c>
      <c r="P914" t="s">
        <v>43</v>
      </c>
      <c r="Q914" t="s">
        <v>43</v>
      </c>
      <c r="R914" t="s">
        <v>43</v>
      </c>
      <c r="S914" t="s">
        <v>42</v>
      </c>
      <c r="T914" t="s">
        <v>42</v>
      </c>
      <c r="U914" t="s">
        <v>42</v>
      </c>
      <c r="V914" t="s">
        <v>42</v>
      </c>
      <c r="W914" t="s">
        <v>43</v>
      </c>
      <c r="X914">
        <v>5</v>
      </c>
      <c r="Y914">
        <v>4</v>
      </c>
      <c r="Z914">
        <v>5</v>
      </c>
      <c r="AA914">
        <v>1</v>
      </c>
      <c r="AB914">
        <v>4</v>
      </c>
      <c r="AC914">
        <v>2</v>
      </c>
      <c r="AD914">
        <v>0</v>
      </c>
      <c r="AE914">
        <v>14</v>
      </c>
      <c r="AF914">
        <v>14</v>
      </c>
      <c r="AG914">
        <v>15</v>
      </c>
    </row>
    <row r="915" spans="1:33" x14ac:dyDescent="0.35">
      <c r="A915" t="s">
        <v>53</v>
      </c>
      <c r="B915" t="s">
        <v>34</v>
      </c>
      <c r="C915">
        <v>18</v>
      </c>
      <c r="D915" t="s">
        <v>35</v>
      </c>
      <c r="E915" t="s">
        <v>36</v>
      </c>
      <c r="F915" t="s">
        <v>37</v>
      </c>
      <c r="G915">
        <v>2</v>
      </c>
      <c r="H915">
        <v>4</v>
      </c>
      <c r="I915" t="s">
        <v>45</v>
      </c>
      <c r="J915" t="s">
        <v>48</v>
      </c>
      <c r="K915" t="s">
        <v>51</v>
      </c>
      <c r="L915" t="s">
        <v>46</v>
      </c>
      <c r="M915">
        <v>1</v>
      </c>
      <c r="N915">
        <v>2</v>
      </c>
      <c r="O915">
        <v>1</v>
      </c>
      <c r="P915" t="s">
        <v>43</v>
      </c>
      <c r="Q915" t="s">
        <v>42</v>
      </c>
      <c r="R915" t="s">
        <v>43</v>
      </c>
      <c r="S915" t="s">
        <v>43</v>
      </c>
      <c r="T915" t="s">
        <v>42</v>
      </c>
      <c r="U915" t="s">
        <v>42</v>
      </c>
      <c r="V915" t="s">
        <v>42</v>
      </c>
      <c r="W915" t="s">
        <v>43</v>
      </c>
      <c r="X915">
        <v>2</v>
      </c>
      <c r="Y915">
        <v>3</v>
      </c>
      <c r="Z915">
        <v>2</v>
      </c>
      <c r="AA915">
        <v>1</v>
      </c>
      <c r="AB915">
        <v>3</v>
      </c>
      <c r="AC915">
        <v>1</v>
      </c>
      <c r="AD915">
        <v>8</v>
      </c>
      <c r="AE915">
        <v>8</v>
      </c>
      <c r="AF915">
        <v>5</v>
      </c>
      <c r="AG915">
        <v>8</v>
      </c>
    </row>
    <row r="916" spans="1:33" x14ac:dyDescent="0.35">
      <c r="A916" t="s">
        <v>53</v>
      </c>
      <c r="B916" t="s">
        <v>50</v>
      </c>
      <c r="C916">
        <v>16</v>
      </c>
      <c r="D916" t="s">
        <v>52</v>
      </c>
      <c r="E916" t="s">
        <v>36</v>
      </c>
      <c r="F916" t="s">
        <v>44</v>
      </c>
      <c r="G916">
        <v>2</v>
      </c>
      <c r="H916">
        <v>1</v>
      </c>
      <c r="I916" t="s">
        <v>45</v>
      </c>
      <c r="J916" t="s">
        <v>48</v>
      </c>
      <c r="K916" t="s">
        <v>51</v>
      </c>
      <c r="L916" t="s">
        <v>41</v>
      </c>
      <c r="M916">
        <v>2</v>
      </c>
      <c r="N916">
        <v>2</v>
      </c>
      <c r="O916">
        <v>0</v>
      </c>
      <c r="P916" t="s">
        <v>43</v>
      </c>
      <c r="Q916" t="s">
        <v>43</v>
      </c>
      <c r="R916" t="s">
        <v>43</v>
      </c>
      <c r="S916" t="s">
        <v>42</v>
      </c>
      <c r="T916" t="s">
        <v>42</v>
      </c>
      <c r="U916" t="s">
        <v>42</v>
      </c>
      <c r="V916" t="s">
        <v>42</v>
      </c>
      <c r="W916" t="s">
        <v>43</v>
      </c>
      <c r="X916">
        <v>5</v>
      </c>
      <c r="Y916">
        <v>2</v>
      </c>
      <c r="Z916">
        <v>1</v>
      </c>
      <c r="AA916">
        <v>1</v>
      </c>
      <c r="AB916">
        <v>1</v>
      </c>
      <c r="AC916">
        <v>2</v>
      </c>
      <c r="AD916">
        <v>0</v>
      </c>
      <c r="AE916">
        <v>8</v>
      </c>
      <c r="AF916">
        <v>7</v>
      </c>
      <c r="AG916">
        <v>0</v>
      </c>
    </row>
    <row r="917" spans="1:33" x14ac:dyDescent="0.35">
      <c r="A917" t="s">
        <v>53</v>
      </c>
      <c r="B917" t="s">
        <v>34</v>
      </c>
      <c r="C917">
        <v>16</v>
      </c>
      <c r="D917" t="s">
        <v>35</v>
      </c>
      <c r="E917" t="s">
        <v>47</v>
      </c>
      <c r="F917" t="s">
        <v>44</v>
      </c>
      <c r="G917">
        <v>1</v>
      </c>
      <c r="H917">
        <v>1</v>
      </c>
      <c r="I917" t="s">
        <v>38</v>
      </c>
      <c r="J917" t="s">
        <v>45</v>
      </c>
      <c r="K917" t="s">
        <v>45</v>
      </c>
      <c r="L917" t="s">
        <v>41</v>
      </c>
      <c r="M917">
        <v>3</v>
      </c>
      <c r="N917">
        <v>2</v>
      </c>
      <c r="O917">
        <v>0</v>
      </c>
      <c r="P917" t="s">
        <v>43</v>
      </c>
      <c r="Q917" t="s">
        <v>42</v>
      </c>
      <c r="R917" t="s">
        <v>43</v>
      </c>
      <c r="S917" t="s">
        <v>43</v>
      </c>
      <c r="T917" t="s">
        <v>42</v>
      </c>
      <c r="U917" t="s">
        <v>42</v>
      </c>
      <c r="V917" t="s">
        <v>42</v>
      </c>
      <c r="W917" t="s">
        <v>43</v>
      </c>
      <c r="X917">
        <v>4</v>
      </c>
      <c r="Y917">
        <v>3</v>
      </c>
      <c r="Z917">
        <v>2</v>
      </c>
      <c r="AA917">
        <v>1</v>
      </c>
      <c r="AB917">
        <v>3</v>
      </c>
      <c r="AC917">
        <v>5</v>
      </c>
      <c r="AD917">
        <v>6</v>
      </c>
      <c r="AE917">
        <v>6</v>
      </c>
      <c r="AF917">
        <v>8</v>
      </c>
      <c r="AG917">
        <v>8</v>
      </c>
    </row>
    <row r="918" spans="1:33" x14ac:dyDescent="0.35">
      <c r="A918" t="s">
        <v>53</v>
      </c>
      <c r="B918" t="s">
        <v>34</v>
      </c>
      <c r="C918">
        <v>16</v>
      </c>
      <c r="D918" t="s">
        <v>52</v>
      </c>
      <c r="E918" t="s">
        <v>36</v>
      </c>
      <c r="F918" t="s">
        <v>44</v>
      </c>
      <c r="G918">
        <v>2</v>
      </c>
      <c r="H918">
        <v>3</v>
      </c>
      <c r="I918" t="s">
        <v>38</v>
      </c>
      <c r="J918" t="s">
        <v>48</v>
      </c>
      <c r="K918" t="s">
        <v>45</v>
      </c>
      <c r="L918" t="s">
        <v>41</v>
      </c>
      <c r="M918">
        <v>2</v>
      </c>
      <c r="N918">
        <v>2</v>
      </c>
      <c r="O918">
        <v>0</v>
      </c>
      <c r="P918" t="s">
        <v>43</v>
      </c>
      <c r="Q918" t="s">
        <v>42</v>
      </c>
      <c r="R918" t="s">
        <v>43</v>
      </c>
      <c r="S918" t="s">
        <v>42</v>
      </c>
      <c r="T918" t="s">
        <v>42</v>
      </c>
      <c r="U918" t="s">
        <v>42</v>
      </c>
      <c r="V918" t="s">
        <v>42</v>
      </c>
      <c r="W918" t="s">
        <v>43</v>
      </c>
      <c r="X918">
        <v>3</v>
      </c>
      <c r="Y918">
        <v>3</v>
      </c>
      <c r="Z918">
        <v>3</v>
      </c>
      <c r="AA918">
        <v>1</v>
      </c>
      <c r="AB918">
        <v>1</v>
      </c>
      <c r="AC918">
        <v>2</v>
      </c>
      <c r="AD918">
        <v>0</v>
      </c>
      <c r="AE918">
        <v>8</v>
      </c>
      <c r="AF918">
        <v>10</v>
      </c>
      <c r="AG918">
        <v>10</v>
      </c>
    </row>
    <row r="919" spans="1:33" x14ac:dyDescent="0.35">
      <c r="A919" t="s">
        <v>53</v>
      </c>
      <c r="B919" t="s">
        <v>34</v>
      </c>
      <c r="C919">
        <v>16</v>
      </c>
      <c r="D919" t="s">
        <v>35</v>
      </c>
      <c r="E919" t="s">
        <v>36</v>
      </c>
      <c r="F919" t="s">
        <v>44</v>
      </c>
      <c r="G919">
        <v>4</v>
      </c>
      <c r="H919">
        <v>4</v>
      </c>
      <c r="I919" t="s">
        <v>28</v>
      </c>
      <c r="J919" t="s">
        <v>28</v>
      </c>
      <c r="K919" t="s">
        <v>40</v>
      </c>
      <c r="L919" t="s">
        <v>41</v>
      </c>
      <c r="M919">
        <v>1</v>
      </c>
      <c r="N919">
        <v>2</v>
      </c>
      <c r="O919">
        <v>0</v>
      </c>
      <c r="P919" t="s">
        <v>43</v>
      </c>
      <c r="Q919" t="s">
        <v>42</v>
      </c>
      <c r="R919" t="s">
        <v>43</v>
      </c>
      <c r="S919" t="s">
        <v>43</v>
      </c>
      <c r="T919" t="s">
        <v>42</v>
      </c>
      <c r="U919" t="s">
        <v>42</v>
      </c>
      <c r="V919" t="s">
        <v>42</v>
      </c>
      <c r="W919" t="s">
        <v>42</v>
      </c>
      <c r="X919">
        <v>4</v>
      </c>
      <c r="Y919">
        <v>3</v>
      </c>
      <c r="Z919">
        <v>4</v>
      </c>
      <c r="AA919">
        <v>1</v>
      </c>
      <c r="AB919">
        <v>2</v>
      </c>
      <c r="AC919">
        <v>3</v>
      </c>
      <c r="AD919">
        <v>4</v>
      </c>
      <c r="AE919">
        <v>8</v>
      </c>
      <c r="AF919">
        <v>8</v>
      </c>
      <c r="AG919">
        <v>8</v>
      </c>
    </row>
    <row r="920" spans="1:33" x14ac:dyDescent="0.35">
      <c r="A920" t="s">
        <v>53</v>
      </c>
      <c r="B920" t="s">
        <v>50</v>
      </c>
      <c r="C920">
        <v>18</v>
      </c>
      <c r="D920" t="s">
        <v>35</v>
      </c>
      <c r="E920" t="s">
        <v>47</v>
      </c>
      <c r="F920" t="s">
        <v>44</v>
      </c>
      <c r="G920">
        <v>4</v>
      </c>
      <c r="H920">
        <v>4</v>
      </c>
      <c r="I920" t="s">
        <v>38</v>
      </c>
      <c r="J920" t="s">
        <v>28</v>
      </c>
      <c r="K920" t="s">
        <v>49</v>
      </c>
      <c r="L920" t="s">
        <v>41</v>
      </c>
      <c r="M920">
        <v>1</v>
      </c>
      <c r="N920">
        <v>4</v>
      </c>
      <c r="O920">
        <v>0</v>
      </c>
      <c r="P920" t="s">
        <v>43</v>
      </c>
      <c r="Q920" t="s">
        <v>42</v>
      </c>
      <c r="R920" t="s">
        <v>43</v>
      </c>
      <c r="S920" t="s">
        <v>42</v>
      </c>
      <c r="T920" t="s">
        <v>42</v>
      </c>
      <c r="U920" t="s">
        <v>43</v>
      </c>
      <c r="V920" t="s">
        <v>42</v>
      </c>
      <c r="W920" t="s">
        <v>42</v>
      </c>
      <c r="X920">
        <v>5</v>
      </c>
      <c r="Y920">
        <v>5</v>
      </c>
      <c r="Z920">
        <v>5</v>
      </c>
      <c r="AA920">
        <v>5</v>
      </c>
      <c r="AB920">
        <v>5</v>
      </c>
      <c r="AC920">
        <v>5</v>
      </c>
      <c r="AD920">
        <v>2</v>
      </c>
      <c r="AE920">
        <v>5</v>
      </c>
      <c r="AF920">
        <v>6</v>
      </c>
      <c r="AG920">
        <v>6</v>
      </c>
    </row>
    <row r="921" spans="1:33" x14ac:dyDescent="0.35">
      <c r="A921" t="s">
        <v>53</v>
      </c>
      <c r="B921" t="s">
        <v>34</v>
      </c>
      <c r="C921">
        <v>16</v>
      </c>
      <c r="D921" t="s">
        <v>52</v>
      </c>
      <c r="E921" t="s">
        <v>47</v>
      </c>
      <c r="F921" t="s">
        <v>44</v>
      </c>
      <c r="G921">
        <v>3</v>
      </c>
      <c r="H921">
        <v>4</v>
      </c>
      <c r="I921" t="s">
        <v>38</v>
      </c>
      <c r="J921" t="s">
        <v>45</v>
      </c>
      <c r="K921" t="s">
        <v>45</v>
      </c>
      <c r="L921" t="s">
        <v>41</v>
      </c>
      <c r="M921">
        <v>3</v>
      </c>
      <c r="N921">
        <v>2</v>
      </c>
      <c r="O921">
        <v>0</v>
      </c>
      <c r="P921" t="s">
        <v>43</v>
      </c>
      <c r="Q921" t="s">
        <v>42</v>
      </c>
      <c r="R921" t="s">
        <v>43</v>
      </c>
      <c r="S921" t="s">
        <v>43</v>
      </c>
      <c r="T921" t="s">
        <v>43</v>
      </c>
      <c r="U921" t="s">
        <v>42</v>
      </c>
      <c r="V921" t="s">
        <v>43</v>
      </c>
      <c r="W921" t="s">
        <v>43</v>
      </c>
      <c r="X921">
        <v>4</v>
      </c>
      <c r="Y921">
        <v>2</v>
      </c>
      <c r="Z921">
        <v>1</v>
      </c>
      <c r="AA921">
        <v>1</v>
      </c>
      <c r="AB921">
        <v>1</v>
      </c>
      <c r="AC921">
        <v>2</v>
      </c>
      <c r="AD921">
        <v>2</v>
      </c>
      <c r="AE921">
        <v>7</v>
      </c>
      <c r="AF921">
        <v>9</v>
      </c>
      <c r="AG921">
        <v>8</v>
      </c>
    </row>
    <row r="922" spans="1:33" x14ac:dyDescent="0.35">
      <c r="A922" t="s">
        <v>53</v>
      </c>
      <c r="B922" t="s">
        <v>50</v>
      </c>
      <c r="C922">
        <v>17</v>
      </c>
      <c r="D922" t="s">
        <v>35</v>
      </c>
      <c r="E922" t="s">
        <v>47</v>
      </c>
      <c r="F922" t="s">
        <v>44</v>
      </c>
      <c r="G922">
        <v>4</v>
      </c>
      <c r="H922">
        <v>4</v>
      </c>
      <c r="I922" t="s">
        <v>45</v>
      </c>
      <c r="J922" t="s">
        <v>48</v>
      </c>
      <c r="K922" t="s">
        <v>49</v>
      </c>
      <c r="L922" t="s">
        <v>41</v>
      </c>
      <c r="M922">
        <v>1</v>
      </c>
      <c r="N922">
        <v>3</v>
      </c>
      <c r="O922">
        <v>0</v>
      </c>
      <c r="P922" t="s">
        <v>43</v>
      </c>
      <c r="Q922" t="s">
        <v>42</v>
      </c>
      <c r="R922" t="s">
        <v>43</v>
      </c>
      <c r="S922" t="s">
        <v>43</v>
      </c>
      <c r="T922" t="s">
        <v>42</v>
      </c>
      <c r="U922" t="s">
        <v>42</v>
      </c>
      <c r="V922" t="s">
        <v>42</v>
      </c>
      <c r="W922" t="s">
        <v>43</v>
      </c>
      <c r="X922">
        <v>4</v>
      </c>
      <c r="Y922">
        <v>4</v>
      </c>
      <c r="Z922">
        <v>3</v>
      </c>
      <c r="AA922">
        <v>1</v>
      </c>
      <c r="AB922">
        <v>2</v>
      </c>
      <c r="AC922">
        <v>5</v>
      </c>
      <c r="AD922">
        <v>0</v>
      </c>
      <c r="AE922">
        <v>15</v>
      </c>
      <c r="AF922">
        <v>14</v>
      </c>
      <c r="AG922">
        <v>16</v>
      </c>
    </row>
    <row r="923" spans="1:33" x14ac:dyDescent="0.35">
      <c r="A923" t="s">
        <v>53</v>
      </c>
      <c r="B923" t="s">
        <v>34</v>
      </c>
      <c r="C923">
        <v>17</v>
      </c>
      <c r="D923" t="s">
        <v>52</v>
      </c>
      <c r="E923" t="s">
        <v>36</v>
      </c>
      <c r="F923" t="s">
        <v>44</v>
      </c>
      <c r="G923">
        <v>4</v>
      </c>
      <c r="H923">
        <v>1</v>
      </c>
      <c r="I923" t="s">
        <v>45</v>
      </c>
      <c r="J923" t="s">
        <v>45</v>
      </c>
      <c r="K923" t="s">
        <v>45</v>
      </c>
      <c r="L923" t="s">
        <v>41</v>
      </c>
      <c r="M923">
        <v>1</v>
      </c>
      <c r="N923">
        <v>1</v>
      </c>
      <c r="O923">
        <v>0</v>
      </c>
      <c r="P923" t="s">
        <v>43</v>
      </c>
      <c r="Q923" t="s">
        <v>43</v>
      </c>
      <c r="R923" t="s">
        <v>43</v>
      </c>
      <c r="S923" t="s">
        <v>43</v>
      </c>
      <c r="T923" t="s">
        <v>42</v>
      </c>
      <c r="U923" t="s">
        <v>42</v>
      </c>
      <c r="V923" t="s">
        <v>42</v>
      </c>
      <c r="W923" t="s">
        <v>42</v>
      </c>
      <c r="X923">
        <v>4</v>
      </c>
      <c r="Y923">
        <v>2</v>
      </c>
      <c r="Z923">
        <v>3</v>
      </c>
      <c r="AA923">
        <v>1</v>
      </c>
      <c r="AB923">
        <v>2</v>
      </c>
      <c r="AC923">
        <v>5</v>
      </c>
      <c r="AD923">
        <v>1</v>
      </c>
      <c r="AE923">
        <v>13</v>
      </c>
      <c r="AF923">
        <v>14</v>
      </c>
      <c r="AG923">
        <v>14</v>
      </c>
    </row>
    <row r="924" spans="1:33" x14ac:dyDescent="0.35">
      <c r="A924" t="s">
        <v>53</v>
      </c>
      <c r="B924" t="s">
        <v>50</v>
      </c>
      <c r="C924">
        <v>16</v>
      </c>
      <c r="D924" t="s">
        <v>35</v>
      </c>
      <c r="E924" t="s">
        <v>47</v>
      </c>
      <c r="F924" t="s">
        <v>44</v>
      </c>
      <c r="G924">
        <v>2</v>
      </c>
      <c r="H924">
        <v>2</v>
      </c>
      <c r="I924" t="s">
        <v>48</v>
      </c>
      <c r="J924" t="s">
        <v>48</v>
      </c>
      <c r="K924" t="s">
        <v>45</v>
      </c>
      <c r="L924" t="s">
        <v>41</v>
      </c>
      <c r="M924">
        <v>4</v>
      </c>
      <c r="N924">
        <v>3</v>
      </c>
      <c r="O924">
        <v>0</v>
      </c>
      <c r="P924" t="s">
        <v>43</v>
      </c>
      <c r="Q924" t="s">
        <v>43</v>
      </c>
      <c r="R924" t="s">
        <v>43</v>
      </c>
      <c r="S924" t="s">
        <v>43</v>
      </c>
      <c r="T924" t="s">
        <v>42</v>
      </c>
      <c r="U924" t="s">
        <v>42</v>
      </c>
      <c r="V924" t="s">
        <v>43</v>
      </c>
      <c r="W924" t="s">
        <v>43</v>
      </c>
      <c r="X924">
        <v>5</v>
      </c>
      <c r="Y924">
        <v>1</v>
      </c>
      <c r="Z924">
        <v>3</v>
      </c>
      <c r="AA924">
        <v>2</v>
      </c>
      <c r="AB924">
        <v>2</v>
      </c>
      <c r="AC924">
        <v>3</v>
      </c>
      <c r="AD924">
        <v>0</v>
      </c>
      <c r="AE924">
        <v>10</v>
      </c>
      <c r="AF924">
        <v>9</v>
      </c>
      <c r="AG924">
        <v>10</v>
      </c>
    </row>
    <row r="925" spans="1:33" x14ac:dyDescent="0.35">
      <c r="A925" t="s">
        <v>53</v>
      </c>
      <c r="B925" t="s">
        <v>34</v>
      </c>
      <c r="C925">
        <v>17</v>
      </c>
      <c r="D925" t="s">
        <v>52</v>
      </c>
      <c r="E925" t="s">
        <v>36</v>
      </c>
      <c r="F925" t="s">
        <v>44</v>
      </c>
      <c r="G925">
        <v>2</v>
      </c>
      <c r="H925">
        <v>2</v>
      </c>
      <c r="I925" t="s">
        <v>38</v>
      </c>
      <c r="J925" t="s">
        <v>45</v>
      </c>
      <c r="K925" t="s">
        <v>45</v>
      </c>
      <c r="L925" t="s">
        <v>41</v>
      </c>
      <c r="M925">
        <v>1</v>
      </c>
      <c r="N925">
        <v>1</v>
      </c>
      <c r="O925">
        <v>0</v>
      </c>
      <c r="P925" t="s">
        <v>43</v>
      </c>
      <c r="Q925" t="s">
        <v>42</v>
      </c>
      <c r="R925" t="s">
        <v>42</v>
      </c>
      <c r="S925" t="s">
        <v>43</v>
      </c>
      <c r="T925" t="s">
        <v>42</v>
      </c>
      <c r="U925" t="s">
        <v>42</v>
      </c>
      <c r="V925" t="s">
        <v>42</v>
      </c>
      <c r="W925" t="s">
        <v>43</v>
      </c>
      <c r="X925">
        <v>5</v>
      </c>
      <c r="Y925">
        <v>1</v>
      </c>
      <c r="Z925">
        <v>3</v>
      </c>
      <c r="AA925">
        <v>1</v>
      </c>
      <c r="AB925">
        <v>2</v>
      </c>
      <c r="AC925">
        <v>5</v>
      </c>
      <c r="AD925">
        <v>5</v>
      </c>
      <c r="AE925">
        <v>9</v>
      </c>
      <c r="AF925">
        <v>9</v>
      </c>
      <c r="AG925">
        <v>9</v>
      </c>
    </row>
    <row r="926" spans="1:33" x14ac:dyDescent="0.35">
      <c r="A926" t="s">
        <v>53</v>
      </c>
      <c r="B926" t="s">
        <v>34</v>
      </c>
      <c r="C926">
        <v>16</v>
      </c>
      <c r="D926" t="s">
        <v>35</v>
      </c>
      <c r="E926" t="s">
        <v>47</v>
      </c>
      <c r="F926" t="s">
        <v>44</v>
      </c>
      <c r="G926">
        <v>4</v>
      </c>
      <c r="H926">
        <v>4</v>
      </c>
      <c r="I926" t="s">
        <v>48</v>
      </c>
      <c r="J926" t="s">
        <v>48</v>
      </c>
      <c r="K926" t="s">
        <v>45</v>
      </c>
      <c r="L926" t="s">
        <v>46</v>
      </c>
      <c r="M926">
        <v>2</v>
      </c>
      <c r="N926">
        <v>1</v>
      </c>
      <c r="O926">
        <v>0</v>
      </c>
      <c r="P926" t="s">
        <v>43</v>
      </c>
      <c r="Q926" t="s">
        <v>42</v>
      </c>
      <c r="R926" t="s">
        <v>43</v>
      </c>
      <c r="S926" t="s">
        <v>43</v>
      </c>
      <c r="T926" t="s">
        <v>42</v>
      </c>
      <c r="U926" t="s">
        <v>42</v>
      </c>
      <c r="V926" t="s">
        <v>43</v>
      </c>
      <c r="W926" t="s">
        <v>43</v>
      </c>
      <c r="X926">
        <v>5</v>
      </c>
      <c r="Y926">
        <v>1</v>
      </c>
      <c r="Z926">
        <v>3</v>
      </c>
      <c r="AA926">
        <v>1</v>
      </c>
      <c r="AB926">
        <v>2</v>
      </c>
      <c r="AC926">
        <v>5</v>
      </c>
      <c r="AD926">
        <v>1</v>
      </c>
      <c r="AE926">
        <v>11</v>
      </c>
      <c r="AF926">
        <v>11</v>
      </c>
      <c r="AG926">
        <v>11</v>
      </c>
    </row>
    <row r="927" spans="1:33" x14ac:dyDescent="0.35">
      <c r="A927" t="s">
        <v>53</v>
      </c>
      <c r="B927" t="s">
        <v>50</v>
      </c>
      <c r="C927">
        <v>17</v>
      </c>
      <c r="D927" t="s">
        <v>35</v>
      </c>
      <c r="E927" t="s">
        <v>36</v>
      </c>
      <c r="F927" t="s">
        <v>44</v>
      </c>
      <c r="G927">
        <v>3</v>
      </c>
      <c r="H927">
        <v>3</v>
      </c>
      <c r="I927" t="s">
        <v>48</v>
      </c>
      <c r="J927" t="s">
        <v>48</v>
      </c>
      <c r="K927" t="s">
        <v>49</v>
      </c>
      <c r="L927" t="s">
        <v>41</v>
      </c>
      <c r="M927">
        <v>1</v>
      </c>
      <c r="N927">
        <v>1</v>
      </c>
      <c r="O927">
        <v>0</v>
      </c>
      <c r="P927" t="s">
        <v>43</v>
      </c>
      <c r="Q927" t="s">
        <v>42</v>
      </c>
      <c r="R927" t="s">
        <v>43</v>
      </c>
      <c r="S927" t="s">
        <v>42</v>
      </c>
      <c r="T927" t="s">
        <v>42</v>
      </c>
      <c r="U927" t="s">
        <v>42</v>
      </c>
      <c r="V927" t="s">
        <v>42</v>
      </c>
      <c r="W927" t="s">
        <v>43</v>
      </c>
      <c r="X927">
        <v>4</v>
      </c>
      <c r="Y927">
        <v>1</v>
      </c>
      <c r="Z927">
        <v>4</v>
      </c>
      <c r="AA927">
        <v>5</v>
      </c>
      <c r="AB927">
        <v>5</v>
      </c>
      <c r="AC927">
        <v>3</v>
      </c>
      <c r="AD927">
        <v>8</v>
      </c>
      <c r="AE927">
        <v>7</v>
      </c>
      <c r="AF927">
        <v>10</v>
      </c>
      <c r="AG927">
        <v>9</v>
      </c>
    </row>
    <row r="928" spans="1:33" x14ac:dyDescent="0.35">
      <c r="A928" t="s">
        <v>53</v>
      </c>
      <c r="B928" t="s">
        <v>50</v>
      </c>
      <c r="C928">
        <v>17</v>
      </c>
      <c r="D928" t="s">
        <v>35</v>
      </c>
      <c r="E928" t="s">
        <v>36</v>
      </c>
      <c r="F928" t="s">
        <v>44</v>
      </c>
      <c r="G928">
        <v>1</v>
      </c>
      <c r="H928">
        <v>1</v>
      </c>
      <c r="I928" t="s">
        <v>38</v>
      </c>
      <c r="J928" t="s">
        <v>48</v>
      </c>
      <c r="K928" t="s">
        <v>45</v>
      </c>
      <c r="L928" t="s">
        <v>41</v>
      </c>
      <c r="M928">
        <v>3</v>
      </c>
      <c r="N928">
        <v>2</v>
      </c>
      <c r="O928">
        <v>0</v>
      </c>
      <c r="P928" t="s">
        <v>43</v>
      </c>
      <c r="Q928" t="s">
        <v>43</v>
      </c>
      <c r="R928" t="s">
        <v>43</v>
      </c>
      <c r="S928" t="s">
        <v>43</v>
      </c>
      <c r="T928" t="s">
        <v>42</v>
      </c>
      <c r="U928" t="s">
        <v>42</v>
      </c>
      <c r="V928" t="s">
        <v>42</v>
      </c>
      <c r="W928" t="s">
        <v>42</v>
      </c>
      <c r="X928">
        <v>5</v>
      </c>
      <c r="Y928">
        <v>1</v>
      </c>
      <c r="Z928">
        <v>3</v>
      </c>
      <c r="AA928">
        <v>3</v>
      </c>
      <c r="AB928">
        <v>3</v>
      </c>
      <c r="AC928">
        <v>1</v>
      </c>
      <c r="AD928">
        <v>0</v>
      </c>
      <c r="AE928">
        <v>10</v>
      </c>
      <c r="AF928">
        <v>10</v>
      </c>
      <c r="AG928">
        <v>10</v>
      </c>
    </row>
    <row r="929" spans="1:33" x14ac:dyDescent="0.35">
      <c r="A929" t="s">
        <v>53</v>
      </c>
      <c r="B929" t="s">
        <v>50</v>
      </c>
      <c r="C929">
        <v>16</v>
      </c>
      <c r="D929" t="s">
        <v>35</v>
      </c>
      <c r="E929" t="s">
        <v>36</v>
      </c>
      <c r="F929" t="s">
        <v>44</v>
      </c>
      <c r="G929">
        <v>2</v>
      </c>
      <c r="H929">
        <v>1</v>
      </c>
      <c r="I929" t="s">
        <v>28</v>
      </c>
      <c r="J929" t="s">
        <v>48</v>
      </c>
      <c r="K929" t="s">
        <v>45</v>
      </c>
      <c r="L929" t="s">
        <v>41</v>
      </c>
      <c r="M929">
        <v>2</v>
      </c>
      <c r="N929">
        <v>2</v>
      </c>
      <c r="O929">
        <v>0</v>
      </c>
      <c r="P929" t="s">
        <v>43</v>
      </c>
      <c r="Q929" t="s">
        <v>43</v>
      </c>
      <c r="R929" t="s">
        <v>43</v>
      </c>
      <c r="S929" t="s">
        <v>43</v>
      </c>
      <c r="T929" t="s">
        <v>43</v>
      </c>
      <c r="U929" t="s">
        <v>42</v>
      </c>
      <c r="V929" t="s">
        <v>42</v>
      </c>
      <c r="W929" t="s">
        <v>42</v>
      </c>
      <c r="X929">
        <v>4</v>
      </c>
      <c r="Y929">
        <v>2</v>
      </c>
      <c r="Z929">
        <v>2</v>
      </c>
      <c r="AA929">
        <v>1</v>
      </c>
      <c r="AB929">
        <v>4</v>
      </c>
      <c r="AC929">
        <v>5</v>
      </c>
      <c r="AD929">
        <v>2</v>
      </c>
      <c r="AE929">
        <v>9</v>
      </c>
      <c r="AF929">
        <v>7</v>
      </c>
      <c r="AG929">
        <v>8</v>
      </c>
    </row>
    <row r="930" spans="1:33" x14ac:dyDescent="0.35">
      <c r="A930" t="s">
        <v>53</v>
      </c>
      <c r="B930" t="s">
        <v>34</v>
      </c>
      <c r="C930">
        <v>16</v>
      </c>
      <c r="D930" t="s">
        <v>35</v>
      </c>
      <c r="E930" t="s">
        <v>47</v>
      </c>
      <c r="F930" t="s">
        <v>44</v>
      </c>
      <c r="G930">
        <v>2</v>
      </c>
      <c r="H930">
        <v>1</v>
      </c>
      <c r="I930" t="s">
        <v>45</v>
      </c>
      <c r="J930" t="s">
        <v>48</v>
      </c>
      <c r="K930" t="s">
        <v>45</v>
      </c>
      <c r="L930" t="s">
        <v>41</v>
      </c>
      <c r="M930">
        <v>1</v>
      </c>
      <c r="N930">
        <v>2</v>
      </c>
      <c r="O930">
        <v>0</v>
      </c>
      <c r="P930" t="s">
        <v>43</v>
      </c>
      <c r="Q930" t="s">
        <v>43</v>
      </c>
      <c r="R930" t="s">
        <v>43</v>
      </c>
      <c r="S930" t="s">
        <v>43</v>
      </c>
      <c r="T930" t="s">
        <v>42</v>
      </c>
      <c r="U930" t="s">
        <v>42</v>
      </c>
      <c r="V930" t="s">
        <v>42</v>
      </c>
      <c r="W930" t="s">
        <v>42</v>
      </c>
      <c r="X930">
        <v>3</v>
      </c>
      <c r="Y930">
        <v>2</v>
      </c>
      <c r="Z930">
        <v>2</v>
      </c>
      <c r="AA930">
        <v>1</v>
      </c>
      <c r="AB930">
        <v>1</v>
      </c>
      <c r="AC930">
        <v>3</v>
      </c>
      <c r="AD930">
        <v>0</v>
      </c>
      <c r="AE930">
        <v>14</v>
      </c>
      <c r="AF930">
        <v>15</v>
      </c>
      <c r="AG930">
        <v>16</v>
      </c>
    </row>
    <row r="931" spans="1:33" x14ac:dyDescent="0.35">
      <c r="A931" t="s">
        <v>53</v>
      </c>
      <c r="B931" t="s">
        <v>50</v>
      </c>
      <c r="C931">
        <v>16</v>
      </c>
      <c r="D931" t="s">
        <v>35</v>
      </c>
      <c r="E931" t="s">
        <v>47</v>
      </c>
      <c r="F931" t="s">
        <v>44</v>
      </c>
      <c r="G931">
        <v>4</v>
      </c>
      <c r="H931">
        <v>4</v>
      </c>
      <c r="I931" t="s">
        <v>39</v>
      </c>
      <c r="J931" t="s">
        <v>28</v>
      </c>
      <c r="K931" t="s">
        <v>45</v>
      </c>
      <c r="L931" t="s">
        <v>46</v>
      </c>
      <c r="M931">
        <v>1</v>
      </c>
      <c r="N931">
        <v>1</v>
      </c>
      <c r="O931">
        <v>0</v>
      </c>
      <c r="P931" t="s">
        <v>43</v>
      </c>
      <c r="Q931" t="s">
        <v>42</v>
      </c>
      <c r="R931" t="s">
        <v>43</v>
      </c>
      <c r="S931" t="s">
        <v>43</v>
      </c>
      <c r="T931" t="s">
        <v>42</v>
      </c>
      <c r="U931" t="s">
        <v>42</v>
      </c>
      <c r="V931" t="s">
        <v>42</v>
      </c>
      <c r="W931" t="s">
        <v>43</v>
      </c>
      <c r="X931">
        <v>4</v>
      </c>
      <c r="Y931">
        <v>1</v>
      </c>
      <c r="Z931">
        <v>2</v>
      </c>
      <c r="AA931">
        <v>2</v>
      </c>
      <c r="AB931">
        <v>5</v>
      </c>
      <c r="AC931">
        <v>5</v>
      </c>
      <c r="AD931">
        <v>0</v>
      </c>
      <c r="AE931">
        <v>11</v>
      </c>
      <c r="AF931">
        <v>12</v>
      </c>
      <c r="AG931">
        <v>12</v>
      </c>
    </row>
    <row r="932" spans="1:33" x14ac:dyDescent="0.35">
      <c r="A932" t="s">
        <v>53</v>
      </c>
      <c r="B932" t="s">
        <v>50</v>
      </c>
      <c r="C932">
        <v>15</v>
      </c>
      <c r="D932" t="s">
        <v>52</v>
      </c>
      <c r="E932" t="s">
        <v>36</v>
      </c>
      <c r="F932" t="s">
        <v>44</v>
      </c>
      <c r="G932">
        <v>1</v>
      </c>
      <c r="H932">
        <v>2</v>
      </c>
      <c r="I932" t="s">
        <v>45</v>
      </c>
      <c r="J932" t="s">
        <v>48</v>
      </c>
      <c r="K932" t="s">
        <v>40</v>
      </c>
      <c r="L932" t="s">
        <v>41</v>
      </c>
      <c r="M932">
        <v>3</v>
      </c>
      <c r="N932">
        <v>2</v>
      </c>
      <c r="O932">
        <v>0</v>
      </c>
      <c r="P932" t="s">
        <v>43</v>
      </c>
      <c r="Q932" t="s">
        <v>42</v>
      </c>
      <c r="R932" t="s">
        <v>43</v>
      </c>
      <c r="S932" t="s">
        <v>42</v>
      </c>
      <c r="T932" t="s">
        <v>42</v>
      </c>
      <c r="U932" t="s">
        <v>42</v>
      </c>
      <c r="V932" t="s">
        <v>43</v>
      </c>
      <c r="W932" t="s">
        <v>43</v>
      </c>
      <c r="X932">
        <v>5</v>
      </c>
      <c r="Y932">
        <v>5</v>
      </c>
      <c r="Z932">
        <v>5</v>
      </c>
      <c r="AA932">
        <v>1</v>
      </c>
      <c r="AB932">
        <v>3</v>
      </c>
      <c r="AC932">
        <v>5</v>
      </c>
      <c r="AD932">
        <v>11</v>
      </c>
      <c r="AE932">
        <v>9</v>
      </c>
      <c r="AF932">
        <v>11</v>
      </c>
      <c r="AG932">
        <v>10</v>
      </c>
    </row>
    <row r="933" spans="1:33" x14ac:dyDescent="0.35">
      <c r="A933" t="s">
        <v>53</v>
      </c>
      <c r="B933" t="s">
        <v>50</v>
      </c>
      <c r="C933">
        <v>15</v>
      </c>
      <c r="D933" t="s">
        <v>35</v>
      </c>
      <c r="E933" t="s">
        <v>47</v>
      </c>
      <c r="F933" t="s">
        <v>37</v>
      </c>
      <c r="G933">
        <v>2</v>
      </c>
      <c r="H933">
        <v>2</v>
      </c>
      <c r="I933" t="s">
        <v>45</v>
      </c>
      <c r="J933" t="s">
        <v>45</v>
      </c>
      <c r="K933" t="s">
        <v>51</v>
      </c>
      <c r="L933" t="s">
        <v>41</v>
      </c>
      <c r="M933">
        <v>3</v>
      </c>
      <c r="N933">
        <v>4</v>
      </c>
      <c r="O933">
        <v>0</v>
      </c>
      <c r="P933" t="s">
        <v>43</v>
      </c>
      <c r="Q933" t="s">
        <v>42</v>
      </c>
      <c r="R933" t="s">
        <v>43</v>
      </c>
      <c r="S933" t="s">
        <v>42</v>
      </c>
      <c r="T933" t="s">
        <v>42</v>
      </c>
      <c r="U933" t="s">
        <v>42</v>
      </c>
      <c r="V933" t="s">
        <v>43</v>
      </c>
      <c r="W933" t="s">
        <v>43</v>
      </c>
      <c r="X933">
        <v>5</v>
      </c>
      <c r="Y933">
        <v>4</v>
      </c>
      <c r="Z933">
        <v>5</v>
      </c>
      <c r="AA933">
        <v>2</v>
      </c>
      <c r="AB933">
        <v>3</v>
      </c>
      <c r="AC933">
        <v>5</v>
      </c>
      <c r="AD933">
        <v>8</v>
      </c>
      <c r="AE933">
        <v>13</v>
      </c>
      <c r="AF933">
        <v>14</v>
      </c>
      <c r="AG933">
        <v>14</v>
      </c>
    </row>
    <row r="934" spans="1:33" x14ac:dyDescent="0.35">
      <c r="A934" t="s">
        <v>53</v>
      </c>
      <c r="B934" t="s">
        <v>50</v>
      </c>
      <c r="C934">
        <v>15</v>
      </c>
      <c r="D934" t="s">
        <v>35</v>
      </c>
      <c r="E934" t="s">
        <v>47</v>
      </c>
      <c r="F934" t="s">
        <v>37</v>
      </c>
      <c r="G934">
        <v>2</v>
      </c>
      <c r="H934">
        <v>1</v>
      </c>
      <c r="I934" t="s">
        <v>48</v>
      </c>
      <c r="J934" t="s">
        <v>48</v>
      </c>
      <c r="K934" t="s">
        <v>40</v>
      </c>
      <c r="L934" t="s">
        <v>41</v>
      </c>
      <c r="M934">
        <v>1</v>
      </c>
      <c r="N934">
        <v>1</v>
      </c>
      <c r="O934">
        <v>0</v>
      </c>
      <c r="P934" t="s">
        <v>43</v>
      </c>
      <c r="Q934" t="s">
        <v>43</v>
      </c>
      <c r="R934" t="s">
        <v>43</v>
      </c>
      <c r="S934" t="s">
        <v>42</v>
      </c>
      <c r="T934" t="s">
        <v>42</v>
      </c>
      <c r="U934" t="s">
        <v>42</v>
      </c>
      <c r="V934" t="s">
        <v>42</v>
      </c>
      <c r="W934" t="s">
        <v>43</v>
      </c>
      <c r="X934">
        <v>4</v>
      </c>
      <c r="Y934">
        <v>3</v>
      </c>
      <c r="Z934">
        <v>3</v>
      </c>
      <c r="AA934">
        <v>1</v>
      </c>
      <c r="AB934">
        <v>2</v>
      </c>
      <c r="AC934">
        <v>5</v>
      </c>
      <c r="AD934">
        <v>11</v>
      </c>
      <c r="AE934">
        <v>12</v>
      </c>
      <c r="AF934">
        <v>13</v>
      </c>
      <c r="AG934">
        <v>12</v>
      </c>
    </row>
    <row r="935" spans="1:33" x14ac:dyDescent="0.35">
      <c r="A935" t="s">
        <v>53</v>
      </c>
      <c r="B935" t="s">
        <v>34</v>
      </c>
      <c r="C935">
        <v>16</v>
      </c>
      <c r="D935" t="s">
        <v>52</v>
      </c>
      <c r="E935" t="s">
        <v>47</v>
      </c>
      <c r="F935" t="s">
        <v>44</v>
      </c>
      <c r="G935">
        <v>2</v>
      </c>
      <c r="H935">
        <v>2</v>
      </c>
      <c r="I935" t="s">
        <v>45</v>
      </c>
      <c r="J935" t="s">
        <v>45</v>
      </c>
      <c r="K935" t="s">
        <v>40</v>
      </c>
      <c r="L935" t="s">
        <v>41</v>
      </c>
      <c r="M935">
        <v>1</v>
      </c>
      <c r="N935">
        <v>3</v>
      </c>
      <c r="O935">
        <v>0</v>
      </c>
      <c r="P935" t="s">
        <v>43</v>
      </c>
      <c r="Q935" t="s">
        <v>42</v>
      </c>
      <c r="R935" t="s">
        <v>43</v>
      </c>
      <c r="S935" t="s">
        <v>43</v>
      </c>
      <c r="T935" t="s">
        <v>43</v>
      </c>
      <c r="U935" t="s">
        <v>42</v>
      </c>
      <c r="V935" t="s">
        <v>43</v>
      </c>
      <c r="W935" t="s">
        <v>42</v>
      </c>
      <c r="X935">
        <v>4</v>
      </c>
      <c r="Y935">
        <v>3</v>
      </c>
      <c r="Z935">
        <v>3</v>
      </c>
      <c r="AA935">
        <v>2</v>
      </c>
      <c r="AB935">
        <v>2</v>
      </c>
      <c r="AC935">
        <v>5</v>
      </c>
      <c r="AD935">
        <v>2</v>
      </c>
      <c r="AE935">
        <v>11</v>
      </c>
      <c r="AF935">
        <v>11</v>
      </c>
      <c r="AG935">
        <v>11</v>
      </c>
    </row>
    <row r="936" spans="1:33" x14ac:dyDescent="0.35">
      <c r="A936" t="s">
        <v>53</v>
      </c>
      <c r="B936" t="s">
        <v>34</v>
      </c>
      <c r="C936">
        <v>16</v>
      </c>
      <c r="D936" t="s">
        <v>35</v>
      </c>
      <c r="E936" t="s">
        <v>47</v>
      </c>
      <c r="F936" t="s">
        <v>44</v>
      </c>
      <c r="G936">
        <v>4</v>
      </c>
      <c r="H936">
        <v>1</v>
      </c>
      <c r="I936" t="s">
        <v>45</v>
      </c>
      <c r="J936" t="s">
        <v>45</v>
      </c>
      <c r="K936" t="s">
        <v>49</v>
      </c>
      <c r="L936" t="s">
        <v>41</v>
      </c>
      <c r="M936">
        <v>2</v>
      </c>
      <c r="N936">
        <v>2</v>
      </c>
      <c r="O936">
        <v>0</v>
      </c>
      <c r="P936" t="s">
        <v>43</v>
      </c>
      <c r="Q936" t="s">
        <v>42</v>
      </c>
      <c r="R936" t="s">
        <v>43</v>
      </c>
      <c r="S936" t="s">
        <v>42</v>
      </c>
      <c r="T936" t="s">
        <v>42</v>
      </c>
      <c r="U936" t="s">
        <v>42</v>
      </c>
      <c r="V936" t="s">
        <v>42</v>
      </c>
      <c r="W936" t="s">
        <v>43</v>
      </c>
      <c r="X936">
        <v>1</v>
      </c>
      <c r="Y936">
        <v>2</v>
      </c>
      <c r="Z936">
        <v>4</v>
      </c>
      <c r="AA936">
        <v>2</v>
      </c>
      <c r="AB936">
        <v>2</v>
      </c>
      <c r="AC936">
        <v>1</v>
      </c>
      <c r="AD936">
        <v>8</v>
      </c>
      <c r="AE936">
        <v>9</v>
      </c>
      <c r="AF936">
        <v>10</v>
      </c>
      <c r="AG936">
        <v>10</v>
      </c>
    </row>
    <row r="937" spans="1:33" x14ac:dyDescent="0.35">
      <c r="A937" t="s">
        <v>53</v>
      </c>
      <c r="B937" t="s">
        <v>34</v>
      </c>
      <c r="C937">
        <v>17</v>
      </c>
      <c r="D937" t="s">
        <v>35</v>
      </c>
      <c r="E937" t="s">
        <v>36</v>
      </c>
      <c r="F937" t="s">
        <v>44</v>
      </c>
      <c r="G937">
        <v>3</v>
      </c>
      <c r="H937">
        <v>2</v>
      </c>
      <c r="I937" t="s">
        <v>38</v>
      </c>
      <c r="J937" t="s">
        <v>45</v>
      </c>
      <c r="K937" t="s">
        <v>49</v>
      </c>
      <c r="L937" t="s">
        <v>41</v>
      </c>
      <c r="M937">
        <v>2</v>
      </c>
      <c r="N937">
        <v>1</v>
      </c>
      <c r="O937">
        <v>0</v>
      </c>
      <c r="P937" t="s">
        <v>43</v>
      </c>
      <c r="Q937" t="s">
        <v>43</v>
      </c>
      <c r="R937" t="s">
        <v>43</v>
      </c>
      <c r="S937" t="s">
        <v>43</v>
      </c>
      <c r="T937" t="s">
        <v>42</v>
      </c>
      <c r="U937" t="s">
        <v>42</v>
      </c>
      <c r="V937" t="s">
        <v>43</v>
      </c>
      <c r="W937" t="s">
        <v>42</v>
      </c>
      <c r="X937">
        <v>4</v>
      </c>
      <c r="Y937">
        <v>3</v>
      </c>
      <c r="Z937">
        <v>3</v>
      </c>
      <c r="AA937">
        <v>2</v>
      </c>
      <c r="AB937">
        <v>2</v>
      </c>
      <c r="AC937">
        <v>1</v>
      </c>
      <c r="AD937">
        <v>5</v>
      </c>
      <c r="AE937">
        <v>9</v>
      </c>
      <c r="AF937">
        <v>11</v>
      </c>
      <c r="AG937">
        <v>11</v>
      </c>
    </row>
    <row r="938" spans="1:33" x14ac:dyDescent="0.35">
      <c r="A938" t="s">
        <v>53</v>
      </c>
      <c r="B938" t="s">
        <v>34</v>
      </c>
      <c r="C938">
        <v>17</v>
      </c>
      <c r="D938" t="s">
        <v>52</v>
      </c>
      <c r="E938" t="s">
        <v>36</v>
      </c>
      <c r="F938" t="s">
        <v>44</v>
      </c>
      <c r="G938">
        <v>2</v>
      </c>
      <c r="H938">
        <v>2</v>
      </c>
      <c r="I938" t="s">
        <v>45</v>
      </c>
      <c r="J938" t="s">
        <v>45</v>
      </c>
      <c r="K938" t="s">
        <v>45</v>
      </c>
      <c r="L938" t="s">
        <v>41</v>
      </c>
      <c r="M938">
        <v>2</v>
      </c>
      <c r="N938">
        <v>2</v>
      </c>
      <c r="O938">
        <v>0</v>
      </c>
      <c r="P938" t="s">
        <v>42</v>
      </c>
      <c r="Q938" t="s">
        <v>43</v>
      </c>
      <c r="R938" t="s">
        <v>42</v>
      </c>
      <c r="S938" t="s">
        <v>43</v>
      </c>
      <c r="T938" t="s">
        <v>42</v>
      </c>
      <c r="U938" t="s">
        <v>42</v>
      </c>
      <c r="V938" t="s">
        <v>43</v>
      </c>
      <c r="W938" t="s">
        <v>43</v>
      </c>
      <c r="X938">
        <v>5</v>
      </c>
      <c r="Y938">
        <v>1</v>
      </c>
      <c r="Z938">
        <v>3</v>
      </c>
      <c r="AA938">
        <v>1</v>
      </c>
      <c r="AB938">
        <v>1</v>
      </c>
      <c r="AC938">
        <v>5</v>
      </c>
      <c r="AD938">
        <v>0</v>
      </c>
      <c r="AE938">
        <v>11</v>
      </c>
      <c r="AF938">
        <v>9</v>
      </c>
      <c r="AG938">
        <v>11</v>
      </c>
    </row>
    <row r="939" spans="1:33" x14ac:dyDescent="0.35">
      <c r="A939" t="s">
        <v>53</v>
      </c>
      <c r="B939" t="s">
        <v>34</v>
      </c>
      <c r="C939">
        <v>16</v>
      </c>
      <c r="D939" t="s">
        <v>35</v>
      </c>
      <c r="E939" t="s">
        <v>36</v>
      </c>
      <c r="F939" t="s">
        <v>44</v>
      </c>
      <c r="G939">
        <v>4</v>
      </c>
      <c r="H939">
        <v>4</v>
      </c>
      <c r="I939" t="s">
        <v>39</v>
      </c>
      <c r="J939" t="s">
        <v>48</v>
      </c>
      <c r="K939" t="s">
        <v>40</v>
      </c>
      <c r="L939" t="s">
        <v>41</v>
      </c>
      <c r="M939">
        <v>2</v>
      </c>
      <c r="N939">
        <v>3</v>
      </c>
      <c r="O939">
        <v>0</v>
      </c>
      <c r="P939" t="s">
        <v>43</v>
      </c>
      <c r="Q939" t="s">
        <v>42</v>
      </c>
      <c r="R939" t="s">
        <v>43</v>
      </c>
      <c r="S939" t="s">
        <v>43</v>
      </c>
      <c r="T939" t="s">
        <v>42</v>
      </c>
      <c r="U939" t="s">
        <v>42</v>
      </c>
      <c r="V939" t="s">
        <v>42</v>
      </c>
      <c r="W939" t="s">
        <v>42</v>
      </c>
      <c r="X939">
        <v>5</v>
      </c>
      <c r="Y939">
        <v>3</v>
      </c>
      <c r="Z939">
        <v>5</v>
      </c>
      <c r="AA939">
        <v>1</v>
      </c>
      <c r="AB939">
        <v>4</v>
      </c>
      <c r="AC939">
        <v>5</v>
      </c>
      <c r="AD939">
        <v>1</v>
      </c>
      <c r="AE939">
        <v>10</v>
      </c>
      <c r="AF939">
        <v>11</v>
      </c>
      <c r="AG939">
        <v>12</v>
      </c>
    </row>
    <row r="940" spans="1:33" x14ac:dyDescent="0.35">
      <c r="A940" t="s">
        <v>53</v>
      </c>
      <c r="B940" t="s">
        <v>50</v>
      </c>
      <c r="C940">
        <v>17</v>
      </c>
      <c r="D940" t="s">
        <v>52</v>
      </c>
      <c r="E940" t="s">
        <v>36</v>
      </c>
      <c r="F940" t="s">
        <v>44</v>
      </c>
      <c r="G940">
        <v>4</v>
      </c>
      <c r="H940">
        <v>4</v>
      </c>
      <c r="I940" t="s">
        <v>28</v>
      </c>
      <c r="J940" t="s">
        <v>45</v>
      </c>
      <c r="K940" t="s">
        <v>40</v>
      </c>
      <c r="L940" t="s">
        <v>46</v>
      </c>
      <c r="M940">
        <v>3</v>
      </c>
      <c r="N940">
        <v>1</v>
      </c>
      <c r="O940">
        <v>3</v>
      </c>
      <c r="P940" t="s">
        <v>43</v>
      </c>
      <c r="Q940" t="s">
        <v>43</v>
      </c>
      <c r="R940" t="s">
        <v>43</v>
      </c>
      <c r="S940" t="s">
        <v>42</v>
      </c>
      <c r="T940" t="s">
        <v>42</v>
      </c>
      <c r="U940" t="s">
        <v>42</v>
      </c>
      <c r="V940" t="s">
        <v>42</v>
      </c>
      <c r="W940" t="s">
        <v>42</v>
      </c>
      <c r="X940">
        <v>3</v>
      </c>
      <c r="Y940">
        <v>3</v>
      </c>
      <c r="Z940">
        <v>3</v>
      </c>
      <c r="AA940">
        <v>1</v>
      </c>
      <c r="AB940">
        <v>3</v>
      </c>
      <c r="AC940">
        <v>5</v>
      </c>
      <c r="AD940">
        <v>2</v>
      </c>
      <c r="AE940">
        <v>9</v>
      </c>
      <c r="AF940">
        <v>9</v>
      </c>
      <c r="AG940">
        <v>8</v>
      </c>
    </row>
    <row r="941" spans="1:33" x14ac:dyDescent="0.35">
      <c r="A941" t="s">
        <v>53</v>
      </c>
      <c r="B941" t="s">
        <v>50</v>
      </c>
      <c r="C941">
        <v>17</v>
      </c>
      <c r="D941" t="s">
        <v>52</v>
      </c>
      <c r="E941" t="s">
        <v>47</v>
      </c>
      <c r="F941" t="s">
        <v>44</v>
      </c>
      <c r="G941">
        <v>1</v>
      </c>
      <c r="H941">
        <v>3</v>
      </c>
      <c r="I941" t="s">
        <v>45</v>
      </c>
      <c r="J941" t="s">
        <v>45</v>
      </c>
      <c r="K941" t="s">
        <v>40</v>
      </c>
      <c r="L941" t="s">
        <v>46</v>
      </c>
      <c r="M941">
        <v>2</v>
      </c>
      <c r="N941">
        <v>1</v>
      </c>
      <c r="O941">
        <v>0</v>
      </c>
      <c r="P941" t="s">
        <v>43</v>
      </c>
      <c r="Q941" t="s">
        <v>43</v>
      </c>
      <c r="R941" t="s">
        <v>43</v>
      </c>
      <c r="S941" t="s">
        <v>42</v>
      </c>
      <c r="T941" t="s">
        <v>42</v>
      </c>
      <c r="U941" t="s">
        <v>42</v>
      </c>
      <c r="V941" t="s">
        <v>43</v>
      </c>
      <c r="W941" t="s">
        <v>42</v>
      </c>
      <c r="X941">
        <v>5</v>
      </c>
      <c r="Y941">
        <v>1</v>
      </c>
      <c r="Z941">
        <v>2</v>
      </c>
      <c r="AA941">
        <v>3</v>
      </c>
      <c r="AB941">
        <v>3</v>
      </c>
      <c r="AC941">
        <v>5</v>
      </c>
      <c r="AD941">
        <v>2</v>
      </c>
      <c r="AE941">
        <v>12</v>
      </c>
      <c r="AF941">
        <v>11</v>
      </c>
      <c r="AG941">
        <v>12</v>
      </c>
    </row>
    <row r="942" spans="1:33" x14ac:dyDescent="0.35">
      <c r="A942" t="s">
        <v>53</v>
      </c>
      <c r="B942" t="s">
        <v>50</v>
      </c>
      <c r="C942">
        <v>17</v>
      </c>
      <c r="D942" t="s">
        <v>35</v>
      </c>
      <c r="E942" t="s">
        <v>36</v>
      </c>
      <c r="F942" t="s">
        <v>44</v>
      </c>
      <c r="G942">
        <v>3</v>
      </c>
      <c r="H942">
        <v>4</v>
      </c>
      <c r="I942" t="s">
        <v>48</v>
      </c>
      <c r="J942" t="s">
        <v>45</v>
      </c>
      <c r="K942" t="s">
        <v>45</v>
      </c>
      <c r="L942" t="s">
        <v>41</v>
      </c>
      <c r="M942">
        <v>1</v>
      </c>
      <c r="N942">
        <v>2</v>
      </c>
      <c r="O942">
        <v>1</v>
      </c>
      <c r="P942" t="s">
        <v>43</v>
      </c>
      <c r="Q942" t="s">
        <v>42</v>
      </c>
      <c r="R942" t="s">
        <v>43</v>
      </c>
      <c r="S942" t="s">
        <v>42</v>
      </c>
      <c r="T942" t="s">
        <v>43</v>
      </c>
      <c r="U942" t="s">
        <v>42</v>
      </c>
      <c r="V942" t="s">
        <v>42</v>
      </c>
      <c r="W942" t="s">
        <v>42</v>
      </c>
      <c r="X942">
        <v>5</v>
      </c>
      <c r="Y942">
        <v>4</v>
      </c>
      <c r="Z942">
        <v>4</v>
      </c>
      <c r="AA942">
        <v>3</v>
      </c>
      <c r="AB942">
        <v>4</v>
      </c>
      <c r="AC942">
        <v>5</v>
      </c>
      <c r="AD942">
        <v>8</v>
      </c>
      <c r="AE942">
        <v>8</v>
      </c>
      <c r="AF942">
        <v>9</v>
      </c>
      <c r="AG942">
        <v>8</v>
      </c>
    </row>
    <row r="943" spans="1:33" x14ac:dyDescent="0.35">
      <c r="A943" t="s">
        <v>53</v>
      </c>
      <c r="B943" t="s">
        <v>34</v>
      </c>
      <c r="C943">
        <v>17</v>
      </c>
      <c r="D943" t="s">
        <v>35</v>
      </c>
      <c r="E943" t="s">
        <v>36</v>
      </c>
      <c r="F943" t="s">
        <v>44</v>
      </c>
      <c r="G943">
        <v>4</v>
      </c>
      <c r="H943">
        <v>4</v>
      </c>
      <c r="I943" t="s">
        <v>28</v>
      </c>
      <c r="J943" t="s">
        <v>28</v>
      </c>
      <c r="K943" t="s">
        <v>40</v>
      </c>
      <c r="L943" t="s">
        <v>46</v>
      </c>
      <c r="M943">
        <v>1</v>
      </c>
      <c r="N943">
        <v>2</v>
      </c>
      <c r="O943">
        <v>0</v>
      </c>
      <c r="P943" t="s">
        <v>43</v>
      </c>
      <c r="Q943" t="s">
        <v>42</v>
      </c>
      <c r="R943" t="s">
        <v>43</v>
      </c>
      <c r="S943" t="s">
        <v>43</v>
      </c>
      <c r="T943" t="s">
        <v>42</v>
      </c>
      <c r="U943" t="s">
        <v>42</v>
      </c>
      <c r="V943" t="s">
        <v>42</v>
      </c>
      <c r="W943" t="s">
        <v>43</v>
      </c>
      <c r="X943">
        <v>5</v>
      </c>
      <c r="Y943">
        <v>2</v>
      </c>
      <c r="Z943">
        <v>5</v>
      </c>
      <c r="AA943">
        <v>1</v>
      </c>
      <c r="AB943">
        <v>1</v>
      </c>
      <c r="AC943">
        <v>5</v>
      </c>
      <c r="AD943">
        <v>0</v>
      </c>
      <c r="AE943">
        <v>13</v>
      </c>
      <c r="AF943">
        <v>15</v>
      </c>
      <c r="AG943">
        <v>16</v>
      </c>
    </row>
    <row r="944" spans="1:33" x14ac:dyDescent="0.35">
      <c r="A944" t="s">
        <v>53</v>
      </c>
      <c r="B944" t="s">
        <v>50</v>
      </c>
      <c r="C944">
        <v>16</v>
      </c>
      <c r="D944" t="s">
        <v>52</v>
      </c>
      <c r="E944" t="s">
        <v>47</v>
      </c>
      <c r="F944" t="s">
        <v>44</v>
      </c>
      <c r="G944">
        <v>4</v>
      </c>
      <c r="H944">
        <v>1</v>
      </c>
      <c r="I944" t="s">
        <v>45</v>
      </c>
      <c r="J944" t="s">
        <v>38</v>
      </c>
      <c r="K944" t="s">
        <v>45</v>
      </c>
      <c r="L944" t="s">
        <v>46</v>
      </c>
      <c r="M944">
        <v>1</v>
      </c>
      <c r="N944">
        <v>1</v>
      </c>
      <c r="O944">
        <v>0</v>
      </c>
      <c r="P944" t="s">
        <v>43</v>
      </c>
      <c r="Q944" t="s">
        <v>43</v>
      </c>
      <c r="R944" t="s">
        <v>43</v>
      </c>
      <c r="S944" t="s">
        <v>43</v>
      </c>
      <c r="T944" t="s">
        <v>42</v>
      </c>
      <c r="U944" t="s">
        <v>42</v>
      </c>
      <c r="V944" t="s">
        <v>42</v>
      </c>
      <c r="W944" t="s">
        <v>43</v>
      </c>
      <c r="X944">
        <v>4</v>
      </c>
      <c r="Y944">
        <v>1</v>
      </c>
      <c r="Z944">
        <v>2</v>
      </c>
      <c r="AA944">
        <v>2</v>
      </c>
      <c r="AB944">
        <v>1</v>
      </c>
      <c r="AC944">
        <v>2</v>
      </c>
      <c r="AD944">
        <v>0</v>
      </c>
      <c r="AE944">
        <v>10</v>
      </c>
      <c r="AF944">
        <v>11</v>
      </c>
      <c r="AG944">
        <v>11</v>
      </c>
    </row>
    <row r="945" spans="1:33" x14ac:dyDescent="0.35">
      <c r="A945" t="s">
        <v>53</v>
      </c>
      <c r="B945" t="s">
        <v>34</v>
      </c>
      <c r="C945">
        <v>17</v>
      </c>
      <c r="D945" t="s">
        <v>35</v>
      </c>
      <c r="E945" t="s">
        <v>36</v>
      </c>
      <c r="F945" t="s">
        <v>37</v>
      </c>
      <c r="G945">
        <v>1</v>
      </c>
      <c r="H945">
        <v>1</v>
      </c>
      <c r="I945" t="s">
        <v>38</v>
      </c>
      <c r="J945" t="s">
        <v>38</v>
      </c>
      <c r="K945" t="s">
        <v>45</v>
      </c>
      <c r="L945" t="s">
        <v>41</v>
      </c>
      <c r="M945">
        <v>1</v>
      </c>
      <c r="N945">
        <v>2</v>
      </c>
      <c r="O945">
        <v>0</v>
      </c>
      <c r="P945" t="s">
        <v>43</v>
      </c>
      <c r="Q945" t="s">
        <v>43</v>
      </c>
      <c r="R945" t="s">
        <v>43</v>
      </c>
      <c r="S945" t="s">
        <v>42</v>
      </c>
      <c r="T945" t="s">
        <v>42</v>
      </c>
      <c r="U945" t="s">
        <v>42</v>
      </c>
      <c r="V945" t="s">
        <v>42</v>
      </c>
      <c r="W945" t="s">
        <v>42</v>
      </c>
      <c r="X945">
        <v>4</v>
      </c>
      <c r="Y945">
        <v>5</v>
      </c>
      <c r="Z945">
        <v>5</v>
      </c>
      <c r="AA945">
        <v>1</v>
      </c>
      <c r="AB945">
        <v>2</v>
      </c>
      <c r="AC945">
        <v>3</v>
      </c>
      <c r="AD945">
        <v>2</v>
      </c>
      <c r="AE945">
        <v>11</v>
      </c>
      <c r="AF945">
        <v>10</v>
      </c>
      <c r="AG945">
        <v>11</v>
      </c>
    </row>
    <row r="946" spans="1:33" x14ac:dyDescent="0.35">
      <c r="A946" t="s">
        <v>53</v>
      </c>
      <c r="B946" t="s">
        <v>34</v>
      </c>
      <c r="C946">
        <v>17</v>
      </c>
      <c r="D946" t="s">
        <v>52</v>
      </c>
      <c r="E946" t="s">
        <v>36</v>
      </c>
      <c r="F946" t="s">
        <v>44</v>
      </c>
      <c r="G946">
        <v>4</v>
      </c>
      <c r="H946">
        <v>2</v>
      </c>
      <c r="I946" t="s">
        <v>45</v>
      </c>
      <c r="J946" t="s">
        <v>45</v>
      </c>
      <c r="K946" t="s">
        <v>40</v>
      </c>
      <c r="L946" t="s">
        <v>41</v>
      </c>
      <c r="M946">
        <v>2</v>
      </c>
      <c r="N946">
        <v>2</v>
      </c>
      <c r="O946">
        <v>0</v>
      </c>
      <c r="P946" t="s">
        <v>42</v>
      </c>
      <c r="Q946" t="s">
        <v>42</v>
      </c>
      <c r="R946" t="s">
        <v>43</v>
      </c>
      <c r="S946" t="s">
        <v>43</v>
      </c>
      <c r="T946" t="s">
        <v>43</v>
      </c>
      <c r="U946" t="s">
        <v>42</v>
      </c>
      <c r="V946" t="s">
        <v>42</v>
      </c>
      <c r="W946" t="s">
        <v>43</v>
      </c>
      <c r="X946">
        <v>4</v>
      </c>
      <c r="Y946">
        <v>3</v>
      </c>
      <c r="Z946">
        <v>3</v>
      </c>
      <c r="AA946">
        <v>2</v>
      </c>
      <c r="AB946">
        <v>3</v>
      </c>
      <c r="AC946">
        <v>5</v>
      </c>
      <c r="AD946">
        <v>0</v>
      </c>
      <c r="AE946">
        <v>17</v>
      </c>
      <c r="AF946">
        <v>18</v>
      </c>
      <c r="AG946">
        <v>18</v>
      </c>
    </row>
    <row r="947" spans="1:33" x14ac:dyDescent="0.35">
      <c r="A947" t="s">
        <v>53</v>
      </c>
      <c r="B947" t="s">
        <v>50</v>
      </c>
      <c r="C947">
        <v>16</v>
      </c>
      <c r="D947" t="s">
        <v>35</v>
      </c>
      <c r="E947" t="s">
        <v>47</v>
      </c>
      <c r="F947" t="s">
        <v>37</v>
      </c>
      <c r="G947">
        <v>2</v>
      </c>
      <c r="H947">
        <v>2</v>
      </c>
      <c r="I947" t="s">
        <v>45</v>
      </c>
      <c r="J947" t="s">
        <v>48</v>
      </c>
      <c r="K947" t="s">
        <v>40</v>
      </c>
      <c r="L947" t="s">
        <v>46</v>
      </c>
      <c r="M947">
        <v>2</v>
      </c>
      <c r="N947">
        <v>2</v>
      </c>
      <c r="O947">
        <v>0</v>
      </c>
      <c r="P947" t="s">
        <v>43</v>
      </c>
      <c r="Q947" t="s">
        <v>42</v>
      </c>
      <c r="R947" t="s">
        <v>43</v>
      </c>
      <c r="S947" t="s">
        <v>43</v>
      </c>
      <c r="T947" t="s">
        <v>43</v>
      </c>
      <c r="U947" t="s">
        <v>42</v>
      </c>
      <c r="V947" t="s">
        <v>42</v>
      </c>
      <c r="W947" t="s">
        <v>42</v>
      </c>
      <c r="X947">
        <v>4</v>
      </c>
      <c r="Y947">
        <v>1</v>
      </c>
      <c r="Z947">
        <v>2</v>
      </c>
      <c r="AA947">
        <v>2</v>
      </c>
      <c r="AB947">
        <v>2</v>
      </c>
      <c r="AC947">
        <v>5</v>
      </c>
      <c r="AD947">
        <v>0</v>
      </c>
      <c r="AE947">
        <v>12</v>
      </c>
      <c r="AF947">
        <v>13</v>
      </c>
      <c r="AG947">
        <v>13</v>
      </c>
    </row>
    <row r="948" spans="1:33" x14ac:dyDescent="0.35">
      <c r="A948" t="s">
        <v>53</v>
      </c>
      <c r="B948" t="s">
        <v>50</v>
      </c>
      <c r="C948">
        <v>17</v>
      </c>
      <c r="D948" t="s">
        <v>35</v>
      </c>
      <c r="E948" t="s">
        <v>36</v>
      </c>
      <c r="F948" t="s">
        <v>44</v>
      </c>
      <c r="G948">
        <v>3</v>
      </c>
      <c r="H948">
        <v>2</v>
      </c>
      <c r="I948" t="s">
        <v>45</v>
      </c>
      <c r="J948" t="s">
        <v>45</v>
      </c>
      <c r="K948" t="s">
        <v>45</v>
      </c>
      <c r="L948" t="s">
        <v>46</v>
      </c>
      <c r="M948">
        <v>2</v>
      </c>
      <c r="N948">
        <v>2</v>
      </c>
      <c r="O948">
        <v>0</v>
      </c>
      <c r="P948" t="s">
        <v>43</v>
      </c>
      <c r="Q948" t="s">
        <v>42</v>
      </c>
      <c r="R948" t="s">
        <v>42</v>
      </c>
      <c r="S948" t="s">
        <v>43</v>
      </c>
      <c r="T948" t="s">
        <v>42</v>
      </c>
      <c r="U948" t="s">
        <v>42</v>
      </c>
      <c r="V948" t="s">
        <v>42</v>
      </c>
      <c r="W948" t="s">
        <v>43</v>
      </c>
      <c r="X948">
        <v>4</v>
      </c>
      <c r="Y948">
        <v>1</v>
      </c>
      <c r="Z948">
        <v>2</v>
      </c>
      <c r="AA948">
        <v>2</v>
      </c>
      <c r="AB948">
        <v>2</v>
      </c>
      <c r="AC948">
        <v>1</v>
      </c>
      <c r="AD948">
        <v>0</v>
      </c>
      <c r="AE948">
        <v>13</v>
      </c>
      <c r="AF948">
        <v>14</v>
      </c>
      <c r="AG948">
        <v>13</v>
      </c>
    </row>
    <row r="949" spans="1:33" x14ac:dyDescent="0.35">
      <c r="A949" t="s">
        <v>53</v>
      </c>
      <c r="B949" t="s">
        <v>50</v>
      </c>
      <c r="C949">
        <v>19</v>
      </c>
      <c r="D949" t="s">
        <v>35</v>
      </c>
      <c r="E949" t="s">
        <v>36</v>
      </c>
      <c r="F949" t="s">
        <v>44</v>
      </c>
      <c r="G949">
        <v>1</v>
      </c>
      <c r="H949">
        <v>1</v>
      </c>
      <c r="I949" t="s">
        <v>45</v>
      </c>
      <c r="J949" t="s">
        <v>45</v>
      </c>
      <c r="K949" t="s">
        <v>45</v>
      </c>
      <c r="L949" t="s">
        <v>41</v>
      </c>
      <c r="M949">
        <v>1</v>
      </c>
      <c r="N949">
        <v>2</v>
      </c>
      <c r="O949">
        <v>2</v>
      </c>
      <c r="P949" t="s">
        <v>43</v>
      </c>
      <c r="Q949" t="s">
        <v>42</v>
      </c>
      <c r="R949" t="s">
        <v>43</v>
      </c>
      <c r="S949" t="s">
        <v>42</v>
      </c>
      <c r="T949" t="s">
        <v>42</v>
      </c>
      <c r="U949" t="s">
        <v>43</v>
      </c>
      <c r="V949" t="s">
        <v>42</v>
      </c>
      <c r="W949" t="s">
        <v>43</v>
      </c>
      <c r="X949">
        <v>4</v>
      </c>
      <c r="Y949">
        <v>4</v>
      </c>
      <c r="Z949">
        <v>3</v>
      </c>
      <c r="AA949">
        <v>3</v>
      </c>
      <c r="AB949">
        <v>4</v>
      </c>
      <c r="AC949">
        <v>4</v>
      </c>
      <c r="AD949">
        <v>2</v>
      </c>
      <c r="AE949">
        <v>9</v>
      </c>
      <c r="AF949">
        <v>9</v>
      </c>
      <c r="AG949">
        <v>10</v>
      </c>
    </row>
    <row r="950" spans="1:33" x14ac:dyDescent="0.35">
      <c r="A950" t="s">
        <v>53</v>
      </c>
      <c r="B950" t="s">
        <v>50</v>
      </c>
      <c r="C950">
        <v>17</v>
      </c>
      <c r="D950" t="s">
        <v>35</v>
      </c>
      <c r="E950" t="s">
        <v>47</v>
      </c>
      <c r="F950" t="s">
        <v>37</v>
      </c>
      <c r="G950">
        <v>1</v>
      </c>
      <c r="H950">
        <v>0</v>
      </c>
      <c r="I950" t="s">
        <v>45</v>
      </c>
      <c r="J950" t="s">
        <v>45</v>
      </c>
      <c r="K950" t="s">
        <v>49</v>
      </c>
      <c r="L950" t="s">
        <v>41</v>
      </c>
      <c r="M950">
        <v>1</v>
      </c>
      <c r="N950">
        <v>1</v>
      </c>
      <c r="O950">
        <v>0</v>
      </c>
      <c r="P950" t="s">
        <v>43</v>
      </c>
      <c r="Q950" t="s">
        <v>43</v>
      </c>
      <c r="R950" t="s">
        <v>43</v>
      </c>
      <c r="S950" t="s">
        <v>43</v>
      </c>
      <c r="T950" t="s">
        <v>42</v>
      </c>
      <c r="U950" t="s">
        <v>42</v>
      </c>
      <c r="V950" t="s">
        <v>43</v>
      </c>
      <c r="W950" t="s">
        <v>42</v>
      </c>
      <c r="X950">
        <v>4</v>
      </c>
      <c r="Y950">
        <v>1</v>
      </c>
      <c r="Z950">
        <v>2</v>
      </c>
      <c r="AA950">
        <v>1</v>
      </c>
      <c r="AB950">
        <v>1</v>
      </c>
      <c r="AC950">
        <v>5</v>
      </c>
      <c r="AD950">
        <v>4</v>
      </c>
      <c r="AE950">
        <v>11</v>
      </c>
      <c r="AF950">
        <v>11</v>
      </c>
      <c r="AG950">
        <v>12</v>
      </c>
    </row>
    <row r="951" spans="1:33" x14ac:dyDescent="0.35">
      <c r="A951" t="s">
        <v>53</v>
      </c>
      <c r="B951" t="s">
        <v>34</v>
      </c>
      <c r="C951">
        <v>17</v>
      </c>
      <c r="D951" t="s">
        <v>52</v>
      </c>
      <c r="E951" t="s">
        <v>36</v>
      </c>
      <c r="F951" t="s">
        <v>44</v>
      </c>
      <c r="G951">
        <v>1</v>
      </c>
      <c r="H951">
        <v>1</v>
      </c>
      <c r="I951" t="s">
        <v>38</v>
      </c>
      <c r="J951" t="s">
        <v>38</v>
      </c>
      <c r="K951" t="s">
        <v>40</v>
      </c>
      <c r="L951" t="s">
        <v>46</v>
      </c>
      <c r="M951">
        <v>2</v>
      </c>
      <c r="N951">
        <v>1</v>
      </c>
      <c r="O951">
        <v>0</v>
      </c>
      <c r="P951" t="s">
        <v>43</v>
      </c>
      <c r="Q951" t="s">
        <v>42</v>
      </c>
      <c r="R951" t="s">
        <v>43</v>
      </c>
      <c r="S951" t="s">
        <v>42</v>
      </c>
      <c r="T951" t="s">
        <v>42</v>
      </c>
      <c r="U951" t="s">
        <v>43</v>
      </c>
      <c r="V951" t="s">
        <v>42</v>
      </c>
      <c r="W951" t="s">
        <v>42</v>
      </c>
      <c r="X951">
        <v>3</v>
      </c>
      <c r="Y951">
        <v>5</v>
      </c>
      <c r="Z951">
        <v>5</v>
      </c>
      <c r="AA951">
        <v>2</v>
      </c>
      <c r="AB951">
        <v>2</v>
      </c>
      <c r="AC951">
        <v>4</v>
      </c>
      <c r="AD951">
        <v>3</v>
      </c>
      <c r="AE951">
        <v>10</v>
      </c>
      <c r="AF951">
        <v>11</v>
      </c>
      <c r="AG951">
        <v>10</v>
      </c>
    </row>
    <row r="952" spans="1:33" x14ac:dyDescent="0.35">
      <c r="A952" t="s">
        <v>53</v>
      </c>
      <c r="B952" t="s">
        <v>34</v>
      </c>
      <c r="C952">
        <v>16</v>
      </c>
      <c r="D952" t="s">
        <v>52</v>
      </c>
      <c r="E952" t="s">
        <v>36</v>
      </c>
      <c r="F952" t="s">
        <v>44</v>
      </c>
      <c r="G952">
        <v>1</v>
      </c>
      <c r="H952">
        <v>2</v>
      </c>
      <c r="I952" t="s">
        <v>45</v>
      </c>
      <c r="J952" t="s">
        <v>45</v>
      </c>
      <c r="K952" t="s">
        <v>49</v>
      </c>
      <c r="L952" t="s">
        <v>46</v>
      </c>
      <c r="M952">
        <v>1</v>
      </c>
      <c r="N952">
        <v>3</v>
      </c>
      <c r="O952">
        <v>0</v>
      </c>
      <c r="P952" t="s">
        <v>42</v>
      </c>
      <c r="Q952" t="s">
        <v>42</v>
      </c>
      <c r="R952" t="s">
        <v>43</v>
      </c>
      <c r="S952" t="s">
        <v>43</v>
      </c>
      <c r="T952" t="s">
        <v>43</v>
      </c>
      <c r="U952" t="s">
        <v>42</v>
      </c>
      <c r="V952" t="s">
        <v>42</v>
      </c>
      <c r="W952" t="s">
        <v>42</v>
      </c>
      <c r="X952">
        <v>4</v>
      </c>
      <c r="Y952">
        <v>3</v>
      </c>
      <c r="Z952">
        <v>4</v>
      </c>
      <c r="AA952">
        <v>1</v>
      </c>
      <c r="AB952">
        <v>1</v>
      </c>
      <c r="AC952">
        <v>3</v>
      </c>
      <c r="AD952">
        <v>5</v>
      </c>
      <c r="AE952">
        <v>13</v>
      </c>
      <c r="AF952">
        <v>14</v>
      </c>
      <c r="AG952">
        <v>13</v>
      </c>
    </row>
    <row r="953" spans="1:33" x14ac:dyDescent="0.35">
      <c r="A953" t="s">
        <v>53</v>
      </c>
      <c r="B953" t="s">
        <v>50</v>
      </c>
      <c r="C953">
        <v>16</v>
      </c>
      <c r="D953" t="s">
        <v>52</v>
      </c>
      <c r="E953" t="s">
        <v>47</v>
      </c>
      <c r="F953" t="s">
        <v>44</v>
      </c>
      <c r="G953">
        <v>1</v>
      </c>
      <c r="H953">
        <v>2</v>
      </c>
      <c r="I953" t="s">
        <v>45</v>
      </c>
      <c r="J953" t="s">
        <v>38</v>
      </c>
      <c r="K953" t="s">
        <v>40</v>
      </c>
      <c r="L953" t="s">
        <v>41</v>
      </c>
      <c r="M953">
        <v>1</v>
      </c>
      <c r="N953">
        <v>1</v>
      </c>
      <c r="O953">
        <v>0</v>
      </c>
      <c r="P953" t="s">
        <v>43</v>
      </c>
      <c r="Q953" t="s">
        <v>43</v>
      </c>
      <c r="R953" t="s">
        <v>43</v>
      </c>
      <c r="S953" t="s">
        <v>43</v>
      </c>
      <c r="T953" t="s">
        <v>42</v>
      </c>
      <c r="U953" t="s">
        <v>42</v>
      </c>
      <c r="V953" t="s">
        <v>43</v>
      </c>
      <c r="W953" t="s">
        <v>43</v>
      </c>
      <c r="X953">
        <v>4</v>
      </c>
      <c r="Y953">
        <v>4</v>
      </c>
      <c r="Z953">
        <v>4</v>
      </c>
      <c r="AA953">
        <v>2</v>
      </c>
      <c r="AB953">
        <v>4</v>
      </c>
      <c r="AC953">
        <v>5</v>
      </c>
      <c r="AD953">
        <v>4</v>
      </c>
      <c r="AE953">
        <v>9</v>
      </c>
      <c r="AF953">
        <v>10</v>
      </c>
      <c r="AG953">
        <v>11</v>
      </c>
    </row>
    <row r="954" spans="1:33" x14ac:dyDescent="0.35">
      <c r="A954" t="s">
        <v>53</v>
      </c>
      <c r="B954" t="s">
        <v>34</v>
      </c>
      <c r="C954">
        <v>17</v>
      </c>
      <c r="D954" t="s">
        <v>52</v>
      </c>
      <c r="E954" t="s">
        <v>36</v>
      </c>
      <c r="F954" t="s">
        <v>44</v>
      </c>
      <c r="G954">
        <v>3</v>
      </c>
      <c r="H954">
        <v>1</v>
      </c>
      <c r="I954" t="s">
        <v>45</v>
      </c>
      <c r="J954" t="s">
        <v>45</v>
      </c>
      <c r="K954" t="s">
        <v>40</v>
      </c>
      <c r="L954" t="s">
        <v>41</v>
      </c>
      <c r="M954">
        <v>2</v>
      </c>
      <c r="N954">
        <v>2</v>
      </c>
      <c r="O954">
        <v>3</v>
      </c>
      <c r="P954" t="s">
        <v>43</v>
      </c>
      <c r="Q954" t="s">
        <v>42</v>
      </c>
      <c r="R954" t="s">
        <v>43</v>
      </c>
      <c r="S954" t="s">
        <v>42</v>
      </c>
      <c r="T954" t="s">
        <v>43</v>
      </c>
      <c r="U954" t="s">
        <v>42</v>
      </c>
      <c r="V954" t="s">
        <v>42</v>
      </c>
      <c r="W954" t="s">
        <v>42</v>
      </c>
      <c r="X954">
        <v>5</v>
      </c>
      <c r="Y954">
        <v>4</v>
      </c>
      <c r="Z954">
        <v>4</v>
      </c>
      <c r="AA954">
        <v>1</v>
      </c>
      <c r="AB954">
        <v>1</v>
      </c>
      <c r="AC954">
        <v>5</v>
      </c>
      <c r="AD954">
        <v>2</v>
      </c>
      <c r="AE954">
        <v>7</v>
      </c>
      <c r="AF954">
        <v>9</v>
      </c>
      <c r="AG954">
        <v>10</v>
      </c>
    </row>
    <row r="955" spans="1:33" x14ac:dyDescent="0.35">
      <c r="A955" t="s">
        <v>53</v>
      </c>
      <c r="B955" t="s">
        <v>50</v>
      </c>
      <c r="C955">
        <v>17</v>
      </c>
      <c r="D955" t="s">
        <v>52</v>
      </c>
      <c r="E955" t="s">
        <v>36</v>
      </c>
      <c r="F955" t="s">
        <v>44</v>
      </c>
      <c r="G955">
        <v>2</v>
      </c>
      <c r="H955">
        <v>2</v>
      </c>
      <c r="I955" t="s">
        <v>45</v>
      </c>
      <c r="J955" t="s">
        <v>45</v>
      </c>
      <c r="K955" t="s">
        <v>40</v>
      </c>
      <c r="L955" t="s">
        <v>41</v>
      </c>
      <c r="M955">
        <v>2</v>
      </c>
      <c r="N955">
        <v>1</v>
      </c>
      <c r="O955">
        <v>0</v>
      </c>
      <c r="P955" t="s">
        <v>43</v>
      </c>
      <c r="Q955" t="s">
        <v>43</v>
      </c>
      <c r="R955" t="s">
        <v>43</v>
      </c>
      <c r="S955" t="s">
        <v>42</v>
      </c>
      <c r="T955" t="s">
        <v>42</v>
      </c>
      <c r="U955" t="s">
        <v>43</v>
      </c>
      <c r="V955" t="s">
        <v>43</v>
      </c>
      <c r="W955" t="s">
        <v>42</v>
      </c>
      <c r="X955">
        <v>5</v>
      </c>
      <c r="Y955">
        <v>5</v>
      </c>
      <c r="Z955">
        <v>5</v>
      </c>
      <c r="AA955">
        <v>3</v>
      </c>
      <c r="AB955">
        <v>5</v>
      </c>
      <c r="AC955">
        <v>5</v>
      </c>
      <c r="AD955">
        <v>0</v>
      </c>
      <c r="AE955">
        <v>8</v>
      </c>
      <c r="AF955">
        <v>13</v>
      </c>
      <c r="AG955">
        <v>10</v>
      </c>
    </row>
    <row r="956" spans="1:33" x14ac:dyDescent="0.35">
      <c r="A956" t="s">
        <v>53</v>
      </c>
      <c r="B956" t="s">
        <v>50</v>
      </c>
      <c r="C956">
        <v>18</v>
      </c>
      <c r="D956" t="s">
        <v>52</v>
      </c>
      <c r="E956" t="s">
        <v>36</v>
      </c>
      <c r="F956" t="s">
        <v>44</v>
      </c>
      <c r="G956">
        <v>1</v>
      </c>
      <c r="H956">
        <v>0</v>
      </c>
      <c r="I956" t="s">
        <v>38</v>
      </c>
      <c r="J956" t="s">
        <v>38</v>
      </c>
      <c r="K956" t="s">
        <v>40</v>
      </c>
      <c r="L956" t="s">
        <v>45</v>
      </c>
      <c r="M956">
        <v>3</v>
      </c>
      <c r="N956">
        <v>1</v>
      </c>
      <c r="O956">
        <v>1</v>
      </c>
      <c r="P956" t="s">
        <v>42</v>
      </c>
      <c r="Q956" t="s">
        <v>42</v>
      </c>
      <c r="R956" t="s">
        <v>43</v>
      </c>
      <c r="S956" t="s">
        <v>43</v>
      </c>
      <c r="T956" t="s">
        <v>42</v>
      </c>
      <c r="U956" t="s">
        <v>42</v>
      </c>
      <c r="V956" t="s">
        <v>43</v>
      </c>
      <c r="W956" t="s">
        <v>43</v>
      </c>
      <c r="X956">
        <v>4</v>
      </c>
      <c r="Y956">
        <v>3</v>
      </c>
      <c r="Z956">
        <v>2</v>
      </c>
      <c r="AA956">
        <v>1</v>
      </c>
      <c r="AB956">
        <v>1</v>
      </c>
      <c r="AC956">
        <v>4</v>
      </c>
      <c r="AD956">
        <v>0</v>
      </c>
      <c r="AE956">
        <v>12</v>
      </c>
      <c r="AF956">
        <v>12</v>
      </c>
      <c r="AG956">
        <v>13</v>
      </c>
    </row>
    <row r="957" spans="1:33" x14ac:dyDescent="0.35">
      <c r="A957" t="s">
        <v>53</v>
      </c>
      <c r="B957" t="s">
        <v>50</v>
      </c>
      <c r="C957">
        <v>17</v>
      </c>
      <c r="D957" t="s">
        <v>52</v>
      </c>
      <c r="E957" t="s">
        <v>36</v>
      </c>
      <c r="F957" t="s">
        <v>44</v>
      </c>
      <c r="G957">
        <v>1</v>
      </c>
      <c r="H957">
        <v>1</v>
      </c>
      <c r="I957" t="s">
        <v>45</v>
      </c>
      <c r="J957" t="s">
        <v>48</v>
      </c>
      <c r="K957" t="s">
        <v>40</v>
      </c>
      <c r="L957" t="s">
        <v>41</v>
      </c>
      <c r="M957">
        <v>2</v>
      </c>
      <c r="N957">
        <v>1</v>
      </c>
      <c r="O957">
        <v>0</v>
      </c>
      <c r="P957" t="s">
        <v>43</v>
      </c>
      <c r="Q957" t="s">
        <v>42</v>
      </c>
      <c r="R957" t="s">
        <v>43</v>
      </c>
      <c r="S957" t="s">
        <v>42</v>
      </c>
      <c r="T957" t="s">
        <v>43</v>
      </c>
      <c r="U957" t="s">
        <v>42</v>
      </c>
      <c r="V957" t="s">
        <v>42</v>
      </c>
      <c r="W957" t="s">
        <v>42</v>
      </c>
      <c r="X957">
        <v>4</v>
      </c>
      <c r="Y957">
        <v>5</v>
      </c>
      <c r="Z957">
        <v>5</v>
      </c>
      <c r="AA957">
        <v>1</v>
      </c>
      <c r="AB957">
        <v>3</v>
      </c>
      <c r="AC957">
        <v>2</v>
      </c>
      <c r="AD957">
        <v>0</v>
      </c>
      <c r="AE957">
        <v>10</v>
      </c>
      <c r="AF957">
        <v>9</v>
      </c>
      <c r="AG957">
        <v>10</v>
      </c>
    </row>
    <row r="958" spans="1:33" x14ac:dyDescent="0.35">
      <c r="A958" t="s">
        <v>53</v>
      </c>
      <c r="B958" t="s">
        <v>50</v>
      </c>
      <c r="C958">
        <v>18</v>
      </c>
      <c r="D958" t="s">
        <v>35</v>
      </c>
      <c r="E958" t="s">
        <v>47</v>
      </c>
      <c r="F958" t="s">
        <v>44</v>
      </c>
      <c r="G958">
        <v>1</v>
      </c>
      <c r="H958">
        <v>1</v>
      </c>
      <c r="I958" t="s">
        <v>38</v>
      </c>
      <c r="J958" t="s">
        <v>38</v>
      </c>
      <c r="K958" t="s">
        <v>40</v>
      </c>
      <c r="L958" t="s">
        <v>41</v>
      </c>
      <c r="M958">
        <v>2</v>
      </c>
      <c r="N958">
        <v>2</v>
      </c>
      <c r="O958">
        <v>0</v>
      </c>
      <c r="P958" t="s">
        <v>43</v>
      </c>
      <c r="Q958" t="s">
        <v>42</v>
      </c>
      <c r="R958" t="s">
        <v>43</v>
      </c>
      <c r="S958" t="s">
        <v>42</v>
      </c>
      <c r="T958" t="s">
        <v>42</v>
      </c>
      <c r="U958" t="s">
        <v>42</v>
      </c>
      <c r="V958" t="s">
        <v>43</v>
      </c>
      <c r="W958" t="s">
        <v>43</v>
      </c>
      <c r="X958">
        <v>4</v>
      </c>
      <c r="Y958">
        <v>3</v>
      </c>
      <c r="Z958">
        <v>3</v>
      </c>
      <c r="AA958">
        <v>1</v>
      </c>
      <c r="AB958">
        <v>4</v>
      </c>
      <c r="AC958">
        <v>5</v>
      </c>
      <c r="AD958">
        <v>6</v>
      </c>
      <c r="AE958">
        <v>10</v>
      </c>
      <c r="AF958">
        <v>9</v>
      </c>
      <c r="AG958">
        <v>10</v>
      </c>
    </row>
    <row r="959" spans="1:33" x14ac:dyDescent="0.35">
      <c r="A959" t="s">
        <v>53</v>
      </c>
      <c r="B959" t="s">
        <v>34</v>
      </c>
      <c r="C959">
        <v>16</v>
      </c>
      <c r="D959" t="s">
        <v>52</v>
      </c>
      <c r="E959" t="s">
        <v>47</v>
      </c>
      <c r="F959" t="s">
        <v>44</v>
      </c>
      <c r="G959">
        <v>2</v>
      </c>
      <c r="H959">
        <v>2</v>
      </c>
      <c r="I959" t="s">
        <v>45</v>
      </c>
      <c r="J959" t="s">
        <v>48</v>
      </c>
      <c r="K959" t="s">
        <v>40</v>
      </c>
      <c r="L959" t="s">
        <v>46</v>
      </c>
      <c r="M959">
        <v>1</v>
      </c>
      <c r="N959">
        <v>2</v>
      </c>
      <c r="O959">
        <v>0</v>
      </c>
      <c r="P959" t="s">
        <v>43</v>
      </c>
      <c r="Q959" t="s">
        <v>43</v>
      </c>
      <c r="R959" t="s">
        <v>43</v>
      </c>
      <c r="S959" t="s">
        <v>42</v>
      </c>
      <c r="T959" t="s">
        <v>42</v>
      </c>
      <c r="U959" t="s">
        <v>42</v>
      </c>
      <c r="V959" t="s">
        <v>43</v>
      </c>
      <c r="W959" t="s">
        <v>42</v>
      </c>
      <c r="X959">
        <v>5</v>
      </c>
      <c r="Y959">
        <v>4</v>
      </c>
      <c r="Z959">
        <v>3</v>
      </c>
      <c r="AA959">
        <v>1</v>
      </c>
      <c r="AB959">
        <v>1</v>
      </c>
      <c r="AC959">
        <v>1</v>
      </c>
      <c r="AD959">
        <v>0</v>
      </c>
      <c r="AE959">
        <v>11</v>
      </c>
      <c r="AF959">
        <v>13</v>
      </c>
      <c r="AG959">
        <v>12</v>
      </c>
    </row>
    <row r="960" spans="1:33" x14ac:dyDescent="0.35">
      <c r="A960" t="s">
        <v>53</v>
      </c>
      <c r="B960" t="s">
        <v>50</v>
      </c>
      <c r="C960">
        <v>17</v>
      </c>
      <c r="D960" t="s">
        <v>35</v>
      </c>
      <c r="E960" t="s">
        <v>36</v>
      </c>
      <c r="F960" t="s">
        <v>44</v>
      </c>
      <c r="G960">
        <v>2</v>
      </c>
      <c r="H960">
        <v>2</v>
      </c>
      <c r="I960" t="s">
        <v>45</v>
      </c>
      <c r="J960" t="s">
        <v>45</v>
      </c>
      <c r="K960" t="s">
        <v>40</v>
      </c>
      <c r="L960" t="s">
        <v>41</v>
      </c>
      <c r="M960">
        <v>1</v>
      </c>
      <c r="N960">
        <v>1</v>
      </c>
      <c r="O960">
        <v>1</v>
      </c>
      <c r="P960" t="s">
        <v>43</v>
      </c>
      <c r="Q960" t="s">
        <v>43</v>
      </c>
      <c r="R960" t="s">
        <v>43</v>
      </c>
      <c r="S960" t="s">
        <v>42</v>
      </c>
      <c r="T960" t="s">
        <v>42</v>
      </c>
      <c r="U960" t="s">
        <v>42</v>
      </c>
      <c r="V960" t="s">
        <v>43</v>
      </c>
      <c r="W960" t="s">
        <v>42</v>
      </c>
      <c r="X960">
        <v>1</v>
      </c>
      <c r="Y960">
        <v>2</v>
      </c>
      <c r="Z960">
        <v>1</v>
      </c>
      <c r="AA960">
        <v>2</v>
      </c>
      <c r="AB960">
        <v>3</v>
      </c>
      <c r="AC960">
        <v>5</v>
      </c>
      <c r="AD960">
        <v>0</v>
      </c>
      <c r="AE960">
        <v>7</v>
      </c>
      <c r="AF960">
        <v>0</v>
      </c>
      <c r="AG960">
        <v>0</v>
      </c>
    </row>
    <row r="961" spans="1:33" x14ac:dyDescent="0.35">
      <c r="A961" t="s">
        <v>53</v>
      </c>
      <c r="B961" t="s">
        <v>50</v>
      </c>
      <c r="C961">
        <v>16</v>
      </c>
      <c r="D961" t="s">
        <v>52</v>
      </c>
      <c r="E961" t="s">
        <v>36</v>
      </c>
      <c r="F961" t="s">
        <v>44</v>
      </c>
      <c r="G961">
        <v>3</v>
      </c>
      <c r="H961">
        <v>2</v>
      </c>
      <c r="I961" t="s">
        <v>48</v>
      </c>
      <c r="J961" t="s">
        <v>45</v>
      </c>
      <c r="K961" t="s">
        <v>40</v>
      </c>
      <c r="L961" t="s">
        <v>46</v>
      </c>
      <c r="M961">
        <v>2</v>
      </c>
      <c r="N961">
        <v>1</v>
      </c>
      <c r="O961">
        <v>0</v>
      </c>
      <c r="P961" t="s">
        <v>43</v>
      </c>
      <c r="Q961" t="s">
        <v>43</v>
      </c>
      <c r="R961" t="s">
        <v>43</v>
      </c>
      <c r="S961" t="s">
        <v>43</v>
      </c>
      <c r="T961" t="s">
        <v>42</v>
      </c>
      <c r="U961" t="s">
        <v>42</v>
      </c>
      <c r="V961" t="s">
        <v>42</v>
      </c>
      <c r="W961" t="s">
        <v>43</v>
      </c>
      <c r="X961">
        <v>4</v>
      </c>
      <c r="Y961">
        <v>5</v>
      </c>
      <c r="Z961">
        <v>5</v>
      </c>
      <c r="AA961">
        <v>2</v>
      </c>
      <c r="AB961">
        <v>3</v>
      </c>
      <c r="AC961">
        <v>5</v>
      </c>
      <c r="AD961">
        <v>2</v>
      </c>
      <c r="AE961">
        <v>11</v>
      </c>
      <c r="AF961">
        <v>9</v>
      </c>
      <c r="AG961">
        <v>10</v>
      </c>
    </row>
    <row r="962" spans="1:33" x14ac:dyDescent="0.35">
      <c r="A962" t="s">
        <v>53</v>
      </c>
      <c r="B962" t="s">
        <v>50</v>
      </c>
      <c r="C962">
        <v>16</v>
      </c>
      <c r="D962" t="s">
        <v>52</v>
      </c>
      <c r="E962" t="s">
        <v>47</v>
      </c>
      <c r="F962" t="s">
        <v>44</v>
      </c>
      <c r="G962">
        <v>1</v>
      </c>
      <c r="H962">
        <v>1</v>
      </c>
      <c r="I962" t="s">
        <v>38</v>
      </c>
      <c r="J962" t="s">
        <v>45</v>
      </c>
      <c r="K962" t="s">
        <v>40</v>
      </c>
      <c r="L962" t="s">
        <v>41</v>
      </c>
      <c r="M962">
        <v>2</v>
      </c>
      <c r="N962">
        <v>1</v>
      </c>
      <c r="O962">
        <v>0</v>
      </c>
      <c r="P962" t="s">
        <v>43</v>
      </c>
      <c r="Q962" t="s">
        <v>43</v>
      </c>
      <c r="R962" t="s">
        <v>43</v>
      </c>
      <c r="S962" t="s">
        <v>42</v>
      </c>
      <c r="T962" t="s">
        <v>42</v>
      </c>
      <c r="U962" t="s">
        <v>42</v>
      </c>
      <c r="V962" t="s">
        <v>42</v>
      </c>
      <c r="W962" t="s">
        <v>43</v>
      </c>
      <c r="X962">
        <v>4</v>
      </c>
      <c r="Y962">
        <v>5</v>
      </c>
      <c r="Z962">
        <v>5</v>
      </c>
      <c r="AA962">
        <v>2</v>
      </c>
      <c r="AB962">
        <v>4</v>
      </c>
      <c r="AC962">
        <v>5</v>
      </c>
      <c r="AD962">
        <v>0</v>
      </c>
      <c r="AE962">
        <v>10</v>
      </c>
      <c r="AF962">
        <v>10</v>
      </c>
      <c r="AG962">
        <v>9</v>
      </c>
    </row>
    <row r="963" spans="1:33" x14ac:dyDescent="0.35">
      <c r="A963" t="s">
        <v>53</v>
      </c>
      <c r="B963" t="s">
        <v>50</v>
      </c>
      <c r="C963">
        <v>18</v>
      </c>
      <c r="D963" t="s">
        <v>52</v>
      </c>
      <c r="E963" t="s">
        <v>36</v>
      </c>
      <c r="F963" t="s">
        <v>44</v>
      </c>
      <c r="G963">
        <v>1</v>
      </c>
      <c r="H963">
        <v>1</v>
      </c>
      <c r="I963" t="s">
        <v>48</v>
      </c>
      <c r="J963" t="s">
        <v>45</v>
      </c>
      <c r="K963" t="s">
        <v>40</v>
      </c>
      <c r="L963" t="s">
        <v>45</v>
      </c>
      <c r="M963">
        <v>2</v>
      </c>
      <c r="N963">
        <v>1</v>
      </c>
      <c r="O963">
        <v>1</v>
      </c>
      <c r="P963" t="s">
        <v>43</v>
      </c>
      <c r="Q963" t="s">
        <v>42</v>
      </c>
      <c r="R963" t="s">
        <v>43</v>
      </c>
      <c r="S963" t="s">
        <v>43</v>
      </c>
      <c r="T963" t="s">
        <v>42</v>
      </c>
      <c r="U963" t="s">
        <v>43</v>
      </c>
      <c r="V963" t="s">
        <v>42</v>
      </c>
      <c r="W963" t="s">
        <v>42</v>
      </c>
      <c r="X963">
        <v>5</v>
      </c>
      <c r="Y963">
        <v>3</v>
      </c>
      <c r="Z963">
        <v>3</v>
      </c>
      <c r="AA963">
        <v>2</v>
      </c>
      <c r="AB963">
        <v>3</v>
      </c>
      <c r="AC963">
        <v>5</v>
      </c>
      <c r="AD963">
        <v>2</v>
      </c>
      <c r="AE963">
        <v>9</v>
      </c>
      <c r="AF963">
        <v>7</v>
      </c>
      <c r="AG963">
        <v>9</v>
      </c>
    </row>
    <row r="964" spans="1:33" x14ac:dyDescent="0.35">
      <c r="A964" t="s">
        <v>53</v>
      </c>
      <c r="B964" t="s">
        <v>50</v>
      </c>
      <c r="C964">
        <v>18</v>
      </c>
      <c r="D964" t="s">
        <v>52</v>
      </c>
      <c r="E964" t="s">
        <v>36</v>
      </c>
      <c r="F964" t="s">
        <v>44</v>
      </c>
      <c r="G964">
        <v>3</v>
      </c>
      <c r="H964">
        <v>2</v>
      </c>
      <c r="I964" t="s">
        <v>48</v>
      </c>
      <c r="J964" t="s">
        <v>45</v>
      </c>
      <c r="K964" t="s">
        <v>40</v>
      </c>
      <c r="L964" t="s">
        <v>41</v>
      </c>
      <c r="M964">
        <v>1</v>
      </c>
      <c r="N964">
        <v>1</v>
      </c>
      <c r="O964">
        <v>1</v>
      </c>
      <c r="P964" t="s">
        <v>43</v>
      </c>
      <c r="Q964" t="s">
        <v>43</v>
      </c>
      <c r="R964" t="s">
        <v>43</v>
      </c>
      <c r="S964" t="s">
        <v>43</v>
      </c>
      <c r="T964" t="s">
        <v>42</v>
      </c>
      <c r="U964" t="s">
        <v>43</v>
      </c>
      <c r="V964" t="s">
        <v>42</v>
      </c>
      <c r="W964" t="s">
        <v>43</v>
      </c>
      <c r="X964">
        <v>2</v>
      </c>
      <c r="Y964">
        <v>3</v>
      </c>
      <c r="Z964">
        <v>1</v>
      </c>
      <c r="AA964">
        <v>2</v>
      </c>
      <c r="AB964">
        <v>2</v>
      </c>
      <c r="AC964">
        <v>5</v>
      </c>
      <c r="AD964">
        <v>0</v>
      </c>
      <c r="AE964">
        <v>4</v>
      </c>
      <c r="AF964">
        <v>0</v>
      </c>
      <c r="AG964">
        <v>0</v>
      </c>
    </row>
    <row r="965" spans="1:33" x14ac:dyDescent="0.35">
      <c r="A965" t="s">
        <v>53</v>
      </c>
      <c r="B965" t="s">
        <v>50</v>
      </c>
      <c r="C965">
        <v>19</v>
      </c>
      <c r="D965" t="s">
        <v>35</v>
      </c>
      <c r="E965" t="s">
        <v>36</v>
      </c>
      <c r="F965" t="s">
        <v>44</v>
      </c>
      <c r="G965">
        <v>3</v>
      </c>
      <c r="H965">
        <v>2</v>
      </c>
      <c r="I965" t="s">
        <v>38</v>
      </c>
      <c r="J965" t="s">
        <v>48</v>
      </c>
      <c r="K965" t="s">
        <v>40</v>
      </c>
      <c r="L965" t="s">
        <v>41</v>
      </c>
      <c r="M965">
        <v>2</v>
      </c>
      <c r="N965">
        <v>1</v>
      </c>
      <c r="O965">
        <v>3</v>
      </c>
      <c r="P965" t="s">
        <v>43</v>
      </c>
      <c r="Q965" t="s">
        <v>43</v>
      </c>
      <c r="R965" t="s">
        <v>43</v>
      </c>
      <c r="S965" t="s">
        <v>42</v>
      </c>
      <c r="T965" t="s">
        <v>42</v>
      </c>
      <c r="U965" t="s">
        <v>42</v>
      </c>
      <c r="V965" t="s">
        <v>43</v>
      </c>
      <c r="W965" t="s">
        <v>43</v>
      </c>
      <c r="X965">
        <v>3</v>
      </c>
      <c r="Y965">
        <v>2</v>
      </c>
      <c r="Z965">
        <v>1</v>
      </c>
      <c r="AA965">
        <v>1</v>
      </c>
      <c r="AB965">
        <v>1</v>
      </c>
      <c r="AC965">
        <v>3</v>
      </c>
      <c r="AD965">
        <v>4</v>
      </c>
      <c r="AE965">
        <v>6</v>
      </c>
      <c r="AF965">
        <v>11</v>
      </c>
      <c r="AG965">
        <v>9</v>
      </c>
    </row>
    <row r="966" spans="1:33" x14ac:dyDescent="0.35">
      <c r="A966" t="s">
        <v>53</v>
      </c>
      <c r="B966" t="s">
        <v>50</v>
      </c>
      <c r="C966">
        <v>18</v>
      </c>
      <c r="D966" t="s">
        <v>35</v>
      </c>
      <c r="E966" t="s">
        <v>36</v>
      </c>
      <c r="F966" t="s">
        <v>44</v>
      </c>
      <c r="G966">
        <v>3</v>
      </c>
      <c r="H966">
        <v>3</v>
      </c>
      <c r="I966" t="s">
        <v>38</v>
      </c>
      <c r="J966" t="s">
        <v>38</v>
      </c>
      <c r="K966" t="s">
        <v>40</v>
      </c>
      <c r="L966" t="s">
        <v>41</v>
      </c>
      <c r="M966">
        <v>1</v>
      </c>
      <c r="N966">
        <v>2</v>
      </c>
      <c r="O966">
        <v>2</v>
      </c>
      <c r="P966" t="s">
        <v>43</v>
      </c>
      <c r="Q966" t="s">
        <v>42</v>
      </c>
      <c r="R966" t="s">
        <v>43</v>
      </c>
      <c r="S966" t="s">
        <v>42</v>
      </c>
      <c r="T966" t="s">
        <v>42</v>
      </c>
      <c r="U966" t="s">
        <v>43</v>
      </c>
      <c r="V966" t="s">
        <v>42</v>
      </c>
      <c r="W966" t="s">
        <v>43</v>
      </c>
      <c r="X966">
        <v>4</v>
      </c>
      <c r="Y966">
        <v>4</v>
      </c>
      <c r="Z966">
        <v>5</v>
      </c>
      <c r="AA966">
        <v>1</v>
      </c>
      <c r="AB966">
        <v>3</v>
      </c>
      <c r="AC966">
        <v>3</v>
      </c>
      <c r="AD966">
        <v>9</v>
      </c>
      <c r="AE966">
        <v>4</v>
      </c>
      <c r="AF966">
        <v>8</v>
      </c>
      <c r="AG966">
        <v>8</v>
      </c>
    </row>
    <row r="967" spans="1:33" x14ac:dyDescent="0.35">
      <c r="A967" t="s">
        <v>53</v>
      </c>
      <c r="B967" t="s">
        <v>50</v>
      </c>
      <c r="C967">
        <v>16</v>
      </c>
      <c r="D967" t="s">
        <v>52</v>
      </c>
      <c r="E967" t="s">
        <v>36</v>
      </c>
      <c r="F967" t="s">
        <v>44</v>
      </c>
      <c r="G967">
        <v>2</v>
      </c>
      <c r="H967">
        <v>2</v>
      </c>
      <c r="I967" t="s">
        <v>48</v>
      </c>
      <c r="J967" t="s">
        <v>48</v>
      </c>
      <c r="K967" t="s">
        <v>40</v>
      </c>
      <c r="L967" t="s">
        <v>41</v>
      </c>
      <c r="M967">
        <v>2</v>
      </c>
      <c r="N967">
        <v>1</v>
      </c>
      <c r="O967">
        <v>0</v>
      </c>
      <c r="P967" t="s">
        <v>43</v>
      </c>
      <c r="Q967" t="s">
        <v>42</v>
      </c>
      <c r="R967" t="s">
        <v>43</v>
      </c>
      <c r="S967" t="s">
        <v>42</v>
      </c>
      <c r="T967" t="s">
        <v>42</v>
      </c>
      <c r="U967" t="s">
        <v>42</v>
      </c>
      <c r="V967" t="s">
        <v>42</v>
      </c>
      <c r="W967" t="s">
        <v>42</v>
      </c>
      <c r="X967">
        <v>5</v>
      </c>
      <c r="Y967">
        <v>4</v>
      </c>
      <c r="Z967">
        <v>3</v>
      </c>
      <c r="AA967">
        <v>2</v>
      </c>
      <c r="AB967">
        <v>4</v>
      </c>
      <c r="AC967">
        <v>4</v>
      </c>
      <c r="AD967">
        <v>6</v>
      </c>
      <c r="AE967">
        <v>7</v>
      </c>
      <c r="AF967">
        <v>8</v>
      </c>
      <c r="AG967">
        <v>8</v>
      </c>
    </row>
    <row r="968" spans="1:33" x14ac:dyDescent="0.35">
      <c r="A968" t="s">
        <v>53</v>
      </c>
      <c r="B968" t="s">
        <v>50</v>
      </c>
      <c r="C968">
        <v>19</v>
      </c>
      <c r="D968" t="s">
        <v>35</v>
      </c>
      <c r="E968" t="s">
        <v>36</v>
      </c>
      <c r="F968" t="s">
        <v>44</v>
      </c>
      <c r="G968">
        <v>2</v>
      </c>
      <c r="H968">
        <v>1</v>
      </c>
      <c r="I968" t="s">
        <v>38</v>
      </c>
      <c r="J968" t="s">
        <v>45</v>
      </c>
      <c r="K968" t="s">
        <v>40</v>
      </c>
      <c r="L968" t="s">
        <v>45</v>
      </c>
      <c r="M968">
        <v>2</v>
      </c>
      <c r="N968">
        <v>1</v>
      </c>
      <c r="O968">
        <v>3</v>
      </c>
      <c r="P968" t="s">
        <v>43</v>
      </c>
      <c r="Q968" t="s">
        <v>43</v>
      </c>
      <c r="R968" t="s">
        <v>43</v>
      </c>
      <c r="S968" t="s">
        <v>42</v>
      </c>
      <c r="T968" t="s">
        <v>43</v>
      </c>
      <c r="U968" t="s">
        <v>43</v>
      </c>
      <c r="V968" t="s">
        <v>42</v>
      </c>
      <c r="W968" t="s">
        <v>42</v>
      </c>
      <c r="X968">
        <v>4</v>
      </c>
      <c r="Y968">
        <v>4</v>
      </c>
      <c r="Z968">
        <v>3</v>
      </c>
      <c r="AA968">
        <v>1</v>
      </c>
      <c r="AB968">
        <v>3</v>
      </c>
      <c r="AC968">
        <v>5</v>
      </c>
      <c r="AD968">
        <v>4</v>
      </c>
      <c r="AE968">
        <v>8</v>
      </c>
      <c r="AF968">
        <v>9</v>
      </c>
      <c r="AG968">
        <v>9</v>
      </c>
    </row>
    <row r="969" spans="1:33" x14ac:dyDescent="0.35">
      <c r="A969" t="s">
        <v>53</v>
      </c>
      <c r="B969" t="s">
        <v>34</v>
      </c>
      <c r="C969">
        <v>16</v>
      </c>
      <c r="D969" t="s">
        <v>35</v>
      </c>
      <c r="E969" t="s">
        <v>36</v>
      </c>
      <c r="F969" t="s">
        <v>37</v>
      </c>
      <c r="G969">
        <v>3</v>
      </c>
      <c r="H969">
        <v>2</v>
      </c>
      <c r="I969" t="s">
        <v>48</v>
      </c>
      <c r="J969" t="s">
        <v>38</v>
      </c>
      <c r="K969" t="s">
        <v>40</v>
      </c>
      <c r="L969" t="s">
        <v>41</v>
      </c>
      <c r="M969">
        <v>2</v>
      </c>
      <c r="N969">
        <v>2</v>
      </c>
      <c r="O969">
        <v>2</v>
      </c>
      <c r="P969" t="s">
        <v>43</v>
      </c>
      <c r="Q969" t="s">
        <v>42</v>
      </c>
      <c r="R969" t="s">
        <v>43</v>
      </c>
      <c r="S969" t="s">
        <v>42</v>
      </c>
      <c r="T969" t="s">
        <v>42</v>
      </c>
      <c r="U969" t="s">
        <v>42</v>
      </c>
      <c r="V969" t="s">
        <v>43</v>
      </c>
      <c r="W969" t="s">
        <v>42</v>
      </c>
      <c r="X969">
        <v>2</v>
      </c>
      <c r="Y969">
        <v>5</v>
      </c>
      <c r="Z969">
        <v>5</v>
      </c>
      <c r="AA969">
        <v>1</v>
      </c>
      <c r="AB969">
        <v>1</v>
      </c>
      <c r="AC969">
        <v>1</v>
      </c>
      <c r="AD969">
        <v>8</v>
      </c>
      <c r="AE969">
        <v>5</v>
      </c>
      <c r="AF969">
        <v>5</v>
      </c>
      <c r="AG969">
        <v>7</v>
      </c>
    </row>
    <row r="970" spans="1:33" x14ac:dyDescent="0.35">
      <c r="A970" t="s">
        <v>53</v>
      </c>
      <c r="B970" t="s">
        <v>34</v>
      </c>
      <c r="C970">
        <v>17</v>
      </c>
      <c r="D970" t="s">
        <v>35</v>
      </c>
      <c r="E970" t="s">
        <v>36</v>
      </c>
      <c r="F970" t="s">
        <v>44</v>
      </c>
      <c r="G970">
        <v>1</v>
      </c>
      <c r="H970">
        <v>1</v>
      </c>
      <c r="I970" t="s">
        <v>45</v>
      </c>
      <c r="J970" t="s">
        <v>38</v>
      </c>
      <c r="K970" t="s">
        <v>40</v>
      </c>
      <c r="L970" t="s">
        <v>41</v>
      </c>
      <c r="M970">
        <v>1</v>
      </c>
      <c r="N970">
        <v>1</v>
      </c>
      <c r="O970">
        <v>0</v>
      </c>
      <c r="P970" t="s">
        <v>43</v>
      </c>
      <c r="Q970" t="s">
        <v>42</v>
      </c>
      <c r="R970" t="s">
        <v>43</v>
      </c>
      <c r="S970" t="s">
        <v>42</v>
      </c>
      <c r="T970" t="s">
        <v>42</v>
      </c>
      <c r="U970" t="s">
        <v>42</v>
      </c>
      <c r="V970" t="s">
        <v>43</v>
      </c>
      <c r="W970" t="s">
        <v>43</v>
      </c>
      <c r="X970">
        <v>4</v>
      </c>
      <c r="Y970">
        <v>3</v>
      </c>
      <c r="Z970">
        <v>2</v>
      </c>
      <c r="AA970">
        <v>1</v>
      </c>
      <c r="AB970">
        <v>2</v>
      </c>
      <c r="AC970">
        <v>5</v>
      </c>
      <c r="AD970">
        <v>9</v>
      </c>
      <c r="AE970">
        <v>7</v>
      </c>
      <c r="AF970">
        <v>9</v>
      </c>
      <c r="AG970">
        <v>10</v>
      </c>
    </row>
    <row r="971" spans="1:33" x14ac:dyDescent="0.35">
      <c r="A971" t="s">
        <v>53</v>
      </c>
      <c r="B971" t="s">
        <v>50</v>
      </c>
      <c r="C971">
        <v>20</v>
      </c>
      <c r="D971" t="s">
        <v>52</v>
      </c>
      <c r="E971" t="s">
        <v>36</v>
      </c>
      <c r="F971" t="s">
        <v>44</v>
      </c>
      <c r="G971">
        <v>1</v>
      </c>
      <c r="H971">
        <v>1</v>
      </c>
      <c r="I971" t="s">
        <v>45</v>
      </c>
      <c r="J971" t="s">
        <v>45</v>
      </c>
      <c r="K971" t="s">
        <v>40</v>
      </c>
      <c r="L971" t="s">
        <v>45</v>
      </c>
      <c r="M971">
        <v>2</v>
      </c>
      <c r="N971">
        <v>1</v>
      </c>
      <c r="O971">
        <v>1</v>
      </c>
      <c r="P971" t="s">
        <v>43</v>
      </c>
      <c r="Q971" t="s">
        <v>42</v>
      </c>
      <c r="R971" t="s">
        <v>43</v>
      </c>
      <c r="S971" t="s">
        <v>43</v>
      </c>
      <c r="T971" t="s">
        <v>42</v>
      </c>
      <c r="U971" t="s">
        <v>43</v>
      </c>
      <c r="V971" t="s">
        <v>42</v>
      </c>
      <c r="W971" t="s">
        <v>42</v>
      </c>
      <c r="X971">
        <v>4</v>
      </c>
      <c r="Y971">
        <v>4</v>
      </c>
      <c r="Z971">
        <v>3</v>
      </c>
      <c r="AA971">
        <v>2</v>
      </c>
      <c r="AB971">
        <v>4</v>
      </c>
      <c r="AC971">
        <v>4</v>
      </c>
      <c r="AD971">
        <v>12</v>
      </c>
      <c r="AE971">
        <v>8</v>
      </c>
      <c r="AF971">
        <v>11</v>
      </c>
      <c r="AG971">
        <v>10</v>
      </c>
    </row>
    <row r="972" spans="1:33" x14ac:dyDescent="0.35">
      <c r="A972" t="s">
        <v>53</v>
      </c>
      <c r="B972" t="s">
        <v>34</v>
      </c>
      <c r="C972">
        <v>18</v>
      </c>
      <c r="D972" t="s">
        <v>52</v>
      </c>
      <c r="E972" t="s">
        <v>36</v>
      </c>
      <c r="F972" t="s">
        <v>37</v>
      </c>
      <c r="G972">
        <v>4</v>
      </c>
      <c r="H972">
        <v>3</v>
      </c>
      <c r="I972" t="s">
        <v>48</v>
      </c>
      <c r="J972" t="s">
        <v>48</v>
      </c>
      <c r="K972" t="s">
        <v>40</v>
      </c>
      <c r="L972" t="s">
        <v>41</v>
      </c>
      <c r="M972">
        <v>1</v>
      </c>
      <c r="N972">
        <v>1</v>
      </c>
      <c r="O972">
        <v>0</v>
      </c>
      <c r="P972" t="s">
        <v>43</v>
      </c>
      <c r="Q972" t="s">
        <v>42</v>
      </c>
      <c r="R972" t="s">
        <v>43</v>
      </c>
      <c r="S972" t="s">
        <v>43</v>
      </c>
      <c r="T972" t="s">
        <v>42</v>
      </c>
      <c r="U972" t="s">
        <v>42</v>
      </c>
      <c r="V972" t="s">
        <v>42</v>
      </c>
      <c r="W972" t="s">
        <v>43</v>
      </c>
      <c r="X972">
        <v>5</v>
      </c>
      <c r="Y972">
        <v>4</v>
      </c>
      <c r="Z972">
        <v>4</v>
      </c>
      <c r="AA972">
        <v>3</v>
      </c>
      <c r="AB972">
        <v>4</v>
      </c>
      <c r="AC972">
        <v>2</v>
      </c>
      <c r="AD972">
        <v>8</v>
      </c>
      <c r="AE972">
        <v>10</v>
      </c>
      <c r="AF972">
        <v>11</v>
      </c>
      <c r="AG972">
        <v>10</v>
      </c>
    </row>
    <row r="973" spans="1:33" x14ac:dyDescent="0.35">
      <c r="A973" t="s">
        <v>53</v>
      </c>
      <c r="B973" t="s">
        <v>50</v>
      </c>
      <c r="C973">
        <v>18</v>
      </c>
      <c r="D973" t="s">
        <v>52</v>
      </c>
      <c r="E973" t="s">
        <v>36</v>
      </c>
      <c r="F973" t="s">
        <v>44</v>
      </c>
      <c r="G973">
        <v>3</v>
      </c>
      <c r="H973">
        <v>2</v>
      </c>
      <c r="I973" t="s">
        <v>45</v>
      </c>
      <c r="J973" t="s">
        <v>45</v>
      </c>
      <c r="K973" t="s">
        <v>40</v>
      </c>
      <c r="L973" t="s">
        <v>41</v>
      </c>
      <c r="M973">
        <v>2</v>
      </c>
      <c r="N973">
        <v>1</v>
      </c>
      <c r="O973">
        <v>0</v>
      </c>
      <c r="P973" t="s">
        <v>43</v>
      </c>
      <c r="Q973" t="s">
        <v>42</v>
      </c>
      <c r="R973" t="s">
        <v>43</v>
      </c>
      <c r="S973" t="s">
        <v>43</v>
      </c>
      <c r="T973" t="s">
        <v>43</v>
      </c>
      <c r="U973" t="s">
        <v>42</v>
      </c>
      <c r="V973" t="s">
        <v>42</v>
      </c>
      <c r="W973" t="s">
        <v>43</v>
      </c>
      <c r="X973">
        <v>2</v>
      </c>
      <c r="Y973">
        <v>5</v>
      </c>
      <c r="Z973">
        <v>5</v>
      </c>
      <c r="AA973">
        <v>5</v>
      </c>
      <c r="AB973">
        <v>5</v>
      </c>
      <c r="AC973">
        <v>5</v>
      </c>
      <c r="AD973">
        <v>8</v>
      </c>
      <c r="AE973">
        <v>9</v>
      </c>
      <c r="AF973">
        <v>10</v>
      </c>
      <c r="AG973">
        <v>11</v>
      </c>
    </row>
    <row r="974" spans="1:33" x14ac:dyDescent="0.35">
      <c r="A974" t="s">
        <v>53</v>
      </c>
      <c r="B974" t="s">
        <v>50</v>
      </c>
      <c r="C974">
        <v>19</v>
      </c>
      <c r="D974" t="s">
        <v>52</v>
      </c>
      <c r="E974" t="s">
        <v>36</v>
      </c>
      <c r="F974" t="s">
        <v>44</v>
      </c>
      <c r="G974">
        <v>1</v>
      </c>
      <c r="H974">
        <v>1</v>
      </c>
      <c r="I974" t="s">
        <v>45</v>
      </c>
      <c r="J974" t="s">
        <v>48</v>
      </c>
      <c r="K974" t="s">
        <v>49</v>
      </c>
      <c r="L974" t="s">
        <v>45</v>
      </c>
      <c r="M974">
        <v>3</v>
      </c>
      <c r="N974">
        <v>2</v>
      </c>
      <c r="O974">
        <v>1</v>
      </c>
      <c r="P974" t="s">
        <v>43</v>
      </c>
      <c r="Q974" t="s">
        <v>43</v>
      </c>
      <c r="R974" t="s">
        <v>43</v>
      </c>
      <c r="S974" t="s">
        <v>43</v>
      </c>
      <c r="T974" t="s">
        <v>42</v>
      </c>
      <c r="U974" t="s">
        <v>42</v>
      </c>
      <c r="V974" t="s">
        <v>42</v>
      </c>
      <c r="W974" t="s">
        <v>43</v>
      </c>
      <c r="X974">
        <v>5</v>
      </c>
      <c r="Y974">
        <v>4</v>
      </c>
      <c r="Z974">
        <v>4</v>
      </c>
      <c r="AA974">
        <v>3</v>
      </c>
      <c r="AB974">
        <v>3</v>
      </c>
      <c r="AC974">
        <v>2</v>
      </c>
      <c r="AD974">
        <v>8</v>
      </c>
      <c r="AE974">
        <v>10</v>
      </c>
      <c r="AF974">
        <v>9</v>
      </c>
      <c r="AG974">
        <v>11</v>
      </c>
    </row>
    <row r="975" spans="1:33" x14ac:dyDescent="0.35">
      <c r="A975" t="s">
        <v>53</v>
      </c>
      <c r="B975" t="s">
        <v>50</v>
      </c>
      <c r="C975">
        <v>17</v>
      </c>
      <c r="D975" t="s">
        <v>35</v>
      </c>
      <c r="E975" t="s">
        <v>36</v>
      </c>
      <c r="F975" t="s">
        <v>44</v>
      </c>
      <c r="G975">
        <v>3</v>
      </c>
      <c r="H975">
        <v>3</v>
      </c>
      <c r="I975" t="s">
        <v>28</v>
      </c>
      <c r="J975" t="s">
        <v>45</v>
      </c>
      <c r="K975" t="s">
        <v>40</v>
      </c>
      <c r="L975" t="s">
        <v>41</v>
      </c>
      <c r="M975">
        <v>2</v>
      </c>
      <c r="N975">
        <v>2</v>
      </c>
      <c r="O975">
        <v>1</v>
      </c>
      <c r="P975" t="s">
        <v>43</v>
      </c>
      <c r="Q975" t="s">
        <v>42</v>
      </c>
      <c r="R975" t="s">
        <v>43</v>
      </c>
      <c r="S975" t="s">
        <v>43</v>
      </c>
      <c r="T975" t="s">
        <v>42</v>
      </c>
      <c r="U975" t="s">
        <v>42</v>
      </c>
      <c r="V975" t="s">
        <v>42</v>
      </c>
      <c r="W975" t="s">
        <v>43</v>
      </c>
      <c r="X975">
        <v>4</v>
      </c>
      <c r="Y975">
        <v>5</v>
      </c>
      <c r="Z975">
        <v>4</v>
      </c>
      <c r="AA975">
        <v>2</v>
      </c>
      <c r="AB975">
        <v>3</v>
      </c>
      <c r="AC975">
        <v>3</v>
      </c>
      <c r="AD975">
        <v>4</v>
      </c>
      <c r="AE975">
        <v>8</v>
      </c>
      <c r="AF975">
        <v>9</v>
      </c>
      <c r="AG975">
        <v>10</v>
      </c>
    </row>
    <row r="976" spans="1:33" x14ac:dyDescent="0.35">
      <c r="A976" t="s">
        <v>53</v>
      </c>
      <c r="B976" t="s">
        <v>50</v>
      </c>
      <c r="C976">
        <v>18</v>
      </c>
      <c r="D976" t="s">
        <v>35</v>
      </c>
      <c r="E976" t="s">
        <v>47</v>
      </c>
      <c r="F976" t="s">
        <v>44</v>
      </c>
      <c r="G976">
        <v>1</v>
      </c>
      <c r="H976">
        <v>3</v>
      </c>
      <c r="I976" t="s">
        <v>38</v>
      </c>
      <c r="J976" t="s">
        <v>48</v>
      </c>
      <c r="K976" t="s">
        <v>40</v>
      </c>
      <c r="L976" t="s">
        <v>41</v>
      </c>
      <c r="M976">
        <v>1</v>
      </c>
      <c r="N976">
        <v>1</v>
      </c>
      <c r="O976">
        <v>0</v>
      </c>
      <c r="P976" t="s">
        <v>43</v>
      </c>
      <c r="Q976" t="s">
        <v>43</v>
      </c>
      <c r="R976" t="s">
        <v>43</v>
      </c>
      <c r="S976" t="s">
        <v>43</v>
      </c>
      <c r="T976" t="s">
        <v>42</v>
      </c>
      <c r="U976" t="s">
        <v>43</v>
      </c>
      <c r="V976" t="s">
        <v>42</v>
      </c>
      <c r="W976" t="s">
        <v>42</v>
      </c>
      <c r="X976">
        <v>4</v>
      </c>
      <c r="Y976">
        <v>3</v>
      </c>
      <c r="Z976">
        <v>3</v>
      </c>
      <c r="AA976">
        <v>2</v>
      </c>
      <c r="AB976">
        <v>3</v>
      </c>
      <c r="AC976">
        <v>3</v>
      </c>
      <c r="AD976">
        <v>0</v>
      </c>
      <c r="AE976">
        <v>9</v>
      </c>
      <c r="AF976">
        <v>10</v>
      </c>
      <c r="AG976">
        <v>9</v>
      </c>
    </row>
    <row r="977" spans="1:33" x14ac:dyDescent="0.35">
      <c r="A977" t="s">
        <v>53</v>
      </c>
      <c r="B977" t="s">
        <v>50</v>
      </c>
      <c r="C977">
        <v>19</v>
      </c>
      <c r="D977" t="s">
        <v>52</v>
      </c>
      <c r="E977" t="s">
        <v>36</v>
      </c>
      <c r="F977" t="s">
        <v>44</v>
      </c>
      <c r="G977">
        <v>1</v>
      </c>
      <c r="H977">
        <v>1</v>
      </c>
      <c r="I977" t="s">
        <v>45</v>
      </c>
      <c r="J977" t="s">
        <v>45</v>
      </c>
      <c r="K977" t="s">
        <v>49</v>
      </c>
      <c r="L977" t="s">
        <v>45</v>
      </c>
      <c r="M977">
        <v>3</v>
      </c>
      <c r="N977">
        <v>1</v>
      </c>
      <c r="O977">
        <v>1</v>
      </c>
      <c r="P977" t="s">
        <v>43</v>
      </c>
      <c r="Q977" t="s">
        <v>42</v>
      </c>
      <c r="R977" t="s">
        <v>43</v>
      </c>
      <c r="S977" t="s">
        <v>43</v>
      </c>
      <c r="T977" t="s">
        <v>42</v>
      </c>
      <c r="U977" t="s">
        <v>42</v>
      </c>
      <c r="V977" t="s">
        <v>42</v>
      </c>
      <c r="W977" t="s">
        <v>43</v>
      </c>
      <c r="X977">
        <v>4</v>
      </c>
      <c r="Y977">
        <v>4</v>
      </c>
      <c r="Z977">
        <v>4</v>
      </c>
      <c r="AA977">
        <v>3</v>
      </c>
      <c r="AB977">
        <v>3</v>
      </c>
      <c r="AC977">
        <v>5</v>
      </c>
      <c r="AD977">
        <v>4</v>
      </c>
      <c r="AE977">
        <v>8</v>
      </c>
      <c r="AF977">
        <v>9</v>
      </c>
      <c r="AG977">
        <v>10</v>
      </c>
    </row>
    <row r="978" spans="1:33" x14ac:dyDescent="0.35">
      <c r="A978" t="s">
        <v>53</v>
      </c>
      <c r="B978" t="s">
        <v>34</v>
      </c>
      <c r="C978">
        <v>18</v>
      </c>
      <c r="D978" t="s">
        <v>35</v>
      </c>
      <c r="E978" t="s">
        <v>36</v>
      </c>
      <c r="F978" t="s">
        <v>37</v>
      </c>
      <c r="G978">
        <v>1</v>
      </c>
      <c r="H978">
        <v>2</v>
      </c>
      <c r="I978" t="s">
        <v>38</v>
      </c>
      <c r="J978" t="s">
        <v>45</v>
      </c>
      <c r="K978" t="s">
        <v>40</v>
      </c>
      <c r="L978" t="s">
        <v>41</v>
      </c>
      <c r="M978">
        <v>2</v>
      </c>
      <c r="N978">
        <v>2</v>
      </c>
      <c r="O978">
        <v>2</v>
      </c>
      <c r="P978" t="s">
        <v>43</v>
      </c>
      <c r="Q978" t="s">
        <v>42</v>
      </c>
      <c r="R978" t="s">
        <v>43</v>
      </c>
      <c r="S978" t="s">
        <v>43</v>
      </c>
      <c r="T978" t="s">
        <v>42</v>
      </c>
      <c r="U978" t="s">
        <v>42</v>
      </c>
      <c r="V978" t="s">
        <v>43</v>
      </c>
      <c r="W978" t="s">
        <v>43</v>
      </c>
      <c r="X978">
        <v>4</v>
      </c>
      <c r="Y978">
        <v>3</v>
      </c>
      <c r="Z978">
        <v>3</v>
      </c>
      <c r="AA978">
        <v>1</v>
      </c>
      <c r="AB978">
        <v>1</v>
      </c>
      <c r="AC978">
        <v>5</v>
      </c>
      <c r="AD978">
        <v>2</v>
      </c>
      <c r="AE978">
        <v>6</v>
      </c>
      <c r="AF978">
        <v>8</v>
      </c>
      <c r="AG978">
        <v>8</v>
      </c>
    </row>
    <row r="979" spans="1:33" x14ac:dyDescent="0.35">
      <c r="A979" t="s">
        <v>53</v>
      </c>
      <c r="B979" t="s">
        <v>34</v>
      </c>
      <c r="C979">
        <v>19</v>
      </c>
      <c r="D979" t="s">
        <v>35</v>
      </c>
      <c r="E979" t="s">
        <v>47</v>
      </c>
      <c r="F979" t="s">
        <v>37</v>
      </c>
      <c r="G979">
        <v>1</v>
      </c>
      <c r="H979">
        <v>1</v>
      </c>
      <c r="I979" t="s">
        <v>38</v>
      </c>
      <c r="J979" t="s">
        <v>45</v>
      </c>
      <c r="K979" t="s">
        <v>40</v>
      </c>
      <c r="L979" t="s">
        <v>41</v>
      </c>
      <c r="M979">
        <v>1</v>
      </c>
      <c r="N979">
        <v>1</v>
      </c>
      <c r="O979">
        <v>0</v>
      </c>
      <c r="P979" t="s">
        <v>43</v>
      </c>
      <c r="Q979" t="s">
        <v>42</v>
      </c>
      <c r="R979" t="s">
        <v>43</v>
      </c>
      <c r="S979" t="s">
        <v>43</v>
      </c>
      <c r="T979" t="s">
        <v>42</v>
      </c>
      <c r="U979" t="s">
        <v>43</v>
      </c>
      <c r="V979" t="s">
        <v>43</v>
      </c>
      <c r="W979" t="s">
        <v>43</v>
      </c>
      <c r="X979">
        <v>1</v>
      </c>
      <c r="Y979">
        <v>4</v>
      </c>
      <c r="Z979">
        <v>4</v>
      </c>
      <c r="AA979">
        <v>1</v>
      </c>
      <c r="AB979">
        <v>1</v>
      </c>
      <c r="AC979">
        <v>5</v>
      </c>
      <c r="AD979">
        <v>0</v>
      </c>
      <c r="AE979">
        <v>6</v>
      </c>
      <c r="AF979">
        <v>8</v>
      </c>
      <c r="AG979">
        <v>7</v>
      </c>
    </row>
    <row r="980" spans="1:33" x14ac:dyDescent="0.35">
      <c r="A980" t="s">
        <v>53</v>
      </c>
      <c r="B980" t="s">
        <v>34</v>
      </c>
      <c r="C980">
        <v>18</v>
      </c>
      <c r="D980" t="s">
        <v>52</v>
      </c>
      <c r="E980" t="s">
        <v>36</v>
      </c>
      <c r="F980" t="s">
        <v>44</v>
      </c>
      <c r="G980">
        <v>2</v>
      </c>
      <c r="H980">
        <v>2</v>
      </c>
      <c r="I980" t="s">
        <v>45</v>
      </c>
      <c r="J980" t="s">
        <v>45</v>
      </c>
      <c r="K980" t="s">
        <v>45</v>
      </c>
      <c r="L980" t="s">
        <v>41</v>
      </c>
      <c r="M980">
        <v>2</v>
      </c>
      <c r="N980">
        <v>1</v>
      </c>
      <c r="O980">
        <v>1</v>
      </c>
      <c r="P980" t="s">
        <v>43</v>
      </c>
      <c r="Q980" t="s">
        <v>43</v>
      </c>
      <c r="R980" t="s">
        <v>43</v>
      </c>
      <c r="S980" t="s">
        <v>43</v>
      </c>
      <c r="T980" t="s">
        <v>42</v>
      </c>
      <c r="U980" t="s">
        <v>43</v>
      </c>
      <c r="V980" t="s">
        <v>42</v>
      </c>
      <c r="W980" t="s">
        <v>42</v>
      </c>
      <c r="X980">
        <v>5</v>
      </c>
      <c r="Y980">
        <v>5</v>
      </c>
      <c r="Z980">
        <v>5</v>
      </c>
      <c r="AA980">
        <v>1</v>
      </c>
      <c r="AB980">
        <v>1</v>
      </c>
      <c r="AC980">
        <v>3</v>
      </c>
      <c r="AD980">
        <v>0</v>
      </c>
      <c r="AE980">
        <v>8</v>
      </c>
      <c r="AF980">
        <v>6</v>
      </c>
      <c r="AG980">
        <v>0</v>
      </c>
    </row>
    <row r="981" spans="1:33" x14ac:dyDescent="0.35">
      <c r="A981" t="s">
        <v>53</v>
      </c>
      <c r="B981" t="s">
        <v>34</v>
      </c>
      <c r="C981">
        <v>17</v>
      </c>
      <c r="D981" t="s">
        <v>52</v>
      </c>
      <c r="E981" t="s">
        <v>36</v>
      </c>
      <c r="F981" t="s">
        <v>44</v>
      </c>
      <c r="G981">
        <v>0</v>
      </c>
      <c r="H981">
        <v>0</v>
      </c>
      <c r="I981" t="s">
        <v>38</v>
      </c>
      <c r="J981" t="s">
        <v>45</v>
      </c>
      <c r="K981" t="s">
        <v>40</v>
      </c>
      <c r="L981" t="s">
        <v>41</v>
      </c>
      <c r="M981">
        <v>2</v>
      </c>
      <c r="N981">
        <v>1</v>
      </c>
      <c r="O981">
        <v>0</v>
      </c>
      <c r="P981" t="s">
        <v>43</v>
      </c>
      <c r="Q981" t="s">
        <v>42</v>
      </c>
      <c r="R981" t="s">
        <v>43</v>
      </c>
      <c r="S981" t="s">
        <v>43</v>
      </c>
      <c r="T981" t="s">
        <v>42</v>
      </c>
      <c r="U981" t="s">
        <v>42</v>
      </c>
      <c r="V981" t="s">
        <v>42</v>
      </c>
      <c r="W981" t="s">
        <v>43</v>
      </c>
      <c r="X981">
        <v>4</v>
      </c>
      <c r="Y981">
        <v>4</v>
      </c>
      <c r="Z981">
        <v>3</v>
      </c>
      <c r="AA981">
        <v>1</v>
      </c>
      <c r="AB981">
        <v>1</v>
      </c>
      <c r="AC981">
        <v>5</v>
      </c>
      <c r="AD981">
        <v>0</v>
      </c>
      <c r="AE981">
        <v>10</v>
      </c>
      <c r="AF981">
        <v>11</v>
      </c>
      <c r="AG981">
        <v>11</v>
      </c>
    </row>
    <row r="982" spans="1:33" x14ac:dyDescent="0.35">
      <c r="A982" t="s">
        <v>53</v>
      </c>
      <c r="B982" t="s">
        <v>34</v>
      </c>
      <c r="C982">
        <v>17</v>
      </c>
      <c r="D982" t="s">
        <v>52</v>
      </c>
      <c r="E982" t="s">
        <v>47</v>
      </c>
      <c r="F982" t="s">
        <v>37</v>
      </c>
      <c r="G982">
        <v>3</v>
      </c>
      <c r="H982">
        <v>1</v>
      </c>
      <c r="I982" t="s">
        <v>45</v>
      </c>
      <c r="J982" t="s">
        <v>38</v>
      </c>
      <c r="K982" t="s">
        <v>40</v>
      </c>
      <c r="L982" t="s">
        <v>45</v>
      </c>
      <c r="M982">
        <v>2</v>
      </c>
      <c r="N982">
        <v>3</v>
      </c>
      <c r="O982">
        <v>0</v>
      </c>
      <c r="P982" t="s">
        <v>43</v>
      </c>
      <c r="Q982" t="s">
        <v>42</v>
      </c>
      <c r="R982" t="s">
        <v>42</v>
      </c>
      <c r="S982" t="s">
        <v>43</v>
      </c>
      <c r="T982" t="s">
        <v>42</v>
      </c>
      <c r="U982" t="s">
        <v>43</v>
      </c>
      <c r="V982" t="s">
        <v>43</v>
      </c>
      <c r="W982" t="s">
        <v>43</v>
      </c>
      <c r="X982">
        <v>4</v>
      </c>
      <c r="Y982">
        <v>2</v>
      </c>
      <c r="Z982">
        <v>3</v>
      </c>
      <c r="AA982">
        <v>2</v>
      </c>
      <c r="AB982">
        <v>2</v>
      </c>
      <c r="AC982">
        <v>3</v>
      </c>
      <c r="AD982">
        <v>5</v>
      </c>
      <c r="AE982">
        <v>8</v>
      </c>
      <c r="AF982">
        <v>7</v>
      </c>
      <c r="AG982">
        <v>8</v>
      </c>
    </row>
    <row r="983" spans="1:33" x14ac:dyDescent="0.35">
      <c r="A983" t="s">
        <v>53</v>
      </c>
      <c r="B983" t="s">
        <v>34</v>
      </c>
      <c r="C983">
        <v>17</v>
      </c>
      <c r="D983" t="s">
        <v>35</v>
      </c>
      <c r="E983" t="s">
        <v>36</v>
      </c>
      <c r="F983" t="s">
        <v>44</v>
      </c>
      <c r="G983">
        <v>4</v>
      </c>
      <c r="H983">
        <v>2</v>
      </c>
      <c r="I983" t="s">
        <v>39</v>
      </c>
      <c r="J983" t="s">
        <v>48</v>
      </c>
      <c r="K983" t="s">
        <v>49</v>
      </c>
      <c r="L983" t="s">
        <v>41</v>
      </c>
      <c r="M983">
        <v>1</v>
      </c>
      <c r="N983">
        <v>2</v>
      </c>
      <c r="O983">
        <v>0</v>
      </c>
      <c r="P983" t="s">
        <v>42</v>
      </c>
      <c r="Q983" t="s">
        <v>42</v>
      </c>
      <c r="R983" t="s">
        <v>43</v>
      </c>
      <c r="S983" t="s">
        <v>42</v>
      </c>
      <c r="T983" t="s">
        <v>42</v>
      </c>
      <c r="U983" t="s">
        <v>42</v>
      </c>
      <c r="V983" t="s">
        <v>42</v>
      </c>
      <c r="W983" t="s">
        <v>43</v>
      </c>
      <c r="X983">
        <v>5</v>
      </c>
      <c r="Y983">
        <v>5</v>
      </c>
      <c r="Z983">
        <v>5</v>
      </c>
      <c r="AA983">
        <v>1</v>
      </c>
      <c r="AB983">
        <v>3</v>
      </c>
      <c r="AC983">
        <v>5</v>
      </c>
      <c r="AD983">
        <v>0</v>
      </c>
      <c r="AE983">
        <v>8</v>
      </c>
      <c r="AF983">
        <v>8</v>
      </c>
      <c r="AG983">
        <v>0</v>
      </c>
    </row>
    <row r="984" spans="1:33" x14ac:dyDescent="0.35">
      <c r="A984" t="s">
        <v>53</v>
      </c>
      <c r="B984" t="s">
        <v>34</v>
      </c>
      <c r="C984">
        <v>18</v>
      </c>
      <c r="D984" t="s">
        <v>52</v>
      </c>
      <c r="E984" t="s">
        <v>47</v>
      </c>
      <c r="F984" t="s">
        <v>44</v>
      </c>
      <c r="G984">
        <v>2</v>
      </c>
      <c r="H984">
        <v>2</v>
      </c>
      <c r="I984" t="s">
        <v>48</v>
      </c>
      <c r="J984" t="s">
        <v>48</v>
      </c>
      <c r="K984" t="s">
        <v>40</v>
      </c>
      <c r="L984" t="s">
        <v>41</v>
      </c>
      <c r="M984">
        <v>1</v>
      </c>
      <c r="N984">
        <v>2</v>
      </c>
      <c r="O984">
        <v>1</v>
      </c>
      <c r="P984" t="s">
        <v>43</v>
      </c>
      <c r="Q984" t="s">
        <v>42</v>
      </c>
      <c r="R984" t="s">
        <v>43</v>
      </c>
      <c r="S984" t="s">
        <v>42</v>
      </c>
      <c r="T984" t="s">
        <v>42</v>
      </c>
      <c r="U984" t="s">
        <v>42</v>
      </c>
      <c r="V984" t="s">
        <v>42</v>
      </c>
      <c r="W984" t="s">
        <v>43</v>
      </c>
      <c r="X984">
        <v>2</v>
      </c>
      <c r="Y984">
        <v>3</v>
      </c>
      <c r="Z984">
        <v>3</v>
      </c>
      <c r="AA984">
        <v>1</v>
      </c>
      <c r="AB984">
        <v>2</v>
      </c>
      <c r="AC984">
        <v>4</v>
      </c>
      <c r="AD984">
        <v>3</v>
      </c>
      <c r="AE984">
        <v>7</v>
      </c>
      <c r="AF984">
        <v>6</v>
      </c>
      <c r="AG984">
        <v>8</v>
      </c>
    </row>
    <row r="985" spans="1:33" x14ac:dyDescent="0.35">
      <c r="A985" t="s">
        <v>53</v>
      </c>
      <c r="B985" t="s">
        <v>34</v>
      </c>
      <c r="C985">
        <v>17</v>
      </c>
      <c r="D985" t="s">
        <v>35</v>
      </c>
      <c r="E985" t="s">
        <v>36</v>
      </c>
      <c r="F985" t="s">
        <v>44</v>
      </c>
      <c r="G985">
        <v>4</v>
      </c>
      <c r="H985">
        <v>1</v>
      </c>
      <c r="I985" t="s">
        <v>28</v>
      </c>
      <c r="J985" t="s">
        <v>38</v>
      </c>
      <c r="K985" t="s">
        <v>40</v>
      </c>
      <c r="L985" t="s">
        <v>41</v>
      </c>
      <c r="M985">
        <v>1</v>
      </c>
      <c r="N985">
        <v>1</v>
      </c>
      <c r="O985">
        <v>0</v>
      </c>
      <c r="P985" t="s">
        <v>43</v>
      </c>
      <c r="Q985" t="s">
        <v>42</v>
      </c>
      <c r="R985" t="s">
        <v>43</v>
      </c>
      <c r="S985" t="s">
        <v>43</v>
      </c>
      <c r="T985" t="s">
        <v>42</v>
      </c>
      <c r="U985" t="s">
        <v>42</v>
      </c>
      <c r="V985" t="s">
        <v>43</v>
      </c>
      <c r="W985" t="s">
        <v>42</v>
      </c>
      <c r="X985">
        <v>3</v>
      </c>
      <c r="Y985">
        <v>2</v>
      </c>
      <c r="Z985">
        <v>2</v>
      </c>
      <c r="AA985">
        <v>1</v>
      </c>
      <c r="AB985">
        <v>1</v>
      </c>
      <c r="AC985">
        <v>5</v>
      </c>
      <c r="AD985">
        <v>0</v>
      </c>
      <c r="AE985">
        <v>8</v>
      </c>
      <c r="AF985">
        <v>10</v>
      </c>
      <c r="AG985">
        <v>9</v>
      </c>
    </row>
    <row r="986" spans="1:33" x14ac:dyDescent="0.35">
      <c r="A986" t="s">
        <v>53</v>
      </c>
      <c r="B986" t="s">
        <v>34</v>
      </c>
      <c r="C986">
        <v>17</v>
      </c>
      <c r="D986" t="s">
        <v>35</v>
      </c>
      <c r="E986" t="s">
        <v>47</v>
      </c>
      <c r="F986" t="s">
        <v>44</v>
      </c>
      <c r="G986">
        <v>1</v>
      </c>
      <c r="H986">
        <v>2</v>
      </c>
      <c r="I986" t="s">
        <v>38</v>
      </c>
      <c r="J986" t="s">
        <v>45</v>
      </c>
      <c r="K986" t="s">
        <v>40</v>
      </c>
      <c r="L986" t="s">
        <v>46</v>
      </c>
      <c r="M986">
        <v>1</v>
      </c>
      <c r="N986">
        <v>1</v>
      </c>
      <c r="O986">
        <v>0</v>
      </c>
      <c r="P986" t="s">
        <v>43</v>
      </c>
      <c r="Q986" t="s">
        <v>43</v>
      </c>
      <c r="R986" t="s">
        <v>43</v>
      </c>
      <c r="S986" t="s">
        <v>43</v>
      </c>
      <c r="T986" t="s">
        <v>42</v>
      </c>
      <c r="U986" t="s">
        <v>42</v>
      </c>
      <c r="V986" t="s">
        <v>42</v>
      </c>
      <c r="W986" t="s">
        <v>43</v>
      </c>
      <c r="X986">
        <v>5</v>
      </c>
      <c r="Y986">
        <v>5</v>
      </c>
      <c r="Z986">
        <v>1</v>
      </c>
      <c r="AA986">
        <v>1</v>
      </c>
      <c r="AB986">
        <v>1</v>
      </c>
      <c r="AC986">
        <v>3</v>
      </c>
      <c r="AD986">
        <v>0</v>
      </c>
      <c r="AE986">
        <v>7</v>
      </c>
      <c r="AF986">
        <v>10</v>
      </c>
      <c r="AG986">
        <v>10</v>
      </c>
    </row>
    <row r="987" spans="1:33" x14ac:dyDescent="0.35">
      <c r="A987" t="s">
        <v>53</v>
      </c>
      <c r="B987" t="s">
        <v>34</v>
      </c>
      <c r="C987">
        <v>18</v>
      </c>
      <c r="D987" t="s">
        <v>35</v>
      </c>
      <c r="E987" t="s">
        <v>36</v>
      </c>
      <c r="F987" t="s">
        <v>44</v>
      </c>
      <c r="G987">
        <v>1</v>
      </c>
      <c r="H987">
        <v>1</v>
      </c>
      <c r="I987" t="s">
        <v>45</v>
      </c>
      <c r="J987" t="s">
        <v>45</v>
      </c>
      <c r="K987" t="s">
        <v>40</v>
      </c>
      <c r="L987" t="s">
        <v>41</v>
      </c>
      <c r="M987">
        <v>3</v>
      </c>
      <c r="N987">
        <v>2</v>
      </c>
      <c r="O987">
        <v>2</v>
      </c>
      <c r="P987" t="s">
        <v>43</v>
      </c>
      <c r="Q987" t="s">
        <v>43</v>
      </c>
      <c r="R987" t="s">
        <v>43</v>
      </c>
      <c r="S987" t="s">
        <v>42</v>
      </c>
      <c r="T987" t="s">
        <v>42</v>
      </c>
      <c r="U987" t="s">
        <v>42</v>
      </c>
      <c r="V987" t="s">
        <v>43</v>
      </c>
      <c r="W987" t="s">
        <v>42</v>
      </c>
      <c r="X987">
        <v>3</v>
      </c>
      <c r="Y987">
        <v>4</v>
      </c>
      <c r="Z987">
        <v>4</v>
      </c>
      <c r="AA987">
        <v>2</v>
      </c>
      <c r="AB987">
        <v>2</v>
      </c>
      <c r="AC987">
        <v>5</v>
      </c>
      <c r="AD987">
        <v>3</v>
      </c>
      <c r="AE987">
        <v>7</v>
      </c>
      <c r="AF987">
        <v>8</v>
      </c>
      <c r="AG987">
        <v>7</v>
      </c>
    </row>
    <row r="988" spans="1:33" x14ac:dyDescent="0.35">
      <c r="A988" t="s">
        <v>53</v>
      </c>
      <c r="B988" t="s">
        <v>34</v>
      </c>
      <c r="C988">
        <v>18</v>
      </c>
      <c r="D988" t="s">
        <v>35</v>
      </c>
      <c r="E988" t="s">
        <v>36</v>
      </c>
      <c r="F988" t="s">
        <v>44</v>
      </c>
      <c r="G988">
        <v>2</v>
      </c>
      <c r="H988">
        <v>2</v>
      </c>
      <c r="I988" t="s">
        <v>48</v>
      </c>
      <c r="J988" t="s">
        <v>38</v>
      </c>
      <c r="K988" t="s">
        <v>51</v>
      </c>
      <c r="L988" t="s">
        <v>46</v>
      </c>
      <c r="M988">
        <v>2</v>
      </c>
      <c r="N988">
        <v>2</v>
      </c>
      <c r="O988">
        <v>0</v>
      </c>
      <c r="P988" t="s">
        <v>43</v>
      </c>
      <c r="Q988" t="s">
        <v>43</v>
      </c>
      <c r="R988" t="s">
        <v>43</v>
      </c>
      <c r="S988" t="s">
        <v>42</v>
      </c>
      <c r="T988" t="s">
        <v>43</v>
      </c>
      <c r="U988" t="s">
        <v>42</v>
      </c>
      <c r="V988" t="s">
        <v>42</v>
      </c>
      <c r="W988" t="s">
        <v>43</v>
      </c>
      <c r="X988">
        <v>4</v>
      </c>
      <c r="Y988">
        <v>3</v>
      </c>
      <c r="Z988">
        <v>5</v>
      </c>
      <c r="AA988">
        <v>1</v>
      </c>
      <c r="AB988">
        <v>1</v>
      </c>
      <c r="AC988">
        <v>1</v>
      </c>
      <c r="AD988">
        <v>2</v>
      </c>
      <c r="AE988">
        <v>12</v>
      </c>
      <c r="AF988">
        <v>13</v>
      </c>
      <c r="AG988">
        <v>14</v>
      </c>
    </row>
    <row r="989" spans="1:33" x14ac:dyDescent="0.35">
      <c r="A989" t="s">
        <v>53</v>
      </c>
      <c r="B989" t="s">
        <v>34</v>
      </c>
      <c r="C989">
        <v>17</v>
      </c>
      <c r="D989" t="s">
        <v>35</v>
      </c>
      <c r="E989" t="s">
        <v>36</v>
      </c>
      <c r="F989" t="s">
        <v>44</v>
      </c>
      <c r="G989">
        <v>3</v>
      </c>
      <c r="H989">
        <v>3</v>
      </c>
      <c r="I989" t="s">
        <v>48</v>
      </c>
      <c r="J989" t="s">
        <v>48</v>
      </c>
      <c r="K989" t="s">
        <v>40</v>
      </c>
      <c r="L989" t="s">
        <v>41</v>
      </c>
      <c r="M989">
        <v>2</v>
      </c>
      <c r="N989">
        <v>1</v>
      </c>
      <c r="O989">
        <v>0</v>
      </c>
      <c r="P989" t="s">
        <v>43</v>
      </c>
      <c r="Q989" t="s">
        <v>42</v>
      </c>
      <c r="R989" t="s">
        <v>43</v>
      </c>
      <c r="S989" t="s">
        <v>43</v>
      </c>
      <c r="T989" t="s">
        <v>42</v>
      </c>
      <c r="U989" t="s">
        <v>42</v>
      </c>
      <c r="V989" t="s">
        <v>42</v>
      </c>
      <c r="W989" t="s">
        <v>43</v>
      </c>
      <c r="X989">
        <v>4</v>
      </c>
      <c r="Y989">
        <v>4</v>
      </c>
      <c r="Z989">
        <v>3</v>
      </c>
      <c r="AA989">
        <v>1</v>
      </c>
      <c r="AB989">
        <v>1</v>
      </c>
      <c r="AC989">
        <v>4</v>
      </c>
      <c r="AD989">
        <v>0</v>
      </c>
      <c r="AE989">
        <v>11</v>
      </c>
      <c r="AF989">
        <v>12</v>
      </c>
      <c r="AG989">
        <v>13</v>
      </c>
    </row>
    <row r="990" spans="1:33" x14ac:dyDescent="0.35">
      <c r="A990" t="s">
        <v>53</v>
      </c>
      <c r="B990" t="s">
        <v>34</v>
      </c>
      <c r="C990">
        <v>18</v>
      </c>
      <c r="D990" t="s">
        <v>35</v>
      </c>
      <c r="E990" t="s">
        <v>47</v>
      </c>
      <c r="F990" t="s">
        <v>37</v>
      </c>
      <c r="G990">
        <v>1</v>
      </c>
      <c r="H990">
        <v>2</v>
      </c>
      <c r="I990" t="s">
        <v>38</v>
      </c>
      <c r="J990" t="s">
        <v>45</v>
      </c>
      <c r="K990" t="s">
        <v>51</v>
      </c>
      <c r="L990" t="s">
        <v>41</v>
      </c>
      <c r="M990">
        <v>2</v>
      </c>
      <c r="N990">
        <v>2</v>
      </c>
      <c r="O990">
        <v>0</v>
      </c>
      <c r="P990" t="s">
        <v>43</v>
      </c>
      <c r="Q990" t="s">
        <v>43</v>
      </c>
      <c r="R990" t="s">
        <v>43</v>
      </c>
      <c r="S990" t="s">
        <v>43</v>
      </c>
      <c r="T990" t="s">
        <v>42</v>
      </c>
      <c r="U990" t="s">
        <v>42</v>
      </c>
      <c r="V990" t="s">
        <v>42</v>
      </c>
      <c r="W990" t="s">
        <v>43</v>
      </c>
      <c r="X990">
        <v>4</v>
      </c>
      <c r="Y990">
        <v>4</v>
      </c>
      <c r="Z990">
        <v>3</v>
      </c>
      <c r="AA990">
        <v>1</v>
      </c>
      <c r="AB990">
        <v>2</v>
      </c>
      <c r="AC990">
        <v>4</v>
      </c>
      <c r="AD990">
        <v>0</v>
      </c>
      <c r="AE990">
        <v>12</v>
      </c>
      <c r="AF990">
        <v>13</v>
      </c>
      <c r="AG990">
        <v>14</v>
      </c>
    </row>
    <row r="991" spans="1:33" x14ac:dyDescent="0.35">
      <c r="A991" t="s">
        <v>53</v>
      </c>
      <c r="B991" t="s">
        <v>34</v>
      </c>
      <c r="C991">
        <v>18</v>
      </c>
      <c r="D991" t="s">
        <v>35</v>
      </c>
      <c r="E991" t="s">
        <v>36</v>
      </c>
      <c r="F991" t="s">
        <v>44</v>
      </c>
      <c r="G991">
        <v>4</v>
      </c>
      <c r="H991">
        <v>4</v>
      </c>
      <c r="I991" t="s">
        <v>39</v>
      </c>
      <c r="J991" t="s">
        <v>39</v>
      </c>
      <c r="K991" t="s">
        <v>51</v>
      </c>
      <c r="L991" t="s">
        <v>41</v>
      </c>
      <c r="M991">
        <v>2</v>
      </c>
      <c r="N991">
        <v>2</v>
      </c>
      <c r="O991">
        <v>0</v>
      </c>
      <c r="P991" t="s">
        <v>43</v>
      </c>
      <c r="Q991" t="s">
        <v>43</v>
      </c>
      <c r="R991" t="s">
        <v>43</v>
      </c>
      <c r="S991" t="s">
        <v>42</v>
      </c>
      <c r="T991" t="s">
        <v>43</v>
      </c>
      <c r="U991" t="s">
        <v>42</v>
      </c>
      <c r="V991" t="s">
        <v>42</v>
      </c>
      <c r="W991" t="s">
        <v>43</v>
      </c>
      <c r="X991">
        <v>4</v>
      </c>
      <c r="Y991">
        <v>3</v>
      </c>
      <c r="Z991">
        <v>5</v>
      </c>
      <c r="AA991">
        <v>1</v>
      </c>
      <c r="AB991">
        <v>2</v>
      </c>
      <c r="AC991">
        <v>1</v>
      </c>
      <c r="AD991">
        <v>0</v>
      </c>
      <c r="AE991">
        <v>18</v>
      </c>
      <c r="AF991">
        <v>18</v>
      </c>
      <c r="AG991">
        <v>18</v>
      </c>
    </row>
    <row r="992" spans="1:33" x14ac:dyDescent="0.35">
      <c r="A992" t="s">
        <v>53</v>
      </c>
      <c r="B992" t="s">
        <v>50</v>
      </c>
      <c r="C992">
        <v>18</v>
      </c>
      <c r="D992" t="s">
        <v>35</v>
      </c>
      <c r="E992" t="s">
        <v>47</v>
      </c>
      <c r="F992" t="s">
        <v>44</v>
      </c>
      <c r="G992">
        <v>4</v>
      </c>
      <c r="H992">
        <v>4</v>
      </c>
      <c r="I992" t="s">
        <v>48</v>
      </c>
      <c r="J992" t="s">
        <v>45</v>
      </c>
      <c r="K992" t="s">
        <v>51</v>
      </c>
      <c r="L992" t="s">
        <v>41</v>
      </c>
      <c r="M992">
        <v>1</v>
      </c>
      <c r="N992">
        <v>1</v>
      </c>
      <c r="O992">
        <v>0</v>
      </c>
      <c r="P992" t="s">
        <v>43</v>
      </c>
      <c r="Q992" t="s">
        <v>42</v>
      </c>
      <c r="R992" t="s">
        <v>43</v>
      </c>
      <c r="S992" t="s">
        <v>42</v>
      </c>
      <c r="T992" t="s">
        <v>42</v>
      </c>
      <c r="U992" t="s">
        <v>42</v>
      </c>
      <c r="V992" t="s">
        <v>42</v>
      </c>
      <c r="W992" t="s">
        <v>43</v>
      </c>
      <c r="X992">
        <v>5</v>
      </c>
      <c r="Y992">
        <v>4</v>
      </c>
      <c r="Z992">
        <v>5</v>
      </c>
      <c r="AA992">
        <v>1</v>
      </c>
      <c r="AB992">
        <v>1</v>
      </c>
      <c r="AC992">
        <v>5</v>
      </c>
      <c r="AD992">
        <v>3</v>
      </c>
      <c r="AE992">
        <v>17</v>
      </c>
      <c r="AF992">
        <v>17</v>
      </c>
      <c r="AG992">
        <v>17</v>
      </c>
    </row>
    <row r="993" spans="1:33" x14ac:dyDescent="0.35">
      <c r="A993" t="s">
        <v>53</v>
      </c>
      <c r="B993" t="s">
        <v>34</v>
      </c>
      <c r="C993">
        <v>17</v>
      </c>
      <c r="D993" t="s">
        <v>35</v>
      </c>
      <c r="E993" t="s">
        <v>36</v>
      </c>
      <c r="F993" t="s">
        <v>44</v>
      </c>
      <c r="G993">
        <v>4</v>
      </c>
      <c r="H993">
        <v>2</v>
      </c>
      <c r="I993" t="s">
        <v>45</v>
      </c>
      <c r="J993" t="s">
        <v>45</v>
      </c>
      <c r="K993" t="s">
        <v>40</v>
      </c>
      <c r="L993" t="s">
        <v>41</v>
      </c>
      <c r="M993">
        <v>2</v>
      </c>
      <c r="N993">
        <v>2</v>
      </c>
      <c r="O993">
        <v>0</v>
      </c>
      <c r="P993" t="s">
        <v>43</v>
      </c>
      <c r="Q993" t="s">
        <v>42</v>
      </c>
      <c r="R993" t="s">
        <v>43</v>
      </c>
      <c r="S993" t="s">
        <v>43</v>
      </c>
      <c r="T993" t="s">
        <v>42</v>
      </c>
      <c r="U993" t="s">
        <v>42</v>
      </c>
      <c r="V993" t="s">
        <v>42</v>
      </c>
      <c r="W993" t="s">
        <v>43</v>
      </c>
      <c r="X993">
        <v>4</v>
      </c>
      <c r="Y993">
        <v>3</v>
      </c>
      <c r="Z993">
        <v>3</v>
      </c>
      <c r="AA993">
        <v>1</v>
      </c>
      <c r="AB993">
        <v>2</v>
      </c>
      <c r="AC993">
        <v>4</v>
      </c>
      <c r="AD993">
        <v>0</v>
      </c>
      <c r="AE993">
        <v>17</v>
      </c>
      <c r="AF993">
        <v>18</v>
      </c>
      <c r="AG993">
        <v>18</v>
      </c>
    </row>
    <row r="994" spans="1:33" x14ac:dyDescent="0.35">
      <c r="A994" t="s">
        <v>53</v>
      </c>
      <c r="B994" t="s">
        <v>34</v>
      </c>
      <c r="C994">
        <v>18</v>
      </c>
      <c r="D994" t="s">
        <v>52</v>
      </c>
      <c r="E994" t="s">
        <v>36</v>
      </c>
      <c r="F994" t="s">
        <v>44</v>
      </c>
      <c r="G994">
        <v>2</v>
      </c>
      <c r="H994">
        <v>2</v>
      </c>
      <c r="I994" t="s">
        <v>38</v>
      </c>
      <c r="J994" t="s">
        <v>45</v>
      </c>
      <c r="K994" t="s">
        <v>40</v>
      </c>
      <c r="L994" t="s">
        <v>41</v>
      </c>
      <c r="M994">
        <v>3</v>
      </c>
      <c r="N994">
        <v>2</v>
      </c>
      <c r="O994">
        <v>1</v>
      </c>
      <c r="P994" t="s">
        <v>43</v>
      </c>
      <c r="Q994" t="s">
        <v>43</v>
      </c>
      <c r="R994" t="s">
        <v>43</v>
      </c>
      <c r="S994" t="s">
        <v>42</v>
      </c>
      <c r="T994" t="s">
        <v>42</v>
      </c>
      <c r="U994" t="s">
        <v>42</v>
      </c>
      <c r="V994" t="s">
        <v>43</v>
      </c>
      <c r="W994" t="s">
        <v>42</v>
      </c>
      <c r="X994">
        <v>4</v>
      </c>
      <c r="Y994">
        <v>3</v>
      </c>
      <c r="Z994">
        <v>3</v>
      </c>
      <c r="AA994">
        <v>1</v>
      </c>
      <c r="AB994">
        <v>1</v>
      </c>
      <c r="AC994">
        <v>4</v>
      </c>
      <c r="AD994">
        <v>0</v>
      </c>
      <c r="AE994">
        <v>9</v>
      </c>
      <c r="AF994">
        <v>0</v>
      </c>
      <c r="AG994">
        <v>0</v>
      </c>
    </row>
    <row r="995" spans="1:33" x14ac:dyDescent="0.35">
      <c r="A995" t="s">
        <v>53</v>
      </c>
      <c r="B995" t="s">
        <v>50</v>
      </c>
      <c r="C995">
        <v>18</v>
      </c>
      <c r="D995" t="s">
        <v>35</v>
      </c>
      <c r="E995" t="s">
        <v>47</v>
      </c>
      <c r="F995" t="s">
        <v>44</v>
      </c>
      <c r="G995">
        <v>1</v>
      </c>
      <c r="H995">
        <v>2</v>
      </c>
      <c r="I995" t="s">
        <v>38</v>
      </c>
      <c r="J995" t="s">
        <v>48</v>
      </c>
      <c r="K995" t="s">
        <v>49</v>
      </c>
      <c r="L995" t="s">
        <v>41</v>
      </c>
      <c r="M995">
        <v>2</v>
      </c>
      <c r="N995">
        <v>1</v>
      </c>
      <c r="O995">
        <v>0</v>
      </c>
      <c r="P995" t="s">
        <v>43</v>
      </c>
      <c r="Q995" t="s">
        <v>42</v>
      </c>
      <c r="R995" t="s">
        <v>43</v>
      </c>
      <c r="S995" t="s">
        <v>43</v>
      </c>
      <c r="T995" t="s">
        <v>43</v>
      </c>
      <c r="U995" t="s">
        <v>42</v>
      </c>
      <c r="V995" t="s">
        <v>43</v>
      </c>
      <c r="W995" t="s">
        <v>43</v>
      </c>
      <c r="X995">
        <v>4</v>
      </c>
      <c r="Y995">
        <v>1</v>
      </c>
      <c r="Z995">
        <v>4</v>
      </c>
      <c r="AA995">
        <v>5</v>
      </c>
      <c r="AB995">
        <v>5</v>
      </c>
      <c r="AC995">
        <v>1</v>
      </c>
      <c r="AD995">
        <v>8</v>
      </c>
      <c r="AE995">
        <v>10</v>
      </c>
      <c r="AF995">
        <v>11</v>
      </c>
      <c r="AG995">
        <v>11</v>
      </c>
    </row>
    <row r="996" spans="1:33" x14ac:dyDescent="0.35">
      <c r="A996" t="s">
        <v>53</v>
      </c>
      <c r="B996" t="s">
        <v>50</v>
      </c>
      <c r="C996">
        <v>18</v>
      </c>
      <c r="D996" t="s">
        <v>52</v>
      </c>
      <c r="E996" t="s">
        <v>36</v>
      </c>
      <c r="F996" t="s">
        <v>44</v>
      </c>
      <c r="G996">
        <v>4</v>
      </c>
      <c r="H996">
        <v>4</v>
      </c>
      <c r="I996" t="s">
        <v>38</v>
      </c>
      <c r="J996" t="s">
        <v>48</v>
      </c>
      <c r="K996" t="s">
        <v>45</v>
      </c>
      <c r="L996" t="s">
        <v>41</v>
      </c>
      <c r="M996">
        <v>3</v>
      </c>
      <c r="N996">
        <v>1</v>
      </c>
      <c r="O996">
        <v>0</v>
      </c>
      <c r="P996" t="s">
        <v>43</v>
      </c>
      <c r="Q996" t="s">
        <v>42</v>
      </c>
      <c r="R996" t="s">
        <v>42</v>
      </c>
      <c r="S996" t="s">
        <v>42</v>
      </c>
      <c r="T996" t="s">
        <v>42</v>
      </c>
      <c r="U996" t="s">
        <v>42</v>
      </c>
      <c r="V996" t="s">
        <v>42</v>
      </c>
      <c r="W996" t="s">
        <v>42</v>
      </c>
      <c r="X996">
        <v>2</v>
      </c>
      <c r="Y996">
        <v>5</v>
      </c>
      <c r="Z996">
        <v>5</v>
      </c>
      <c r="AA996">
        <v>1</v>
      </c>
      <c r="AB996">
        <v>1</v>
      </c>
      <c r="AC996">
        <v>1</v>
      </c>
      <c r="AD996">
        <v>5</v>
      </c>
      <c r="AE996">
        <v>12</v>
      </c>
      <c r="AF996">
        <v>13</v>
      </c>
      <c r="AG996">
        <v>14</v>
      </c>
    </row>
    <row r="997" spans="1:33" x14ac:dyDescent="0.35">
      <c r="A997" t="s">
        <v>53</v>
      </c>
      <c r="B997" t="s">
        <v>50</v>
      </c>
      <c r="C997">
        <v>17</v>
      </c>
      <c r="D997" t="s">
        <v>52</v>
      </c>
      <c r="E997" t="s">
        <v>36</v>
      </c>
      <c r="F997" t="s">
        <v>44</v>
      </c>
      <c r="G997">
        <v>1</v>
      </c>
      <c r="H997">
        <v>1</v>
      </c>
      <c r="I997" t="s">
        <v>45</v>
      </c>
      <c r="J997" t="s">
        <v>48</v>
      </c>
      <c r="K997" t="s">
        <v>45</v>
      </c>
      <c r="L997" t="s">
        <v>46</v>
      </c>
      <c r="M997">
        <v>3</v>
      </c>
      <c r="N997">
        <v>1</v>
      </c>
      <c r="O997">
        <v>0</v>
      </c>
      <c r="P997" t="s">
        <v>43</v>
      </c>
      <c r="Q997" t="s">
        <v>43</v>
      </c>
      <c r="R997" t="s">
        <v>43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>
        <v>4</v>
      </c>
      <c r="Y997">
        <v>2</v>
      </c>
      <c r="Z997">
        <v>3</v>
      </c>
      <c r="AA997">
        <v>3</v>
      </c>
      <c r="AB997">
        <v>4</v>
      </c>
      <c r="AC997">
        <v>4</v>
      </c>
      <c r="AD997">
        <v>4</v>
      </c>
      <c r="AE997">
        <v>12</v>
      </c>
      <c r="AF997">
        <v>13</v>
      </c>
      <c r="AG997">
        <v>14</v>
      </c>
    </row>
    <row r="998" spans="1:33" x14ac:dyDescent="0.35">
      <c r="A998" t="s">
        <v>53</v>
      </c>
      <c r="B998" t="s">
        <v>34</v>
      </c>
      <c r="C998">
        <v>18</v>
      </c>
      <c r="D998" t="s">
        <v>35</v>
      </c>
      <c r="E998" t="s">
        <v>36</v>
      </c>
      <c r="F998" t="s">
        <v>44</v>
      </c>
      <c r="G998">
        <v>2</v>
      </c>
      <c r="H998">
        <v>2</v>
      </c>
      <c r="I998" t="s">
        <v>45</v>
      </c>
      <c r="J998" t="s">
        <v>45</v>
      </c>
      <c r="K998" t="s">
        <v>40</v>
      </c>
      <c r="L998" t="s">
        <v>41</v>
      </c>
      <c r="M998">
        <v>2</v>
      </c>
      <c r="N998">
        <v>2</v>
      </c>
      <c r="O998">
        <v>0</v>
      </c>
      <c r="P998" t="s">
        <v>43</v>
      </c>
      <c r="Q998" t="s">
        <v>42</v>
      </c>
      <c r="R998" t="s">
        <v>43</v>
      </c>
      <c r="S998" t="s">
        <v>43</v>
      </c>
      <c r="T998" t="s">
        <v>43</v>
      </c>
      <c r="U998" t="s">
        <v>42</v>
      </c>
      <c r="V998" t="s">
        <v>42</v>
      </c>
      <c r="W998" t="s">
        <v>42</v>
      </c>
      <c r="X998">
        <v>1</v>
      </c>
      <c r="Y998">
        <v>3</v>
      </c>
      <c r="Z998">
        <v>1</v>
      </c>
      <c r="AA998">
        <v>1</v>
      </c>
      <c r="AB998">
        <v>1</v>
      </c>
      <c r="AC998">
        <v>2</v>
      </c>
      <c r="AD998">
        <v>4</v>
      </c>
      <c r="AE998">
        <v>8</v>
      </c>
      <c r="AF998">
        <v>8</v>
      </c>
      <c r="AG998">
        <v>10</v>
      </c>
    </row>
    <row r="999" spans="1:33" x14ac:dyDescent="0.35">
      <c r="A999" t="s">
        <v>53</v>
      </c>
      <c r="B999" t="s">
        <v>34</v>
      </c>
      <c r="C999">
        <v>18</v>
      </c>
      <c r="D999" t="s">
        <v>35</v>
      </c>
      <c r="E999" t="s">
        <v>47</v>
      </c>
      <c r="F999" t="s">
        <v>44</v>
      </c>
      <c r="G999">
        <v>2</v>
      </c>
      <c r="H999">
        <v>2</v>
      </c>
      <c r="I999" t="s">
        <v>48</v>
      </c>
      <c r="J999" t="s">
        <v>48</v>
      </c>
      <c r="K999" t="s">
        <v>40</v>
      </c>
      <c r="L999" t="s">
        <v>46</v>
      </c>
      <c r="M999">
        <v>2</v>
      </c>
      <c r="N999">
        <v>3</v>
      </c>
      <c r="O999">
        <v>0</v>
      </c>
      <c r="P999" t="s">
        <v>43</v>
      </c>
      <c r="Q999" t="s">
        <v>43</v>
      </c>
      <c r="R999" t="s">
        <v>43</v>
      </c>
      <c r="S999" t="s">
        <v>43</v>
      </c>
      <c r="T999" t="s">
        <v>42</v>
      </c>
      <c r="U999" t="s">
        <v>42</v>
      </c>
      <c r="V999" t="s">
        <v>42</v>
      </c>
      <c r="W999" t="s">
        <v>42</v>
      </c>
      <c r="X999">
        <v>5</v>
      </c>
      <c r="Y999">
        <v>4</v>
      </c>
      <c r="Z999">
        <v>5</v>
      </c>
      <c r="AA999">
        <v>1</v>
      </c>
      <c r="AB999">
        <v>4</v>
      </c>
      <c r="AC999">
        <v>3</v>
      </c>
      <c r="AD999">
        <v>0</v>
      </c>
      <c r="AE999">
        <v>11</v>
      </c>
      <c r="AF999">
        <v>12</v>
      </c>
      <c r="AG999">
        <v>13</v>
      </c>
    </row>
    <row r="1000" spans="1:33" x14ac:dyDescent="0.35">
      <c r="A1000" t="s">
        <v>53</v>
      </c>
      <c r="B1000" t="s">
        <v>34</v>
      </c>
      <c r="C1000">
        <v>18</v>
      </c>
      <c r="D1000" t="s">
        <v>52</v>
      </c>
      <c r="E1000" t="s">
        <v>47</v>
      </c>
      <c r="F1000" t="s">
        <v>37</v>
      </c>
      <c r="G1000">
        <v>4</v>
      </c>
      <c r="H1000">
        <v>2</v>
      </c>
      <c r="I1000" t="s">
        <v>39</v>
      </c>
      <c r="J1000" t="s">
        <v>45</v>
      </c>
      <c r="K1000" t="s">
        <v>51</v>
      </c>
      <c r="L1000" t="s">
        <v>41</v>
      </c>
      <c r="M1000">
        <v>1</v>
      </c>
      <c r="N1000">
        <v>2</v>
      </c>
      <c r="O1000">
        <v>0</v>
      </c>
      <c r="P1000" t="s">
        <v>43</v>
      </c>
      <c r="Q1000" t="s">
        <v>43</v>
      </c>
      <c r="R1000" t="s">
        <v>43</v>
      </c>
      <c r="S1000" t="s">
        <v>42</v>
      </c>
      <c r="T1000" t="s">
        <v>42</v>
      </c>
      <c r="U1000" t="s">
        <v>42</v>
      </c>
      <c r="V1000" t="s">
        <v>42</v>
      </c>
      <c r="W1000" t="s">
        <v>42</v>
      </c>
      <c r="X1000">
        <v>5</v>
      </c>
      <c r="Y1000">
        <v>3</v>
      </c>
      <c r="Z1000">
        <v>1</v>
      </c>
      <c r="AA1000">
        <v>1</v>
      </c>
      <c r="AB1000">
        <v>1</v>
      </c>
      <c r="AC1000">
        <v>5</v>
      </c>
      <c r="AD1000">
        <v>0</v>
      </c>
      <c r="AE1000">
        <v>5</v>
      </c>
      <c r="AF1000">
        <v>0</v>
      </c>
      <c r="AG1000">
        <v>0</v>
      </c>
    </row>
    <row r="1001" spans="1:33" x14ac:dyDescent="0.35">
      <c r="A1001" t="s">
        <v>53</v>
      </c>
      <c r="B1001" t="s">
        <v>34</v>
      </c>
      <c r="C1001">
        <v>18</v>
      </c>
      <c r="D1001" t="s">
        <v>35</v>
      </c>
      <c r="E1001" t="s">
        <v>36</v>
      </c>
      <c r="F1001" t="s">
        <v>44</v>
      </c>
      <c r="G1001">
        <v>1</v>
      </c>
      <c r="H1001">
        <v>1</v>
      </c>
      <c r="I1001" t="s">
        <v>38</v>
      </c>
      <c r="J1001" t="s">
        <v>48</v>
      </c>
      <c r="K1001" t="s">
        <v>40</v>
      </c>
      <c r="L1001" t="s">
        <v>41</v>
      </c>
      <c r="M1001">
        <v>3</v>
      </c>
      <c r="N1001">
        <v>2</v>
      </c>
      <c r="O1001">
        <v>1</v>
      </c>
      <c r="P1001" t="s">
        <v>43</v>
      </c>
      <c r="Q1001" t="s">
        <v>43</v>
      </c>
      <c r="R1001" t="s">
        <v>43</v>
      </c>
      <c r="S1001" t="s">
        <v>43</v>
      </c>
      <c r="T1001" t="s">
        <v>42</v>
      </c>
      <c r="U1001" t="s">
        <v>43</v>
      </c>
      <c r="V1001" t="s">
        <v>43</v>
      </c>
      <c r="W1001" t="s">
        <v>43</v>
      </c>
      <c r="X1001">
        <v>4</v>
      </c>
      <c r="Y1001">
        <v>4</v>
      </c>
      <c r="Z1001">
        <v>2</v>
      </c>
      <c r="AA1001">
        <v>1</v>
      </c>
      <c r="AB1001">
        <v>2</v>
      </c>
      <c r="AC1001">
        <v>2</v>
      </c>
      <c r="AD1001">
        <v>2</v>
      </c>
      <c r="AE1001">
        <v>9</v>
      </c>
      <c r="AF1001">
        <v>10</v>
      </c>
      <c r="AG1001">
        <v>10</v>
      </c>
    </row>
    <row r="1002" spans="1:33" x14ac:dyDescent="0.35">
      <c r="A1002" t="s">
        <v>53</v>
      </c>
      <c r="B1002" t="s">
        <v>34</v>
      </c>
      <c r="C1002">
        <v>19</v>
      </c>
      <c r="D1002" t="s">
        <v>35</v>
      </c>
      <c r="E1002" t="s">
        <v>36</v>
      </c>
      <c r="F1002" t="s">
        <v>44</v>
      </c>
      <c r="G1002">
        <v>1</v>
      </c>
      <c r="H1002">
        <v>1</v>
      </c>
      <c r="I1002" t="s">
        <v>38</v>
      </c>
      <c r="J1002" t="s">
        <v>48</v>
      </c>
      <c r="K1002" t="s">
        <v>45</v>
      </c>
      <c r="L1002" t="s">
        <v>46</v>
      </c>
      <c r="M1002">
        <v>2</v>
      </c>
      <c r="N1002">
        <v>1</v>
      </c>
      <c r="O1002">
        <v>1</v>
      </c>
      <c r="P1002" t="s">
        <v>43</v>
      </c>
      <c r="Q1002" t="s">
        <v>43</v>
      </c>
      <c r="R1002" t="s">
        <v>43</v>
      </c>
      <c r="S1002" t="s">
        <v>43</v>
      </c>
      <c r="T1002" t="s">
        <v>42</v>
      </c>
      <c r="U1002" t="s">
        <v>43</v>
      </c>
      <c r="V1002" t="s">
        <v>43</v>
      </c>
      <c r="W1002" t="s">
        <v>43</v>
      </c>
      <c r="X1002">
        <v>5</v>
      </c>
      <c r="Y1002">
        <v>5</v>
      </c>
      <c r="Z1002">
        <v>5</v>
      </c>
      <c r="AA1002">
        <v>2</v>
      </c>
      <c r="AB1002">
        <v>3</v>
      </c>
      <c r="AC1002">
        <v>2</v>
      </c>
      <c r="AD1002">
        <v>0</v>
      </c>
      <c r="AE1002">
        <v>5</v>
      </c>
      <c r="AF1002">
        <v>0</v>
      </c>
      <c r="AG1002">
        <v>0</v>
      </c>
    </row>
    <row r="1003" spans="1:33" x14ac:dyDescent="0.35">
      <c r="A1003" t="s">
        <v>53</v>
      </c>
      <c r="B1003" t="s">
        <v>34</v>
      </c>
      <c r="C1003">
        <v>17</v>
      </c>
      <c r="D1003" t="s">
        <v>35</v>
      </c>
      <c r="E1003" t="s">
        <v>36</v>
      </c>
      <c r="F1003" t="s">
        <v>44</v>
      </c>
      <c r="G1003">
        <v>4</v>
      </c>
      <c r="H1003">
        <v>2</v>
      </c>
      <c r="I1003" t="s">
        <v>39</v>
      </c>
      <c r="J1003" t="s">
        <v>45</v>
      </c>
      <c r="K1003" t="s">
        <v>40</v>
      </c>
      <c r="L1003" t="s">
        <v>46</v>
      </c>
      <c r="M1003">
        <v>2</v>
      </c>
      <c r="N1003">
        <v>4</v>
      </c>
      <c r="O1003">
        <v>0</v>
      </c>
      <c r="P1003" t="s">
        <v>43</v>
      </c>
      <c r="Q1003" t="s">
        <v>43</v>
      </c>
      <c r="R1003" t="s">
        <v>43</v>
      </c>
      <c r="S1003" t="s">
        <v>43</v>
      </c>
      <c r="T1003" t="s">
        <v>42</v>
      </c>
      <c r="U1003" t="s">
        <v>42</v>
      </c>
      <c r="V1003" t="s">
        <v>42</v>
      </c>
      <c r="W1003" t="s">
        <v>42</v>
      </c>
      <c r="X1003">
        <v>4</v>
      </c>
      <c r="Y1003">
        <v>2</v>
      </c>
      <c r="Z1003">
        <v>3</v>
      </c>
      <c r="AA1003">
        <v>3</v>
      </c>
      <c r="AB1003">
        <v>1</v>
      </c>
      <c r="AC1003">
        <v>5</v>
      </c>
      <c r="AD1003">
        <v>0</v>
      </c>
      <c r="AE1003">
        <v>18</v>
      </c>
      <c r="AF1003">
        <v>18</v>
      </c>
      <c r="AG1003">
        <v>18</v>
      </c>
    </row>
    <row r="1004" spans="1:33" x14ac:dyDescent="0.35">
      <c r="A1004" t="s">
        <v>53</v>
      </c>
      <c r="B1004" t="s">
        <v>34</v>
      </c>
      <c r="C1004">
        <v>17</v>
      </c>
      <c r="D1004" t="s">
        <v>52</v>
      </c>
      <c r="E1004" t="s">
        <v>47</v>
      </c>
      <c r="F1004" t="s">
        <v>37</v>
      </c>
      <c r="G1004">
        <v>2</v>
      </c>
      <c r="H1004">
        <v>1</v>
      </c>
      <c r="I1004" t="s">
        <v>48</v>
      </c>
      <c r="J1004" t="s">
        <v>45</v>
      </c>
      <c r="K1004" t="s">
        <v>51</v>
      </c>
      <c r="L1004" t="s">
        <v>41</v>
      </c>
      <c r="M1004">
        <v>2</v>
      </c>
      <c r="N1004">
        <v>2</v>
      </c>
      <c r="O1004">
        <v>0</v>
      </c>
      <c r="P1004" t="s">
        <v>43</v>
      </c>
      <c r="Q1004" t="s">
        <v>43</v>
      </c>
      <c r="R1004" t="s">
        <v>43</v>
      </c>
      <c r="S1004" t="s">
        <v>42</v>
      </c>
      <c r="T1004" t="s">
        <v>42</v>
      </c>
      <c r="U1004" t="s">
        <v>42</v>
      </c>
      <c r="V1004" t="s">
        <v>42</v>
      </c>
      <c r="W1004" t="s">
        <v>42</v>
      </c>
      <c r="X1004">
        <v>5</v>
      </c>
      <c r="Y1004">
        <v>3</v>
      </c>
      <c r="Z1004">
        <v>3</v>
      </c>
      <c r="AA1004">
        <v>1</v>
      </c>
      <c r="AB1004">
        <v>2</v>
      </c>
      <c r="AC1004">
        <v>2</v>
      </c>
      <c r="AD1004">
        <v>5</v>
      </c>
      <c r="AE1004">
        <v>11</v>
      </c>
      <c r="AF1004">
        <v>11</v>
      </c>
      <c r="AG1004">
        <v>12</v>
      </c>
    </row>
    <row r="1005" spans="1:33" x14ac:dyDescent="0.35">
      <c r="A1005" t="s">
        <v>53</v>
      </c>
      <c r="B1005" t="s">
        <v>34</v>
      </c>
      <c r="C1005">
        <v>18</v>
      </c>
      <c r="D1005" t="s">
        <v>35</v>
      </c>
      <c r="E1005" t="s">
        <v>47</v>
      </c>
      <c r="F1005" t="s">
        <v>37</v>
      </c>
      <c r="G1005">
        <v>1</v>
      </c>
      <c r="H1005">
        <v>1</v>
      </c>
      <c r="I1005" t="s">
        <v>38</v>
      </c>
      <c r="J1005" t="s">
        <v>48</v>
      </c>
      <c r="K1005" t="s">
        <v>40</v>
      </c>
      <c r="L1005" t="s">
        <v>41</v>
      </c>
      <c r="M1005">
        <v>1</v>
      </c>
      <c r="N1005">
        <v>2</v>
      </c>
      <c r="O1005">
        <v>0</v>
      </c>
      <c r="P1005" t="s">
        <v>43</v>
      </c>
      <c r="Q1005" t="s">
        <v>43</v>
      </c>
      <c r="R1005" t="s">
        <v>43</v>
      </c>
      <c r="S1005" t="s">
        <v>43</v>
      </c>
      <c r="T1005" t="s">
        <v>42</v>
      </c>
      <c r="U1005" t="s">
        <v>42</v>
      </c>
      <c r="V1005" t="s">
        <v>43</v>
      </c>
      <c r="W1005" t="s">
        <v>42</v>
      </c>
      <c r="X1005">
        <v>5</v>
      </c>
      <c r="Y1005">
        <v>2</v>
      </c>
      <c r="Z1005">
        <v>3</v>
      </c>
      <c r="AA1005">
        <v>1</v>
      </c>
      <c r="AB1005">
        <v>2</v>
      </c>
      <c r="AC1005">
        <v>3</v>
      </c>
      <c r="AD1005">
        <v>2</v>
      </c>
      <c r="AE1005">
        <v>8</v>
      </c>
      <c r="AF1005">
        <v>10</v>
      </c>
      <c r="AG1005">
        <v>11</v>
      </c>
    </row>
    <row r="1006" spans="1:33" x14ac:dyDescent="0.35">
      <c r="A1006" t="s">
        <v>53</v>
      </c>
      <c r="B1006" t="s">
        <v>34</v>
      </c>
      <c r="C1006">
        <v>18</v>
      </c>
      <c r="D1006" t="s">
        <v>35</v>
      </c>
      <c r="E1006" t="s">
        <v>36</v>
      </c>
      <c r="F1006" t="s">
        <v>44</v>
      </c>
      <c r="G1006">
        <v>1</v>
      </c>
      <c r="H1006">
        <v>2</v>
      </c>
      <c r="I1006" t="s">
        <v>38</v>
      </c>
      <c r="J1006" t="s">
        <v>38</v>
      </c>
      <c r="K1006" t="s">
        <v>40</v>
      </c>
      <c r="L1006" t="s">
        <v>46</v>
      </c>
      <c r="M1006">
        <v>2</v>
      </c>
      <c r="N1006">
        <v>2</v>
      </c>
      <c r="O1006">
        <v>0</v>
      </c>
      <c r="P1006" t="s">
        <v>43</v>
      </c>
      <c r="Q1006" t="s">
        <v>42</v>
      </c>
      <c r="R1006" t="s">
        <v>43</v>
      </c>
      <c r="S1006" t="s">
        <v>43</v>
      </c>
      <c r="T1006" t="s">
        <v>42</v>
      </c>
      <c r="U1006" t="s">
        <v>43</v>
      </c>
      <c r="V1006" t="s">
        <v>43</v>
      </c>
      <c r="W1006" t="s">
        <v>43</v>
      </c>
      <c r="X1006">
        <v>4</v>
      </c>
      <c r="Y1006">
        <v>1</v>
      </c>
      <c r="Z1006">
        <v>1</v>
      </c>
      <c r="AA1006">
        <v>1</v>
      </c>
      <c r="AB1006">
        <v>1</v>
      </c>
      <c r="AC1006">
        <v>4</v>
      </c>
      <c r="AD1006">
        <v>0</v>
      </c>
      <c r="AE1006">
        <v>11</v>
      </c>
      <c r="AF1006">
        <v>11</v>
      </c>
      <c r="AG1006">
        <v>12</v>
      </c>
    </row>
    <row r="1007" spans="1:33" x14ac:dyDescent="0.35">
      <c r="A1007" t="s">
        <v>53</v>
      </c>
      <c r="B1007" t="s">
        <v>34</v>
      </c>
      <c r="C1007">
        <v>19</v>
      </c>
      <c r="D1007" t="s">
        <v>52</v>
      </c>
      <c r="E1007" t="s">
        <v>36</v>
      </c>
      <c r="F1007" t="s">
        <v>37</v>
      </c>
      <c r="G1007">
        <v>1</v>
      </c>
      <c r="H1007">
        <v>1</v>
      </c>
      <c r="I1007" t="s">
        <v>38</v>
      </c>
      <c r="J1007" t="s">
        <v>38</v>
      </c>
      <c r="K1007" t="s">
        <v>40</v>
      </c>
      <c r="L1007" t="s">
        <v>45</v>
      </c>
      <c r="M1007">
        <v>2</v>
      </c>
      <c r="N1007">
        <v>2</v>
      </c>
      <c r="O1007">
        <v>3</v>
      </c>
      <c r="P1007" t="s">
        <v>43</v>
      </c>
      <c r="Q1007" t="s">
        <v>42</v>
      </c>
      <c r="R1007" t="s">
        <v>43</v>
      </c>
      <c r="S1007" t="s">
        <v>42</v>
      </c>
      <c r="T1007" t="s">
        <v>42</v>
      </c>
      <c r="U1007" t="s">
        <v>43</v>
      </c>
      <c r="V1007" t="s">
        <v>43</v>
      </c>
      <c r="W1007" t="s">
        <v>42</v>
      </c>
      <c r="X1007">
        <v>3</v>
      </c>
      <c r="Y1007">
        <v>5</v>
      </c>
      <c r="Z1007">
        <v>4</v>
      </c>
      <c r="AA1007">
        <v>1</v>
      </c>
      <c r="AB1007">
        <v>4</v>
      </c>
      <c r="AC1007">
        <v>1</v>
      </c>
      <c r="AD1007">
        <v>0</v>
      </c>
      <c r="AE1007">
        <v>8</v>
      </c>
      <c r="AF1007">
        <v>0</v>
      </c>
      <c r="AG1007">
        <v>0</v>
      </c>
    </row>
    <row r="1008" spans="1:33" x14ac:dyDescent="0.35">
      <c r="A1008" t="s">
        <v>53</v>
      </c>
      <c r="B1008" t="s">
        <v>34</v>
      </c>
      <c r="C1008">
        <v>18</v>
      </c>
      <c r="D1008" t="s">
        <v>52</v>
      </c>
      <c r="E1008" t="s">
        <v>36</v>
      </c>
      <c r="F1008" t="s">
        <v>44</v>
      </c>
      <c r="G1008">
        <v>2</v>
      </c>
      <c r="H1008">
        <v>2</v>
      </c>
      <c r="I1008" t="s">
        <v>48</v>
      </c>
      <c r="J1008" t="s">
        <v>45</v>
      </c>
      <c r="K1008" t="s">
        <v>49</v>
      </c>
      <c r="L1008" t="s">
        <v>41</v>
      </c>
      <c r="M1008">
        <v>2</v>
      </c>
      <c r="N1008">
        <v>3</v>
      </c>
      <c r="O1008">
        <v>0</v>
      </c>
      <c r="P1008" t="s">
        <v>43</v>
      </c>
      <c r="Q1008" t="s">
        <v>43</v>
      </c>
      <c r="R1008" t="s">
        <v>43</v>
      </c>
      <c r="S1008" t="s">
        <v>43</v>
      </c>
      <c r="T1008" t="s">
        <v>42</v>
      </c>
      <c r="U1008" t="s">
        <v>42</v>
      </c>
      <c r="V1008" t="s">
        <v>42</v>
      </c>
      <c r="W1008" t="s">
        <v>42</v>
      </c>
      <c r="X1008">
        <v>4</v>
      </c>
      <c r="Y1008">
        <v>2</v>
      </c>
      <c r="Z1008">
        <v>1</v>
      </c>
      <c r="AA1008">
        <v>1</v>
      </c>
      <c r="AB1008">
        <v>1</v>
      </c>
      <c r="AC1008">
        <v>4</v>
      </c>
      <c r="AD1008">
        <v>5</v>
      </c>
      <c r="AE1008">
        <v>14</v>
      </c>
      <c r="AF1008">
        <v>14</v>
      </c>
      <c r="AG1008">
        <v>15</v>
      </c>
    </row>
    <row r="1009" spans="1:33" x14ac:dyDescent="0.35">
      <c r="A1009" t="s">
        <v>53</v>
      </c>
      <c r="B1009" t="s">
        <v>50</v>
      </c>
      <c r="C1009">
        <v>17</v>
      </c>
      <c r="D1009" t="s">
        <v>52</v>
      </c>
      <c r="E1009" t="s">
        <v>36</v>
      </c>
      <c r="F1009" t="s">
        <v>44</v>
      </c>
      <c r="G1009">
        <v>4</v>
      </c>
      <c r="H1009">
        <v>3</v>
      </c>
      <c r="I1009" t="s">
        <v>48</v>
      </c>
      <c r="J1009" t="s">
        <v>45</v>
      </c>
      <c r="K1009" t="s">
        <v>49</v>
      </c>
      <c r="L1009" t="s">
        <v>41</v>
      </c>
      <c r="M1009">
        <v>2</v>
      </c>
      <c r="N1009">
        <v>2</v>
      </c>
      <c r="O1009">
        <v>1</v>
      </c>
      <c r="P1009" t="s">
        <v>43</v>
      </c>
      <c r="Q1009" t="s">
        <v>42</v>
      </c>
      <c r="R1009" t="s">
        <v>42</v>
      </c>
      <c r="S1009" t="s">
        <v>42</v>
      </c>
      <c r="T1009" t="s">
        <v>43</v>
      </c>
      <c r="U1009" t="s">
        <v>42</v>
      </c>
      <c r="V1009" t="s">
        <v>42</v>
      </c>
      <c r="W1009" t="s">
        <v>42</v>
      </c>
      <c r="X1009">
        <v>4</v>
      </c>
      <c r="Y1009">
        <v>5</v>
      </c>
      <c r="Z1009">
        <v>5</v>
      </c>
      <c r="AA1009">
        <v>1</v>
      </c>
      <c r="AB1009">
        <v>3</v>
      </c>
      <c r="AC1009">
        <v>2</v>
      </c>
      <c r="AD1009">
        <v>4</v>
      </c>
      <c r="AE1009">
        <v>10</v>
      </c>
      <c r="AF1009">
        <v>11</v>
      </c>
      <c r="AG1009">
        <v>11</v>
      </c>
    </row>
    <row r="1010" spans="1:33" x14ac:dyDescent="0.35">
      <c r="A1010" t="s">
        <v>53</v>
      </c>
      <c r="B1010" t="s">
        <v>34</v>
      </c>
      <c r="C1010">
        <v>18</v>
      </c>
      <c r="D1010" t="s">
        <v>35</v>
      </c>
      <c r="E1010" t="s">
        <v>36</v>
      </c>
      <c r="F1010" t="s">
        <v>44</v>
      </c>
      <c r="G1010">
        <v>3</v>
      </c>
      <c r="H1010">
        <v>3</v>
      </c>
      <c r="I1010" t="s">
        <v>48</v>
      </c>
      <c r="J1010" t="s">
        <v>48</v>
      </c>
      <c r="K1010" t="s">
        <v>40</v>
      </c>
      <c r="L1010" t="s">
        <v>46</v>
      </c>
      <c r="M1010">
        <v>1</v>
      </c>
      <c r="N1010">
        <v>2</v>
      </c>
      <c r="O1010">
        <v>0</v>
      </c>
      <c r="P1010" t="s">
        <v>43</v>
      </c>
      <c r="Q1010" t="s">
        <v>42</v>
      </c>
      <c r="R1010" t="s">
        <v>43</v>
      </c>
      <c r="S1010" t="s">
        <v>43</v>
      </c>
      <c r="T1010" t="s">
        <v>42</v>
      </c>
      <c r="U1010" t="s">
        <v>42</v>
      </c>
      <c r="V1010" t="s">
        <v>43</v>
      </c>
      <c r="W1010" t="s">
        <v>42</v>
      </c>
      <c r="X1010">
        <v>5</v>
      </c>
      <c r="Y1010">
        <v>3</v>
      </c>
      <c r="Z1010">
        <v>4</v>
      </c>
      <c r="AA1010">
        <v>1</v>
      </c>
      <c r="AB1010">
        <v>1</v>
      </c>
      <c r="AC1010">
        <v>5</v>
      </c>
      <c r="AD1010">
        <v>0</v>
      </c>
      <c r="AE1010">
        <v>10</v>
      </c>
      <c r="AF1010">
        <v>10</v>
      </c>
      <c r="AG1010">
        <v>10</v>
      </c>
    </row>
    <row r="1011" spans="1:33" x14ac:dyDescent="0.35">
      <c r="A1011" t="s">
        <v>53</v>
      </c>
      <c r="B1011" t="s">
        <v>34</v>
      </c>
      <c r="C1011">
        <v>17</v>
      </c>
      <c r="D1011" t="s">
        <v>52</v>
      </c>
      <c r="E1011" t="s">
        <v>36</v>
      </c>
      <c r="F1011" t="s">
        <v>44</v>
      </c>
      <c r="G1011">
        <v>4</v>
      </c>
      <c r="H1011">
        <v>4</v>
      </c>
      <c r="I1011" t="s">
        <v>39</v>
      </c>
      <c r="J1011" t="s">
        <v>48</v>
      </c>
      <c r="K1011" t="s">
        <v>45</v>
      </c>
      <c r="L1011" t="s">
        <v>46</v>
      </c>
      <c r="M1011">
        <v>2</v>
      </c>
      <c r="N1011">
        <v>2</v>
      </c>
      <c r="O1011">
        <v>0</v>
      </c>
      <c r="P1011" t="s">
        <v>43</v>
      </c>
      <c r="Q1011" t="s">
        <v>42</v>
      </c>
      <c r="R1011" t="s">
        <v>42</v>
      </c>
      <c r="S1011" t="s">
        <v>42</v>
      </c>
      <c r="T1011" t="s">
        <v>42</v>
      </c>
      <c r="U1011" t="s">
        <v>42</v>
      </c>
      <c r="V1011" t="s">
        <v>42</v>
      </c>
      <c r="W1011" t="s">
        <v>43</v>
      </c>
      <c r="X1011">
        <v>4</v>
      </c>
      <c r="Y1011">
        <v>3</v>
      </c>
      <c r="Z1011">
        <v>3</v>
      </c>
      <c r="AA1011">
        <v>1</v>
      </c>
      <c r="AB1011">
        <v>2</v>
      </c>
      <c r="AC1011">
        <v>5</v>
      </c>
      <c r="AD1011">
        <v>2</v>
      </c>
      <c r="AE1011">
        <v>12</v>
      </c>
      <c r="AF1011">
        <v>12</v>
      </c>
      <c r="AG1011">
        <v>12</v>
      </c>
    </row>
    <row r="1012" spans="1:33" x14ac:dyDescent="0.35">
      <c r="A1012" t="s">
        <v>53</v>
      </c>
      <c r="B1012" t="s">
        <v>34</v>
      </c>
      <c r="C1012">
        <v>17</v>
      </c>
      <c r="D1012" t="s">
        <v>35</v>
      </c>
      <c r="E1012" t="s">
        <v>47</v>
      </c>
      <c r="F1012" t="s">
        <v>37</v>
      </c>
      <c r="G1012">
        <v>3</v>
      </c>
      <c r="H1012">
        <v>2</v>
      </c>
      <c r="I1012" t="s">
        <v>48</v>
      </c>
      <c r="J1012" t="s">
        <v>45</v>
      </c>
      <c r="K1012" t="s">
        <v>51</v>
      </c>
      <c r="L1012" t="s">
        <v>41</v>
      </c>
      <c r="M1012">
        <v>2</v>
      </c>
      <c r="N1012">
        <v>2</v>
      </c>
      <c r="O1012">
        <v>0</v>
      </c>
      <c r="P1012" t="s">
        <v>43</v>
      </c>
      <c r="Q1012" t="s">
        <v>43</v>
      </c>
      <c r="R1012" t="s">
        <v>43</v>
      </c>
      <c r="S1012" t="s">
        <v>43</v>
      </c>
      <c r="T1012" t="s">
        <v>42</v>
      </c>
      <c r="U1012" t="s">
        <v>42</v>
      </c>
      <c r="V1012" t="s">
        <v>43</v>
      </c>
      <c r="W1012" t="s">
        <v>42</v>
      </c>
      <c r="X1012">
        <v>1</v>
      </c>
      <c r="Y1012">
        <v>2</v>
      </c>
      <c r="Z1012">
        <v>3</v>
      </c>
      <c r="AA1012">
        <v>1</v>
      </c>
      <c r="AB1012">
        <v>2</v>
      </c>
      <c r="AC1012">
        <v>5</v>
      </c>
      <c r="AD1012">
        <v>0</v>
      </c>
      <c r="AE1012">
        <v>15</v>
      </c>
      <c r="AF1012">
        <v>14</v>
      </c>
      <c r="AG1012">
        <v>15</v>
      </c>
    </row>
    <row r="1013" spans="1:33" x14ac:dyDescent="0.35">
      <c r="A1013" t="s">
        <v>53</v>
      </c>
      <c r="B1013" t="s">
        <v>50</v>
      </c>
      <c r="C1013">
        <v>18</v>
      </c>
      <c r="D1013" t="s">
        <v>35</v>
      </c>
      <c r="E1013" t="s">
        <v>47</v>
      </c>
      <c r="F1013" t="s">
        <v>44</v>
      </c>
      <c r="G1013">
        <v>1</v>
      </c>
      <c r="H1013">
        <v>1</v>
      </c>
      <c r="I1013" t="s">
        <v>45</v>
      </c>
      <c r="J1013" t="s">
        <v>48</v>
      </c>
      <c r="K1013" t="s">
        <v>49</v>
      </c>
      <c r="L1013" t="s">
        <v>46</v>
      </c>
      <c r="M1013">
        <v>2</v>
      </c>
      <c r="N1013">
        <v>1</v>
      </c>
      <c r="O1013">
        <v>0</v>
      </c>
      <c r="P1013" t="s">
        <v>43</v>
      </c>
      <c r="Q1013" t="s">
        <v>43</v>
      </c>
      <c r="R1013" t="s">
        <v>43</v>
      </c>
      <c r="S1013" t="s">
        <v>43</v>
      </c>
      <c r="T1013" t="s">
        <v>43</v>
      </c>
      <c r="U1013" t="s">
        <v>42</v>
      </c>
      <c r="V1013" t="s">
        <v>42</v>
      </c>
      <c r="W1013" t="s">
        <v>42</v>
      </c>
      <c r="X1013">
        <v>3</v>
      </c>
      <c r="Y1013">
        <v>3</v>
      </c>
      <c r="Z1013">
        <v>2</v>
      </c>
      <c r="AA1013">
        <v>1</v>
      </c>
      <c r="AB1013">
        <v>2</v>
      </c>
      <c r="AC1013">
        <v>3</v>
      </c>
      <c r="AD1013">
        <v>2</v>
      </c>
      <c r="AE1013">
        <v>14</v>
      </c>
      <c r="AF1013">
        <v>13</v>
      </c>
      <c r="AG1013">
        <v>14</v>
      </c>
    </row>
    <row r="1014" spans="1:33" x14ac:dyDescent="0.35">
      <c r="A1014" t="s">
        <v>53</v>
      </c>
      <c r="B1014" t="s">
        <v>34</v>
      </c>
      <c r="C1014">
        <v>18</v>
      </c>
      <c r="D1014" t="s">
        <v>35</v>
      </c>
      <c r="E1014" t="s">
        <v>47</v>
      </c>
      <c r="F1014" t="s">
        <v>44</v>
      </c>
      <c r="G1014">
        <v>1</v>
      </c>
      <c r="H1014">
        <v>1</v>
      </c>
      <c r="I1014" t="s">
        <v>38</v>
      </c>
      <c r="J1014" t="s">
        <v>48</v>
      </c>
      <c r="K1014" t="s">
        <v>40</v>
      </c>
      <c r="L1014" t="s">
        <v>46</v>
      </c>
      <c r="M1014">
        <v>2</v>
      </c>
      <c r="N1014">
        <v>3</v>
      </c>
      <c r="O1014">
        <v>0</v>
      </c>
      <c r="P1014" t="s">
        <v>43</v>
      </c>
      <c r="Q1014" t="s">
        <v>43</v>
      </c>
      <c r="R1014" t="s">
        <v>43</v>
      </c>
      <c r="S1014" t="s">
        <v>43</v>
      </c>
      <c r="T1014" t="s">
        <v>42</v>
      </c>
      <c r="U1014" t="s">
        <v>42</v>
      </c>
      <c r="V1014" t="s">
        <v>42</v>
      </c>
      <c r="W1014" t="s">
        <v>43</v>
      </c>
      <c r="X1014">
        <v>5</v>
      </c>
      <c r="Y1014">
        <v>3</v>
      </c>
      <c r="Z1014">
        <v>2</v>
      </c>
      <c r="AA1014">
        <v>1</v>
      </c>
      <c r="AB1014">
        <v>1</v>
      </c>
      <c r="AC1014">
        <v>4</v>
      </c>
      <c r="AD1014">
        <v>0</v>
      </c>
      <c r="AE1014">
        <v>19</v>
      </c>
      <c r="AF1014">
        <v>17</v>
      </c>
      <c r="AG1014">
        <v>18</v>
      </c>
    </row>
    <row r="1015" spans="1:33" x14ac:dyDescent="0.35">
      <c r="A1015" t="s">
        <v>53</v>
      </c>
      <c r="B1015" t="s">
        <v>34</v>
      </c>
      <c r="C1015">
        <v>18</v>
      </c>
      <c r="D1015" t="s">
        <v>52</v>
      </c>
      <c r="E1015" t="s">
        <v>47</v>
      </c>
      <c r="F1015" t="s">
        <v>37</v>
      </c>
      <c r="G1015">
        <v>1</v>
      </c>
      <c r="H1015">
        <v>2</v>
      </c>
      <c r="I1015" t="s">
        <v>38</v>
      </c>
      <c r="J1015" t="s">
        <v>45</v>
      </c>
      <c r="K1015" t="s">
        <v>40</v>
      </c>
      <c r="L1015" t="s">
        <v>41</v>
      </c>
      <c r="M1015">
        <v>3</v>
      </c>
      <c r="N1015">
        <v>2</v>
      </c>
      <c r="O1015">
        <v>0</v>
      </c>
      <c r="P1015" t="s">
        <v>43</v>
      </c>
      <c r="Q1015" t="s">
        <v>43</v>
      </c>
      <c r="R1015" t="s">
        <v>43</v>
      </c>
      <c r="S1015" t="s">
        <v>43</v>
      </c>
      <c r="T1015" t="s">
        <v>42</v>
      </c>
      <c r="U1015" t="s">
        <v>42</v>
      </c>
      <c r="V1015" t="s">
        <v>43</v>
      </c>
      <c r="W1015" t="s">
        <v>42</v>
      </c>
      <c r="X1015">
        <v>4</v>
      </c>
      <c r="Y1015">
        <v>3</v>
      </c>
      <c r="Z1015">
        <v>4</v>
      </c>
      <c r="AA1015">
        <v>1</v>
      </c>
      <c r="AB1015">
        <v>4</v>
      </c>
      <c r="AC1015">
        <v>5</v>
      </c>
      <c r="AD1015">
        <v>0</v>
      </c>
      <c r="AE1015">
        <v>16</v>
      </c>
      <c r="AF1015">
        <v>15</v>
      </c>
      <c r="AG1015">
        <v>15</v>
      </c>
    </row>
    <row r="1016" spans="1:33" x14ac:dyDescent="0.35">
      <c r="A1016" t="s">
        <v>53</v>
      </c>
      <c r="B1016" t="s">
        <v>34</v>
      </c>
      <c r="C1016">
        <v>18</v>
      </c>
      <c r="D1016" t="s">
        <v>35</v>
      </c>
      <c r="E1016" t="s">
        <v>36</v>
      </c>
      <c r="F1016" t="s">
        <v>44</v>
      </c>
      <c r="G1016">
        <v>3</v>
      </c>
      <c r="H1016">
        <v>3</v>
      </c>
      <c r="I1016" t="s">
        <v>48</v>
      </c>
      <c r="J1016" t="s">
        <v>48</v>
      </c>
      <c r="K1016" t="s">
        <v>45</v>
      </c>
      <c r="L1016" t="s">
        <v>41</v>
      </c>
      <c r="M1016">
        <v>2</v>
      </c>
      <c r="N1016">
        <v>2</v>
      </c>
      <c r="O1016">
        <v>0</v>
      </c>
      <c r="P1016" t="s">
        <v>43</v>
      </c>
      <c r="Q1016" t="s">
        <v>42</v>
      </c>
      <c r="R1016" t="s">
        <v>43</v>
      </c>
      <c r="S1016" t="s">
        <v>43</v>
      </c>
      <c r="T1016" t="s">
        <v>42</v>
      </c>
      <c r="U1016" t="s">
        <v>42</v>
      </c>
      <c r="V1016" t="s">
        <v>42</v>
      </c>
      <c r="W1016" t="s">
        <v>42</v>
      </c>
      <c r="X1016">
        <v>4</v>
      </c>
      <c r="Y1016">
        <v>3</v>
      </c>
      <c r="Z1016">
        <v>2</v>
      </c>
      <c r="AA1016">
        <v>1</v>
      </c>
      <c r="AB1016">
        <v>3</v>
      </c>
      <c r="AC1016">
        <v>3</v>
      </c>
      <c r="AD1016">
        <v>6</v>
      </c>
      <c r="AE1016">
        <v>13</v>
      </c>
      <c r="AF1016">
        <v>12</v>
      </c>
      <c r="AG1016">
        <v>13</v>
      </c>
    </row>
    <row r="1017" spans="1:33" x14ac:dyDescent="0.35">
      <c r="A1017" t="s">
        <v>53</v>
      </c>
      <c r="B1017" t="s">
        <v>34</v>
      </c>
      <c r="C1017">
        <v>17</v>
      </c>
      <c r="D1017" t="s">
        <v>35</v>
      </c>
      <c r="E1017" t="s">
        <v>47</v>
      </c>
      <c r="F1017" t="s">
        <v>44</v>
      </c>
      <c r="G1017">
        <v>4</v>
      </c>
      <c r="H1017">
        <v>4</v>
      </c>
      <c r="I1017" t="s">
        <v>38</v>
      </c>
      <c r="J1017" t="s">
        <v>38</v>
      </c>
      <c r="K1017" t="s">
        <v>40</v>
      </c>
      <c r="L1017" t="s">
        <v>41</v>
      </c>
      <c r="M1017">
        <v>1</v>
      </c>
      <c r="N1017">
        <v>2</v>
      </c>
      <c r="O1017">
        <v>0</v>
      </c>
      <c r="P1017" t="s">
        <v>43</v>
      </c>
      <c r="Q1017" t="s">
        <v>42</v>
      </c>
      <c r="R1017" t="s">
        <v>43</v>
      </c>
      <c r="S1017" t="s">
        <v>42</v>
      </c>
      <c r="T1017" t="s">
        <v>42</v>
      </c>
      <c r="U1017" t="s">
        <v>42</v>
      </c>
      <c r="V1017" t="s">
        <v>42</v>
      </c>
      <c r="W1017" t="s">
        <v>42</v>
      </c>
      <c r="X1017">
        <v>2</v>
      </c>
      <c r="Y1017">
        <v>3</v>
      </c>
      <c r="Z1017">
        <v>4</v>
      </c>
      <c r="AA1017">
        <v>1</v>
      </c>
      <c r="AB1017">
        <v>1</v>
      </c>
      <c r="AC1017">
        <v>1</v>
      </c>
      <c r="AD1017">
        <v>4</v>
      </c>
      <c r="AE1017">
        <v>15</v>
      </c>
      <c r="AF1017">
        <v>14</v>
      </c>
      <c r="AG1017">
        <v>15</v>
      </c>
    </row>
    <row r="1018" spans="1:33" x14ac:dyDescent="0.35">
      <c r="A1018" t="s">
        <v>53</v>
      </c>
      <c r="B1018" t="s">
        <v>34</v>
      </c>
      <c r="C1018">
        <v>17</v>
      </c>
      <c r="D1018" t="s">
        <v>52</v>
      </c>
      <c r="E1018" t="s">
        <v>36</v>
      </c>
      <c r="F1018" t="s">
        <v>44</v>
      </c>
      <c r="G1018">
        <v>1</v>
      </c>
      <c r="H1018">
        <v>2</v>
      </c>
      <c r="I1018" t="s">
        <v>45</v>
      </c>
      <c r="J1018" t="s">
        <v>48</v>
      </c>
      <c r="K1018" t="s">
        <v>40</v>
      </c>
      <c r="L1018" t="s">
        <v>46</v>
      </c>
      <c r="M1018">
        <v>2</v>
      </c>
      <c r="N1018">
        <v>2</v>
      </c>
      <c r="O1018">
        <v>0</v>
      </c>
      <c r="P1018" t="s">
        <v>43</v>
      </c>
      <c r="Q1018" t="s">
        <v>43</v>
      </c>
      <c r="R1018" t="s">
        <v>43</v>
      </c>
      <c r="S1018" t="s">
        <v>43</v>
      </c>
      <c r="T1018" t="s">
        <v>43</v>
      </c>
      <c r="U1018" t="s">
        <v>42</v>
      </c>
      <c r="V1018" t="s">
        <v>43</v>
      </c>
      <c r="W1018" t="s">
        <v>43</v>
      </c>
      <c r="X1018">
        <v>3</v>
      </c>
      <c r="Y1018">
        <v>2</v>
      </c>
      <c r="Z1018">
        <v>2</v>
      </c>
      <c r="AA1018">
        <v>1</v>
      </c>
      <c r="AB1018">
        <v>2</v>
      </c>
      <c r="AC1018">
        <v>3</v>
      </c>
      <c r="AD1018">
        <v>0</v>
      </c>
      <c r="AE1018">
        <v>13</v>
      </c>
      <c r="AF1018">
        <v>13</v>
      </c>
      <c r="AG1018">
        <v>13</v>
      </c>
    </row>
    <row r="1019" spans="1:33" x14ac:dyDescent="0.35">
      <c r="A1019" t="s">
        <v>53</v>
      </c>
      <c r="B1019" t="s">
        <v>50</v>
      </c>
      <c r="C1019">
        <v>18</v>
      </c>
      <c r="D1019" t="s">
        <v>52</v>
      </c>
      <c r="E1019" t="s">
        <v>36</v>
      </c>
      <c r="F1019" t="s">
        <v>44</v>
      </c>
      <c r="G1019">
        <v>1</v>
      </c>
      <c r="H1019">
        <v>3</v>
      </c>
      <c r="I1019" t="s">
        <v>38</v>
      </c>
      <c r="J1019" t="s">
        <v>45</v>
      </c>
      <c r="K1019" t="s">
        <v>40</v>
      </c>
      <c r="L1019" t="s">
        <v>41</v>
      </c>
      <c r="M1019">
        <v>2</v>
      </c>
      <c r="N1019">
        <v>2</v>
      </c>
      <c r="O1019">
        <v>0</v>
      </c>
      <c r="P1019" t="s">
        <v>43</v>
      </c>
      <c r="Q1019" t="s">
        <v>42</v>
      </c>
      <c r="R1019" t="s">
        <v>42</v>
      </c>
      <c r="S1019" t="s">
        <v>43</v>
      </c>
      <c r="T1019" t="s">
        <v>42</v>
      </c>
      <c r="U1019" t="s">
        <v>42</v>
      </c>
      <c r="V1019" t="s">
        <v>43</v>
      </c>
      <c r="W1019" t="s">
        <v>43</v>
      </c>
      <c r="X1019">
        <v>3</v>
      </c>
      <c r="Y1019">
        <v>3</v>
      </c>
      <c r="Z1019">
        <v>4</v>
      </c>
      <c r="AA1019">
        <v>2</v>
      </c>
      <c r="AB1019">
        <v>4</v>
      </c>
      <c r="AC1019">
        <v>3</v>
      </c>
      <c r="AD1019">
        <v>0</v>
      </c>
      <c r="AE1019">
        <v>8</v>
      </c>
      <c r="AF1019">
        <v>10</v>
      </c>
      <c r="AG1019">
        <v>9</v>
      </c>
    </row>
    <row r="1020" spans="1:33" x14ac:dyDescent="0.35">
      <c r="A1020" t="s">
        <v>53</v>
      </c>
      <c r="B1020" t="s">
        <v>50</v>
      </c>
      <c r="C1020">
        <v>18</v>
      </c>
      <c r="D1020" t="s">
        <v>35</v>
      </c>
      <c r="E1020" t="s">
        <v>47</v>
      </c>
      <c r="F1020" t="s">
        <v>44</v>
      </c>
      <c r="G1020">
        <v>4</v>
      </c>
      <c r="H1020">
        <v>4</v>
      </c>
      <c r="I1020" t="s">
        <v>39</v>
      </c>
      <c r="J1020" t="s">
        <v>48</v>
      </c>
      <c r="K1020" t="s">
        <v>45</v>
      </c>
      <c r="L1020" t="s">
        <v>41</v>
      </c>
      <c r="M1020">
        <v>2</v>
      </c>
      <c r="N1020">
        <v>3</v>
      </c>
      <c r="O1020">
        <v>0</v>
      </c>
      <c r="P1020" t="s">
        <v>43</v>
      </c>
      <c r="Q1020" t="s">
        <v>43</v>
      </c>
      <c r="R1020" t="s">
        <v>43</v>
      </c>
      <c r="S1020" t="s">
        <v>43</v>
      </c>
      <c r="T1020" t="s">
        <v>42</v>
      </c>
      <c r="U1020" t="s">
        <v>42</v>
      </c>
      <c r="V1020" t="s">
        <v>42</v>
      </c>
      <c r="W1020" t="s">
        <v>42</v>
      </c>
      <c r="X1020">
        <v>4</v>
      </c>
      <c r="Y1020">
        <v>2</v>
      </c>
      <c r="Z1020">
        <v>2</v>
      </c>
      <c r="AA1020">
        <v>2</v>
      </c>
      <c r="AB1020">
        <v>2</v>
      </c>
      <c r="AC1020">
        <v>5</v>
      </c>
      <c r="AD1020">
        <v>0</v>
      </c>
      <c r="AE1020">
        <v>15</v>
      </c>
      <c r="AF1020">
        <v>16</v>
      </c>
      <c r="AG1020">
        <v>16</v>
      </c>
    </row>
    <row r="1021" spans="1:33" x14ac:dyDescent="0.35">
      <c r="A1021" t="s">
        <v>53</v>
      </c>
      <c r="B1021" t="s">
        <v>34</v>
      </c>
      <c r="C1021">
        <v>17</v>
      </c>
      <c r="D1021" t="s">
        <v>52</v>
      </c>
      <c r="E1021" t="s">
        <v>36</v>
      </c>
      <c r="F1021" t="s">
        <v>44</v>
      </c>
      <c r="G1021">
        <v>1</v>
      </c>
      <c r="H1021">
        <v>1</v>
      </c>
      <c r="I1021" t="s">
        <v>45</v>
      </c>
      <c r="J1021" t="s">
        <v>48</v>
      </c>
      <c r="K1021" t="s">
        <v>51</v>
      </c>
      <c r="L1021" t="s">
        <v>41</v>
      </c>
      <c r="M1021">
        <v>3</v>
      </c>
      <c r="N1021">
        <v>1</v>
      </c>
      <c r="O1021">
        <v>1</v>
      </c>
      <c r="P1021" t="s">
        <v>43</v>
      </c>
      <c r="Q1021" t="s">
        <v>42</v>
      </c>
      <c r="R1021" t="s">
        <v>43</v>
      </c>
      <c r="S1021" t="s">
        <v>43</v>
      </c>
      <c r="T1021" t="s">
        <v>42</v>
      </c>
      <c r="U1021" t="s">
        <v>42</v>
      </c>
      <c r="V1021" t="s">
        <v>42</v>
      </c>
      <c r="W1021" t="s">
        <v>42</v>
      </c>
      <c r="X1021">
        <v>5</v>
      </c>
      <c r="Y1021">
        <v>2</v>
      </c>
      <c r="Z1021">
        <v>1</v>
      </c>
      <c r="AA1021">
        <v>1</v>
      </c>
      <c r="AB1021">
        <v>2</v>
      </c>
      <c r="AC1021">
        <v>1</v>
      </c>
      <c r="AD1021">
        <v>0</v>
      </c>
      <c r="AE1021">
        <v>8</v>
      </c>
      <c r="AF1021">
        <v>8</v>
      </c>
      <c r="AG1021">
        <v>9</v>
      </c>
    </row>
    <row r="1022" spans="1:33" x14ac:dyDescent="0.35">
      <c r="A1022" t="s">
        <v>53</v>
      </c>
      <c r="B1022" t="s">
        <v>34</v>
      </c>
      <c r="C1022">
        <v>18</v>
      </c>
      <c r="D1022" t="s">
        <v>35</v>
      </c>
      <c r="E1022" t="s">
        <v>36</v>
      </c>
      <c r="F1022" t="s">
        <v>44</v>
      </c>
      <c r="G1022">
        <v>2</v>
      </c>
      <c r="H1022">
        <v>3</v>
      </c>
      <c r="I1022" t="s">
        <v>38</v>
      </c>
      <c r="J1022" t="s">
        <v>48</v>
      </c>
      <c r="K1022" t="s">
        <v>40</v>
      </c>
      <c r="L1022" t="s">
        <v>46</v>
      </c>
      <c r="M1022">
        <v>2</v>
      </c>
      <c r="N1022">
        <v>1</v>
      </c>
      <c r="O1022">
        <v>0</v>
      </c>
      <c r="P1022" t="s">
        <v>43</v>
      </c>
      <c r="Q1022" t="s">
        <v>42</v>
      </c>
      <c r="R1022" t="s">
        <v>43</v>
      </c>
      <c r="S1022" t="s">
        <v>43</v>
      </c>
      <c r="T1022" t="s">
        <v>42</v>
      </c>
      <c r="U1022" t="s">
        <v>42</v>
      </c>
      <c r="V1022" t="s">
        <v>42</v>
      </c>
      <c r="W1022" t="s">
        <v>42</v>
      </c>
      <c r="X1022">
        <v>5</v>
      </c>
      <c r="Y1022">
        <v>2</v>
      </c>
      <c r="Z1022">
        <v>3</v>
      </c>
      <c r="AA1022">
        <v>1</v>
      </c>
      <c r="AB1022">
        <v>2</v>
      </c>
      <c r="AC1022">
        <v>4</v>
      </c>
      <c r="AD1022">
        <v>0</v>
      </c>
      <c r="AE1022">
        <v>10</v>
      </c>
      <c r="AF1022">
        <v>10</v>
      </c>
      <c r="AG1022">
        <v>10</v>
      </c>
    </row>
    <row r="1023" spans="1:33" x14ac:dyDescent="0.35">
      <c r="A1023" t="s">
        <v>53</v>
      </c>
      <c r="B1023" t="s">
        <v>34</v>
      </c>
      <c r="C1023">
        <v>18</v>
      </c>
      <c r="D1023" t="s">
        <v>52</v>
      </c>
      <c r="E1023" t="s">
        <v>36</v>
      </c>
      <c r="F1023" t="s">
        <v>44</v>
      </c>
      <c r="G1023">
        <v>4</v>
      </c>
      <c r="H1023">
        <v>4</v>
      </c>
      <c r="I1023" t="s">
        <v>45</v>
      </c>
      <c r="J1023" t="s">
        <v>39</v>
      </c>
      <c r="K1023" t="s">
        <v>45</v>
      </c>
      <c r="L1023" t="s">
        <v>46</v>
      </c>
      <c r="M1023">
        <v>3</v>
      </c>
      <c r="N1023">
        <v>2</v>
      </c>
      <c r="O1023">
        <v>0</v>
      </c>
      <c r="P1023" t="s">
        <v>43</v>
      </c>
      <c r="Q1023" t="s">
        <v>42</v>
      </c>
      <c r="R1023" t="s">
        <v>43</v>
      </c>
      <c r="S1023" t="s">
        <v>43</v>
      </c>
      <c r="T1023" t="s">
        <v>43</v>
      </c>
      <c r="U1023" t="s">
        <v>42</v>
      </c>
      <c r="V1023" t="s">
        <v>42</v>
      </c>
      <c r="W1023" t="s">
        <v>42</v>
      </c>
      <c r="X1023">
        <v>3</v>
      </c>
      <c r="Y1023">
        <v>2</v>
      </c>
      <c r="Z1023">
        <v>2</v>
      </c>
      <c r="AA1023">
        <v>4</v>
      </c>
      <c r="AB1023">
        <v>2</v>
      </c>
      <c r="AC1023">
        <v>5</v>
      </c>
      <c r="AD1023">
        <v>0</v>
      </c>
      <c r="AE1023">
        <v>7</v>
      </c>
      <c r="AF1023">
        <v>5</v>
      </c>
      <c r="AG1023">
        <v>0</v>
      </c>
    </row>
    <row r="1024" spans="1:33" x14ac:dyDescent="0.35">
      <c r="A1024" t="s">
        <v>53</v>
      </c>
      <c r="B1024" t="s">
        <v>50</v>
      </c>
      <c r="C1024">
        <v>18</v>
      </c>
      <c r="D1024" t="s">
        <v>52</v>
      </c>
      <c r="E1024" t="s">
        <v>47</v>
      </c>
      <c r="F1024" t="s">
        <v>44</v>
      </c>
      <c r="G1024">
        <v>1</v>
      </c>
      <c r="H1024">
        <v>2</v>
      </c>
      <c r="I1024" t="s">
        <v>38</v>
      </c>
      <c r="J1024" t="s">
        <v>48</v>
      </c>
      <c r="K1024" t="s">
        <v>45</v>
      </c>
      <c r="L1024" t="s">
        <v>46</v>
      </c>
      <c r="M1024">
        <v>3</v>
      </c>
      <c r="N1024">
        <v>1</v>
      </c>
      <c r="O1024">
        <v>0</v>
      </c>
      <c r="P1024" t="s">
        <v>43</v>
      </c>
      <c r="Q1024" t="s">
        <v>42</v>
      </c>
      <c r="R1024" t="s">
        <v>43</v>
      </c>
      <c r="S1024" t="s">
        <v>42</v>
      </c>
      <c r="T1024" t="s">
        <v>42</v>
      </c>
      <c r="U1024" t="s">
        <v>43</v>
      </c>
      <c r="V1024" t="s">
        <v>42</v>
      </c>
      <c r="W1024" t="s">
        <v>42</v>
      </c>
      <c r="X1024">
        <v>4</v>
      </c>
      <c r="Y1024">
        <v>3</v>
      </c>
      <c r="Z1024">
        <v>3</v>
      </c>
      <c r="AA1024">
        <v>2</v>
      </c>
      <c r="AB1024">
        <v>3</v>
      </c>
      <c r="AC1024">
        <v>3</v>
      </c>
      <c r="AD1024">
        <v>3</v>
      </c>
      <c r="AE1024">
        <v>9</v>
      </c>
      <c r="AF1024">
        <v>10</v>
      </c>
      <c r="AG1024">
        <v>10</v>
      </c>
    </row>
    <row r="1025" spans="1:33" x14ac:dyDescent="0.35">
      <c r="A1025" t="s">
        <v>53</v>
      </c>
      <c r="B1025" t="s">
        <v>34</v>
      </c>
      <c r="C1025">
        <v>17</v>
      </c>
      <c r="D1025" t="s">
        <v>35</v>
      </c>
      <c r="E1025" t="s">
        <v>36</v>
      </c>
      <c r="F1025" t="s">
        <v>44</v>
      </c>
      <c r="G1025">
        <v>2</v>
      </c>
      <c r="H1025">
        <v>2</v>
      </c>
      <c r="I1025" t="s">
        <v>45</v>
      </c>
      <c r="J1025" t="s">
        <v>38</v>
      </c>
      <c r="K1025" t="s">
        <v>49</v>
      </c>
      <c r="L1025" t="s">
        <v>41</v>
      </c>
      <c r="M1025">
        <v>1</v>
      </c>
      <c r="N1025">
        <v>3</v>
      </c>
      <c r="O1025">
        <v>0</v>
      </c>
      <c r="P1025" t="s">
        <v>43</v>
      </c>
      <c r="Q1025" t="s">
        <v>43</v>
      </c>
      <c r="R1025" t="s">
        <v>43</v>
      </c>
      <c r="S1025" t="s">
        <v>42</v>
      </c>
      <c r="T1025" t="s">
        <v>42</v>
      </c>
      <c r="U1025" t="s">
        <v>42</v>
      </c>
      <c r="V1025" t="s">
        <v>43</v>
      </c>
      <c r="W1025" t="s">
        <v>42</v>
      </c>
      <c r="X1025">
        <v>3</v>
      </c>
      <c r="Y1025">
        <v>4</v>
      </c>
      <c r="Z1025">
        <v>3</v>
      </c>
      <c r="AA1025">
        <v>1</v>
      </c>
      <c r="AB1025">
        <v>1</v>
      </c>
      <c r="AC1025">
        <v>3</v>
      </c>
      <c r="AD1025">
        <v>8</v>
      </c>
      <c r="AE1025">
        <v>10</v>
      </c>
      <c r="AF1025">
        <v>11</v>
      </c>
      <c r="AG1025">
        <v>12</v>
      </c>
    </row>
    <row r="1026" spans="1:33" x14ac:dyDescent="0.35">
      <c r="A1026" t="s">
        <v>53</v>
      </c>
      <c r="B1026" t="s">
        <v>34</v>
      </c>
      <c r="C1026">
        <v>17</v>
      </c>
      <c r="D1026" t="s">
        <v>52</v>
      </c>
      <c r="E1026" t="s">
        <v>36</v>
      </c>
      <c r="F1026" t="s">
        <v>44</v>
      </c>
      <c r="G1026">
        <v>1</v>
      </c>
      <c r="H1026">
        <v>2</v>
      </c>
      <c r="I1026" t="s">
        <v>45</v>
      </c>
      <c r="J1026" t="s">
        <v>45</v>
      </c>
      <c r="K1026" t="s">
        <v>40</v>
      </c>
      <c r="L1026" t="s">
        <v>41</v>
      </c>
      <c r="M1026">
        <v>1</v>
      </c>
      <c r="N1026">
        <v>1</v>
      </c>
      <c r="O1026">
        <v>0</v>
      </c>
      <c r="P1026" t="s">
        <v>43</v>
      </c>
      <c r="Q1026" t="s">
        <v>43</v>
      </c>
      <c r="R1026" t="s">
        <v>43</v>
      </c>
      <c r="S1026" t="s">
        <v>42</v>
      </c>
      <c r="T1026" t="s">
        <v>42</v>
      </c>
      <c r="U1026" t="s">
        <v>42</v>
      </c>
      <c r="V1026" t="s">
        <v>42</v>
      </c>
      <c r="W1026" t="s">
        <v>43</v>
      </c>
      <c r="X1026">
        <v>3</v>
      </c>
      <c r="Y1026">
        <v>5</v>
      </c>
      <c r="Z1026">
        <v>5</v>
      </c>
      <c r="AA1026">
        <v>1</v>
      </c>
      <c r="AB1026">
        <v>3</v>
      </c>
      <c r="AC1026">
        <v>1</v>
      </c>
      <c r="AD1026">
        <v>4</v>
      </c>
      <c r="AE1026">
        <v>7</v>
      </c>
      <c r="AF1026">
        <v>8</v>
      </c>
      <c r="AG1026">
        <v>9</v>
      </c>
    </row>
    <row r="1027" spans="1:33" x14ac:dyDescent="0.35">
      <c r="A1027" t="s">
        <v>53</v>
      </c>
      <c r="B1027" t="s">
        <v>34</v>
      </c>
      <c r="C1027">
        <v>18</v>
      </c>
      <c r="D1027" t="s">
        <v>52</v>
      </c>
      <c r="E1027" t="s">
        <v>47</v>
      </c>
      <c r="F1027" t="s">
        <v>44</v>
      </c>
      <c r="G1027">
        <v>4</v>
      </c>
      <c r="H1027">
        <v>4</v>
      </c>
      <c r="I1027" t="s">
        <v>45</v>
      </c>
      <c r="J1027" t="s">
        <v>45</v>
      </c>
      <c r="K1027" t="s">
        <v>51</v>
      </c>
      <c r="L1027" t="s">
        <v>41</v>
      </c>
      <c r="M1027">
        <v>2</v>
      </c>
      <c r="N1027">
        <v>3</v>
      </c>
      <c r="O1027">
        <v>0</v>
      </c>
      <c r="P1027" t="s">
        <v>43</v>
      </c>
      <c r="Q1027" t="s">
        <v>43</v>
      </c>
      <c r="R1027" t="s">
        <v>43</v>
      </c>
      <c r="S1027" t="s">
        <v>43</v>
      </c>
      <c r="T1027" t="s">
        <v>42</v>
      </c>
      <c r="U1027" t="s">
        <v>42</v>
      </c>
      <c r="V1027" t="s">
        <v>42</v>
      </c>
      <c r="W1027" t="s">
        <v>43</v>
      </c>
      <c r="X1027">
        <v>5</v>
      </c>
      <c r="Y1027">
        <v>4</v>
      </c>
      <c r="Z1027">
        <v>4</v>
      </c>
      <c r="AA1027">
        <v>1</v>
      </c>
      <c r="AB1027">
        <v>1</v>
      </c>
      <c r="AC1027">
        <v>1</v>
      </c>
      <c r="AD1027">
        <v>0</v>
      </c>
      <c r="AE1027">
        <v>15</v>
      </c>
      <c r="AF1027">
        <v>17</v>
      </c>
      <c r="AG1027">
        <v>17</v>
      </c>
    </row>
    <row r="1028" spans="1:33" x14ac:dyDescent="0.35">
      <c r="A1028" t="s">
        <v>53</v>
      </c>
      <c r="B1028" t="s">
        <v>34</v>
      </c>
      <c r="C1028">
        <v>18</v>
      </c>
      <c r="D1028" t="s">
        <v>52</v>
      </c>
      <c r="E1028" t="s">
        <v>36</v>
      </c>
      <c r="F1028" t="s">
        <v>44</v>
      </c>
      <c r="G1028">
        <v>1</v>
      </c>
      <c r="H1028">
        <v>1</v>
      </c>
      <c r="I1028" t="s">
        <v>45</v>
      </c>
      <c r="J1028" t="s">
        <v>45</v>
      </c>
      <c r="K1028" t="s">
        <v>49</v>
      </c>
      <c r="L1028" t="s">
        <v>41</v>
      </c>
      <c r="M1028">
        <v>4</v>
      </c>
      <c r="N1028">
        <v>3</v>
      </c>
      <c r="O1028">
        <v>0</v>
      </c>
      <c r="P1028" t="s">
        <v>43</v>
      </c>
      <c r="Q1028" t="s">
        <v>43</v>
      </c>
      <c r="R1028" t="s">
        <v>43</v>
      </c>
      <c r="S1028" t="s">
        <v>43</v>
      </c>
      <c r="T1028" t="s">
        <v>42</v>
      </c>
      <c r="U1028" t="s">
        <v>42</v>
      </c>
      <c r="V1028" t="s">
        <v>42</v>
      </c>
      <c r="W1028" t="s">
        <v>43</v>
      </c>
      <c r="X1028">
        <v>4</v>
      </c>
      <c r="Y1028">
        <v>3</v>
      </c>
      <c r="Z1028">
        <v>2</v>
      </c>
      <c r="AA1028">
        <v>1</v>
      </c>
      <c r="AB1028">
        <v>2</v>
      </c>
      <c r="AC1028">
        <v>4</v>
      </c>
      <c r="AD1028">
        <v>4</v>
      </c>
      <c r="AE1028">
        <v>10</v>
      </c>
      <c r="AF1028">
        <v>11</v>
      </c>
      <c r="AG1028">
        <v>12</v>
      </c>
    </row>
    <row r="1029" spans="1:33" x14ac:dyDescent="0.35">
      <c r="A1029" t="s">
        <v>53</v>
      </c>
      <c r="B1029" t="s">
        <v>34</v>
      </c>
      <c r="C1029">
        <v>19</v>
      </c>
      <c r="D1029" t="s">
        <v>52</v>
      </c>
      <c r="E1029" t="s">
        <v>36</v>
      </c>
      <c r="F1029" t="s">
        <v>44</v>
      </c>
      <c r="G1029">
        <v>1</v>
      </c>
      <c r="H1029">
        <v>1</v>
      </c>
      <c r="I1029" t="s">
        <v>38</v>
      </c>
      <c r="J1029" t="s">
        <v>45</v>
      </c>
      <c r="K1029" t="s">
        <v>40</v>
      </c>
      <c r="L1029" t="s">
        <v>45</v>
      </c>
      <c r="M1029">
        <v>2</v>
      </c>
      <c r="N1029">
        <v>2</v>
      </c>
      <c r="O1029">
        <v>1</v>
      </c>
      <c r="P1029" t="s">
        <v>43</v>
      </c>
      <c r="Q1029" t="s">
        <v>42</v>
      </c>
      <c r="R1029" t="s">
        <v>43</v>
      </c>
      <c r="S1029" t="s">
        <v>43</v>
      </c>
      <c r="T1029" t="s">
        <v>42</v>
      </c>
      <c r="U1029" t="s">
        <v>42</v>
      </c>
      <c r="V1029" t="s">
        <v>42</v>
      </c>
      <c r="W1029" t="s">
        <v>42</v>
      </c>
      <c r="X1029">
        <v>4</v>
      </c>
      <c r="Y1029">
        <v>3</v>
      </c>
      <c r="Z1029">
        <v>3</v>
      </c>
      <c r="AA1029">
        <v>1</v>
      </c>
      <c r="AB1029">
        <v>1</v>
      </c>
      <c r="AC1029">
        <v>3</v>
      </c>
      <c r="AD1029">
        <v>4</v>
      </c>
      <c r="AE1029">
        <v>7</v>
      </c>
      <c r="AF1029">
        <v>8</v>
      </c>
      <c r="AG1029">
        <v>9</v>
      </c>
    </row>
    <row r="1030" spans="1:33" x14ac:dyDescent="0.35">
      <c r="A1030" t="s">
        <v>53</v>
      </c>
      <c r="B1030" t="s">
        <v>34</v>
      </c>
      <c r="C1030">
        <v>18</v>
      </c>
      <c r="D1030" t="s">
        <v>52</v>
      </c>
      <c r="E1030" t="s">
        <v>47</v>
      </c>
      <c r="F1030" t="s">
        <v>44</v>
      </c>
      <c r="G1030">
        <v>4</v>
      </c>
      <c r="H1030">
        <v>4</v>
      </c>
      <c r="I1030" t="s">
        <v>39</v>
      </c>
      <c r="J1030" t="s">
        <v>48</v>
      </c>
      <c r="K1030" t="s">
        <v>40</v>
      </c>
      <c r="L1030" t="s">
        <v>41</v>
      </c>
      <c r="M1030">
        <v>1</v>
      </c>
      <c r="N1030">
        <v>2</v>
      </c>
      <c r="O1030">
        <v>0</v>
      </c>
      <c r="P1030" t="s">
        <v>43</v>
      </c>
      <c r="Q1030" t="s">
        <v>43</v>
      </c>
      <c r="R1030" t="s">
        <v>43</v>
      </c>
      <c r="S1030" t="s">
        <v>42</v>
      </c>
      <c r="T1030" t="s">
        <v>42</v>
      </c>
      <c r="U1030" t="s">
        <v>42</v>
      </c>
      <c r="V1030" t="s">
        <v>42</v>
      </c>
      <c r="W1030" t="s">
        <v>43</v>
      </c>
      <c r="X1030">
        <v>5</v>
      </c>
      <c r="Y1030">
        <v>4</v>
      </c>
      <c r="Z1030">
        <v>3</v>
      </c>
      <c r="AA1030">
        <v>3</v>
      </c>
      <c r="AB1030">
        <v>4</v>
      </c>
      <c r="AC1030">
        <v>2</v>
      </c>
      <c r="AD1030">
        <v>1</v>
      </c>
      <c r="AE1030">
        <v>13</v>
      </c>
      <c r="AF1030">
        <v>14</v>
      </c>
      <c r="AG1030">
        <v>14</v>
      </c>
    </row>
    <row r="1031" spans="1:33" x14ac:dyDescent="0.35">
      <c r="A1031" t="s">
        <v>53</v>
      </c>
      <c r="B1031" t="s">
        <v>34</v>
      </c>
      <c r="C1031">
        <v>18</v>
      </c>
      <c r="D1031" t="s">
        <v>35</v>
      </c>
      <c r="E1031" t="s">
        <v>36</v>
      </c>
      <c r="F1031" t="s">
        <v>44</v>
      </c>
      <c r="G1031">
        <v>3</v>
      </c>
      <c r="H1031">
        <v>3</v>
      </c>
      <c r="I1031" t="s">
        <v>45</v>
      </c>
      <c r="J1031" t="s">
        <v>45</v>
      </c>
      <c r="K1031" t="s">
        <v>49</v>
      </c>
      <c r="L1031" t="s">
        <v>41</v>
      </c>
      <c r="M1031">
        <v>1</v>
      </c>
      <c r="N1031">
        <v>2</v>
      </c>
      <c r="O1031">
        <v>0</v>
      </c>
      <c r="P1031" t="s">
        <v>43</v>
      </c>
      <c r="Q1031" t="s">
        <v>43</v>
      </c>
      <c r="R1031" t="s">
        <v>43</v>
      </c>
      <c r="S1031" t="s">
        <v>43</v>
      </c>
      <c r="T1031" t="s">
        <v>42</v>
      </c>
      <c r="U1031" t="s">
        <v>42</v>
      </c>
      <c r="V1031" t="s">
        <v>42</v>
      </c>
      <c r="W1031" t="s">
        <v>42</v>
      </c>
      <c r="X1031">
        <v>4</v>
      </c>
      <c r="Y1031">
        <v>1</v>
      </c>
      <c r="Z1031">
        <v>3</v>
      </c>
      <c r="AA1031">
        <v>1</v>
      </c>
      <c r="AB1031">
        <v>2</v>
      </c>
      <c r="AC1031">
        <v>1</v>
      </c>
      <c r="AD1031">
        <v>1</v>
      </c>
      <c r="AE1031">
        <v>16</v>
      </c>
      <c r="AF1031">
        <v>16</v>
      </c>
      <c r="AG1031">
        <v>16</v>
      </c>
    </row>
    <row r="1032" spans="1:33" x14ac:dyDescent="0.35">
      <c r="A1032" t="s">
        <v>53</v>
      </c>
      <c r="B1032" t="s">
        <v>34</v>
      </c>
      <c r="C1032">
        <v>17</v>
      </c>
      <c r="D1032" t="s">
        <v>52</v>
      </c>
      <c r="E1032" t="s">
        <v>36</v>
      </c>
      <c r="F1032" t="s">
        <v>44</v>
      </c>
      <c r="G1032">
        <v>3</v>
      </c>
      <c r="H1032">
        <v>1</v>
      </c>
      <c r="I1032" t="s">
        <v>38</v>
      </c>
      <c r="J1032" t="s">
        <v>45</v>
      </c>
      <c r="K1032" t="s">
        <v>51</v>
      </c>
      <c r="L1032" t="s">
        <v>41</v>
      </c>
      <c r="M1032">
        <v>1</v>
      </c>
      <c r="N1032">
        <v>2</v>
      </c>
      <c r="O1032">
        <v>0</v>
      </c>
      <c r="P1032" t="s">
        <v>43</v>
      </c>
      <c r="Q1032" t="s">
        <v>42</v>
      </c>
      <c r="R1032" t="s">
        <v>43</v>
      </c>
      <c r="S1032" t="s">
        <v>42</v>
      </c>
      <c r="T1032" t="s">
        <v>43</v>
      </c>
      <c r="U1032" t="s">
        <v>42</v>
      </c>
      <c r="V1032" t="s">
        <v>42</v>
      </c>
      <c r="W1032" t="s">
        <v>43</v>
      </c>
      <c r="X1032">
        <v>4</v>
      </c>
      <c r="Y1032">
        <v>5</v>
      </c>
      <c r="Z1032">
        <v>4</v>
      </c>
      <c r="AA1032">
        <v>2</v>
      </c>
      <c r="AB1032">
        <v>3</v>
      </c>
      <c r="AC1032">
        <v>1</v>
      </c>
      <c r="AD1032">
        <v>10</v>
      </c>
      <c r="AE1032">
        <v>8</v>
      </c>
      <c r="AF1032">
        <v>9</v>
      </c>
      <c r="AG1032">
        <v>9</v>
      </c>
    </row>
    <row r="1033" spans="1:33" x14ac:dyDescent="0.35">
      <c r="A1033" t="s">
        <v>53</v>
      </c>
      <c r="B1033" t="s">
        <v>50</v>
      </c>
      <c r="C1033">
        <v>18</v>
      </c>
      <c r="D1033" t="s">
        <v>35</v>
      </c>
      <c r="E1033" t="s">
        <v>36</v>
      </c>
      <c r="F1033" t="s">
        <v>44</v>
      </c>
      <c r="G1033">
        <v>4</v>
      </c>
      <c r="H1033">
        <v>4</v>
      </c>
      <c r="I1033" t="s">
        <v>39</v>
      </c>
      <c r="J1033" t="s">
        <v>39</v>
      </c>
      <c r="K1033" t="s">
        <v>49</v>
      </c>
      <c r="L1033" t="s">
        <v>46</v>
      </c>
      <c r="M1033">
        <v>1</v>
      </c>
      <c r="N1033">
        <v>2</v>
      </c>
      <c r="O1033">
        <v>0</v>
      </c>
      <c r="P1033" t="s">
        <v>43</v>
      </c>
      <c r="Q1033" t="s">
        <v>43</v>
      </c>
      <c r="R1033" t="s">
        <v>43</v>
      </c>
      <c r="S1033" t="s">
        <v>42</v>
      </c>
      <c r="T1033" t="s">
        <v>43</v>
      </c>
      <c r="U1033" t="s">
        <v>42</v>
      </c>
      <c r="V1033" t="s">
        <v>42</v>
      </c>
      <c r="W1033" t="s">
        <v>43</v>
      </c>
      <c r="X1033">
        <v>3</v>
      </c>
      <c r="Y1033">
        <v>2</v>
      </c>
      <c r="Z1033">
        <v>4</v>
      </c>
      <c r="AA1033">
        <v>1</v>
      </c>
      <c r="AB1033">
        <v>4</v>
      </c>
      <c r="AC1033">
        <v>2</v>
      </c>
      <c r="AD1033">
        <v>4</v>
      </c>
      <c r="AE1033">
        <v>17</v>
      </c>
      <c r="AF1033">
        <v>18</v>
      </c>
      <c r="AG1033">
        <v>19</v>
      </c>
    </row>
    <row r="1034" spans="1:33" x14ac:dyDescent="0.35">
      <c r="A1034" t="s">
        <v>53</v>
      </c>
      <c r="B1034" t="s">
        <v>50</v>
      </c>
      <c r="C1034">
        <v>18</v>
      </c>
      <c r="D1034" t="s">
        <v>52</v>
      </c>
      <c r="E1034" t="s">
        <v>36</v>
      </c>
      <c r="F1034" t="s">
        <v>44</v>
      </c>
      <c r="G1034">
        <v>2</v>
      </c>
      <c r="H1034">
        <v>1</v>
      </c>
      <c r="I1034" t="s">
        <v>45</v>
      </c>
      <c r="J1034" t="s">
        <v>45</v>
      </c>
      <c r="K1034" t="s">
        <v>45</v>
      </c>
      <c r="L1034" t="s">
        <v>41</v>
      </c>
      <c r="M1034">
        <v>2</v>
      </c>
      <c r="N1034">
        <v>1</v>
      </c>
      <c r="O1034">
        <v>0</v>
      </c>
      <c r="P1034" t="s">
        <v>43</v>
      </c>
      <c r="Q1034" t="s">
        <v>43</v>
      </c>
      <c r="R1034" t="s">
        <v>43</v>
      </c>
      <c r="S1034" t="s">
        <v>42</v>
      </c>
      <c r="T1034" t="s">
        <v>43</v>
      </c>
      <c r="U1034" t="s">
        <v>42</v>
      </c>
      <c r="V1034" t="s">
        <v>42</v>
      </c>
      <c r="W1034" t="s">
        <v>42</v>
      </c>
      <c r="X1034">
        <v>4</v>
      </c>
      <c r="Y1034">
        <v>4</v>
      </c>
      <c r="Z1034">
        <v>3</v>
      </c>
      <c r="AA1034">
        <v>1</v>
      </c>
      <c r="AB1034">
        <v>3</v>
      </c>
      <c r="AC1034">
        <v>5</v>
      </c>
      <c r="AD1034">
        <v>0</v>
      </c>
      <c r="AE1034">
        <v>7</v>
      </c>
      <c r="AF1034">
        <v>7</v>
      </c>
      <c r="AG1034">
        <v>0</v>
      </c>
    </row>
    <row r="1035" spans="1:33" x14ac:dyDescent="0.35">
      <c r="A1035" t="s">
        <v>53</v>
      </c>
      <c r="B1035" t="s">
        <v>50</v>
      </c>
      <c r="C1035">
        <v>17</v>
      </c>
      <c r="D1035" t="s">
        <v>35</v>
      </c>
      <c r="E1035" t="s">
        <v>36</v>
      </c>
      <c r="F1035" t="s">
        <v>44</v>
      </c>
      <c r="G1035">
        <v>2</v>
      </c>
      <c r="H1035">
        <v>3</v>
      </c>
      <c r="I1035" t="s">
        <v>45</v>
      </c>
      <c r="J1035" t="s">
        <v>48</v>
      </c>
      <c r="K1035" t="s">
        <v>49</v>
      </c>
      <c r="L1035" t="s">
        <v>46</v>
      </c>
      <c r="M1035">
        <v>2</v>
      </c>
      <c r="N1035">
        <v>2</v>
      </c>
      <c r="O1035">
        <v>0</v>
      </c>
      <c r="P1035" t="s">
        <v>43</v>
      </c>
      <c r="Q1035" t="s">
        <v>43</v>
      </c>
      <c r="R1035" t="s">
        <v>43</v>
      </c>
      <c r="S1035" t="s">
        <v>42</v>
      </c>
      <c r="T1035" t="s">
        <v>42</v>
      </c>
      <c r="U1035" t="s">
        <v>42</v>
      </c>
      <c r="V1035" t="s">
        <v>42</v>
      </c>
      <c r="W1035" t="s">
        <v>43</v>
      </c>
      <c r="X1035">
        <v>4</v>
      </c>
      <c r="Y1035">
        <v>4</v>
      </c>
      <c r="Z1035">
        <v>3</v>
      </c>
      <c r="AA1035">
        <v>1</v>
      </c>
      <c r="AB1035">
        <v>1</v>
      </c>
      <c r="AC1035">
        <v>3</v>
      </c>
      <c r="AD1035">
        <v>4</v>
      </c>
      <c r="AE1035">
        <v>14</v>
      </c>
      <c r="AF1035">
        <v>15</v>
      </c>
      <c r="AG1035">
        <v>16</v>
      </c>
    </row>
    <row r="1036" spans="1:33" x14ac:dyDescent="0.35">
      <c r="A1036" t="s">
        <v>53</v>
      </c>
      <c r="B1036" t="s">
        <v>50</v>
      </c>
      <c r="C1036">
        <v>19</v>
      </c>
      <c r="D1036" t="s">
        <v>52</v>
      </c>
      <c r="E1036" t="s">
        <v>36</v>
      </c>
      <c r="F1036" t="s">
        <v>44</v>
      </c>
      <c r="G1036">
        <v>1</v>
      </c>
      <c r="H1036">
        <v>1</v>
      </c>
      <c r="I1036" t="s">
        <v>45</v>
      </c>
      <c r="J1036" t="s">
        <v>48</v>
      </c>
      <c r="K1036" t="s">
        <v>45</v>
      </c>
      <c r="L1036" t="s">
        <v>41</v>
      </c>
      <c r="M1036">
        <v>2</v>
      </c>
      <c r="N1036">
        <v>1</v>
      </c>
      <c r="O1036">
        <v>1</v>
      </c>
      <c r="P1036" t="s">
        <v>43</v>
      </c>
      <c r="Q1036" t="s">
        <v>43</v>
      </c>
      <c r="R1036" t="s">
        <v>43</v>
      </c>
      <c r="S1036" t="s">
        <v>43</v>
      </c>
      <c r="T1036" t="s">
        <v>42</v>
      </c>
      <c r="U1036" t="s">
        <v>42</v>
      </c>
      <c r="V1036" t="s">
        <v>43</v>
      </c>
      <c r="W1036" t="s">
        <v>43</v>
      </c>
      <c r="X1036">
        <v>4</v>
      </c>
      <c r="Y1036">
        <v>3</v>
      </c>
      <c r="Z1036">
        <v>2</v>
      </c>
      <c r="AA1036">
        <v>1</v>
      </c>
      <c r="AB1036">
        <v>3</v>
      </c>
      <c r="AC1036">
        <v>5</v>
      </c>
      <c r="AD1036">
        <v>0</v>
      </c>
      <c r="AE1036">
        <v>5</v>
      </c>
      <c r="AF1036">
        <v>8</v>
      </c>
      <c r="AG1036">
        <v>0</v>
      </c>
    </row>
    <row r="1037" spans="1:33" x14ac:dyDescent="0.35">
      <c r="A1037" t="s">
        <v>53</v>
      </c>
      <c r="B1037" t="s">
        <v>50</v>
      </c>
      <c r="C1037">
        <v>18</v>
      </c>
      <c r="D1037" t="s">
        <v>52</v>
      </c>
      <c r="E1037" t="s">
        <v>36</v>
      </c>
      <c r="F1037" t="s">
        <v>44</v>
      </c>
      <c r="G1037">
        <v>4</v>
      </c>
      <c r="H1037">
        <v>2</v>
      </c>
      <c r="I1037" t="s">
        <v>45</v>
      </c>
      <c r="J1037" t="s">
        <v>45</v>
      </c>
      <c r="K1037" t="s">
        <v>49</v>
      </c>
      <c r="L1037" t="s">
        <v>46</v>
      </c>
      <c r="M1037">
        <v>2</v>
      </c>
      <c r="N1037">
        <v>1</v>
      </c>
      <c r="O1037">
        <v>1</v>
      </c>
      <c r="P1037" t="s">
        <v>43</v>
      </c>
      <c r="Q1037" t="s">
        <v>43</v>
      </c>
      <c r="R1037" t="s">
        <v>42</v>
      </c>
      <c r="S1037" t="s">
        <v>43</v>
      </c>
      <c r="T1037" t="s">
        <v>42</v>
      </c>
      <c r="U1037" t="s">
        <v>42</v>
      </c>
      <c r="V1037" t="s">
        <v>43</v>
      </c>
      <c r="W1037" t="s">
        <v>43</v>
      </c>
      <c r="X1037">
        <v>5</v>
      </c>
      <c r="Y1037">
        <v>4</v>
      </c>
      <c r="Z1037">
        <v>3</v>
      </c>
      <c r="AA1037">
        <v>4</v>
      </c>
      <c r="AB1037">
        <v>3</v>
      </c>
      <c r="AC1037">
        <v>3</v>
      </c>
      <c r="AD1037">
        <v>0</v>
      </c>
      <c r="AE1037">
        <v>7</v>
      </c>
      <c r="AF1037">
        <v>7</v>
      </c>
      <c r="AG1037">
        <v>0</v>
      </c>
    </row>
    <row r="1038" spans="1:33" x14ac:dyDescent="0.35">
      <c r="A1038" t="s">
        <v>53</v>
      </c>
      <c r="B1038" t="s">
        <v>34</v>
      </c>
      <c r="C1038">
        <v>18</v>
      </c>
      <c r="D1038" t="s">
        <v>52</v>
      </c>
      <c r="E1038" t="s">
        <v>36</v>
      </c>
      <c r="F1038" t="s">
        <v>44</v>
      </c>
      <c r="G1038">
        <v>2</v>
      </c>
      <c r="H1038">
        <v>2</v>
      </c>
      <c r="I1038" t="s">
        <v>38</v>
      </c>
      <c r="J1038" t="s">
        <v>45</v>
      </c>
      <c r="K1038" t="s">
        <v>45</v>
      </c>
      <c r="L1038" t="s">
        <v>41</v>
      </c>
      <c r="M1038">
        <v>2</v>
      </c>
      <c r="N1038">
        <v>3</v>
      </c>
      <c r="O1038">
        <v>0</v>
      </c>
      <c r="P1038" t="s">
        <v>43</v>
      </c>
      <c r="Q1038" t="s">
        <v>43</v>
      </c>
      <c r="R1038" t="s">
        <v>43</v>
      </c>
      <c r="S1038" t="s">
        <v>43</v>
      </c>
      <c r="T1038" t="s">
        <v>42</v>
      </c>
      <c r="U1038" t="s">
        <v>42</v>
      </c>
      <c r="V1038" t="s">
        <v>43</v>
      </c>
      <c r="W1038" t="s">
        <v>43</v>
      </c>
      <c r="X1038">
        <v>5</v>
      </c>
      <c r="Y1038">
        <v>3</v>
      </c>
      <c r="Z1038">
        <v>3</v>
      </c>
      <c r="AA1038">
        <v>1</v>
      </c>
      <c r="AB1038">
        <v>3</v>
      </c>
      <c r="AC1038">
        <v>4</v>
      </c>
      <c r="AD1038">
        <v>0</v>
      </c>
      <c r="AE1038">
        <v>14</v>
      </c>
      <c r="AF1038">
        <v>17</v>
      </c>
      <c r="AG1038">
        <v>15</v>
      </c>
    </row>
    <row r="1039" spans="1:33" x14ac:dyDescent="0.35">
      <c r="A1039" t="s">
        <v>53</v>
      </c>
      <c r="B1039" t="s">
        <v>34</v>
      </c>
      <c r="C1039">
        <v>17</v>
      </c>
      <c r="D1039" t="s">
        <v>35</v>
      </c>
      <c r="E1039" t="s">
        <v>36</v>
      </c>
      <c r="F1039" t="s">
        <v>44</v>
      </c>
      <c r="G1039">
        <v>4</v>
      </c>
      <c r="H1039">
        <v>3</v>
      </c>
      <c r="I1039" t="s">
        <v>39</v>
      </c>
      <c r="J1039" t="s">
        <v>45</v>
      </c>
      <c r="K1039" t="s">
        <v>45</v>
      </c>
      <c r="L1039" t="s">
        <v>41</v>
      </c>
      <c r="M1039">
        <v>2</v>
      </c>
      <c r="N1039">
        <v>2</v>
      </c>
      <c r="O1039">
        <v>0</v>
      </c>
      <c r="P1039" t="s">
        <v>43</v>
      </c>
      <c r="Q1039" t="s">
        <v>43</v>
      </c>
      <c r="R1039" t="s">
        <v>43</v>
      </c>
      <c r="S1039" t="s">
        <v>43</v>
      </c>
      <c r="T1039" t="s">
        <v>42</v>
      </c>
      <c r="U1039" t="s">
        <v>42</v>
      </c>
      <c r="V1039" t="s">
        <v>42</v>
      </c>
      <c r="W1039" t="s">
        <v>43</v>
      </c>
      <c r="X1039">
        <v>5</v>
      </c>
      <c r="Y1039">
        <v>5</v>
      </c>
      <c r="Z1039">
        <v>4</v>
      </c>
      <c r="AA1039">
        <v>1</v>
      </c>
      <c r="AB1039">
        <v>1</v>
      </c>
      <c r="AC1039">
        <v>1</v>
      </c>
      <c r="AD1039">
        <v>0</v>
      </c>
      <c r="AE1039">
        <v>6</v>
      </c>
      <c r="AF1039">
        <v>9</v>
      </c>
      <c r="AG1039">
        <v>11</v>
      </c>
    </row>
    <row r="1040" spans="1:33" x14ac:dyDescent="0.35">
      <c r="A1040" t="s">
        <v>53</v>
      </c>
      <c r="B1040" t="s">
        <v>34</v>
      </c>
      <c r="C1040">
        <v>18</v>
      </c>
      <c r="D1040" t="s">
        <v>52</v>
      </c>
      <c r="E1040" t="s">
        <v>36</v>
      </c>
      <c r="F1040" t="s">
        <v>44</v>
      </c>
      <c r="G1040">
        <v>4</v>
      </c>
      <c r="H1040">
        <v>4</v>
      </c>
      <c r="I1040" t="s">
        <v>39</v>
      </c>
      <c r="J1040" t="s">
        <v>38</v>
      </c>
      <c r="K1040" t="s">
        <v>51</v>
      </c>
      <c r="L1040" t="s">
        <v>41</v>
      </c>
      <c r="M1040">
        <v>3</v>
      </c>
      <c r="N1040">
        <v>1</v>
      </c>
      <c r="O1040">
        <v>0</v>
      </c>
      <c r="P1040" t="s">
        <v>43</v>
      </c>
      <c r="Q1040" t="s">
        <v>42</v>
      </c>
      <c r="R1040" t="s">
        <v>43</v>
      </c>
      <c r="S1040" t="s">
        <v>42</v>
      </c>
      <c r="T1040" t="s">
        <v>42</v>
      </c>
      <c r="U1040" t="s">
        <v>42</v>
      </c>
      <c r="V1040" t="s">
        <v>42</v>
      </c>
      <c r="W1040" t="s">
        <v>42</v>
      </c>
      <c r="X1040">
        <v>4</v>
      </c>
      <c r="Y1040">
        <v>4</v>
      </c>
      <c r="Z1040">
        <v>3</v>
      </c>
      <c r="AA1040">
        <v>2</v>
      </c>
      <c r="AB1040">
        <v>2</v>
      </c>
      <c r="AC1040">
        <v>5</v>
      </c>
      <c r="AD1040">
        <v>4</v>
      </c>
      <c r="AE1040">
        <v>7</v>
      </c>
      <c r="AF1040">
        <v>9</v>
      </c>
      <c r="AG1040">
        <v>10</v>
      </c>
    </row>
    <row r="1041" spans="1:33" x14ac:dyDescent="0.35">
      <c r="A1041" t="s">
        <v>53</v>
      </c>
      <c r="B1041" t="s">
        <v>34</v>
      </c>
      <c r="C1041">
        <v>19</v>
      </c>
      <c r="D1041" t="s">
        <v>52</v>
      </c>
      <c r="E1041" t="s">
        <v>36</v>
      </c>
      <c r="F1041" t="s">
        <v>44</v>
      </c>
      <c r="G1041">
        <v>2</v>
      </c>
      <c r="H1041">
        <v>3</v>
      </c>
      <c r="I1041" t="s">
        <v>48</v>
      </c>
      <c r="J1041" t="s">
        <v>45</v>
      </c>
      <c r="K1041" t="s">
        <v>40</v>
      </c>
      <c r="L1041" t="s">
        <v>41</v>
      </c>
      <c r="M1041">
        <v>1</v>
      </c>
      <c r="N1041">
        <v>3</v>
      </c>
      <c r="O1041">
        <v>1</v>
      </c>
      <c r="P1041" t="s">
        <v>43</v>
      </c>
      <c r="Q1041" t="s">
        <v>43</v>
      </c>
      <c r="R1041" t="s">
        <v>43</v>
      </c>
      <c r="S1041" t="s">
        <v>42</v>
      </c>
      <c r="T1041" t="s">
        <v>43</v>
      </c>
      <c r="U1041" t="s">
        <v>42</v>
      </c>
      <c r="V1041" t="s">
        <v>42</v>
      </c>
      <c r="W1041" t="s">
        <v>43</v>
      </c>
      <c r="X1041">
        <v>5</v>
      </c>
      <c r="Y1041">
        <v>4</v>
      </c>
      <c r="Z1041">
        <v>2</v>
      </c>
      <c r="AA1041">
        <v>1</v>
      </c>
      <c r="AB1041">
        <v>2</v>
      </c>
      <c r="AC1041">
        <v>5</v>
      </c>
      <c r="AD1041">
        <v>4</v>
      </c>
      <c r="AE1041">
        <v>10</v>
      </c>
      <c r="AF1041">
        <v>11</v>
      </c>
      <c r="AG1041">
        <v>10</v>
      </c>
    </row>
    <row r="1042" spans="1:33" x14ac:dyDescent="0.35">
      <c r="A1042" t="s">
        <v>53</v>
      </c>
      <c r="B1042" t="s">
        <v>34</v>
      </c>
      <c r="C1042">
        <v>18</v>
      </c>
      <c r="D1042" t="s">
        <v>35</v>
      </c>
      <c r="E1042" t="s">
        <v>47</v>
      </c>
      <c r="F1042" t="s">
        <v>44</v>
      </c>
      <c r="G1042">
        <v>3</v>
      </c>
      <c r="H1042">
        <v>1</v>
      </c>
      <c r="I1042" t="s">
        <v>39</v>
      </c>
      <c r="J1042" t="s">
        <v>48</v>
      </c>
      <c r="K1042" t="s">
        <v>40</v>
      </c>
      <c r="L1042" t="s">
        <v>41</v>
      </c>
      <c r="M1042">
        <v>1</v>
      </c>
      <c r="N1042">
        <v>2</v>
      </c>
      <c r="O1042">
        <v>0</v>
      </c>
      <c r="P1042" t="s">
        <v>43</v>
      </c>
      <c r="Q1042" t="s">
        <v>42</v>
      </c>
      <c r="R1042" t="s">
        <v>43</v>
      </c>
      <c r="S1042" t="s">
        <v>43</v>
      </c>
      <c r="T1042" t="s">
        <v>42</v>
      </c>
      <c r="U1042" t="s">
        <v>42</v>
      </c>
      <c r="V1042" t="s">
        <v>42</v>
      </c>
      <c r="W1042" t="s">
        <v>43</v>
      </c>
      <c r="X1042">
        <v>4</v>
      </c>
      <c r="Y1042">
        <v>3</v>
      </c>
      <c r="Z1042">
        <v>4</v>
      </c>
      <c r="AA1042">
        <v>1</v>
      </c>
      <c r="AB1042">
        <v>1</v>
      </c>
      <c r="AC1042">
        <v>1</v>
      </c>
      <c r="AD1042">
        <v>4</v>
      </c>
      <c r="AE1042">
        <v>15</v>
      </c>
      <c r="AF1042">
        <v>15</v>
      </c>
      <c r="AG1042">
        <v>16</v>
      </c>
    </row>
    <row r="1043" spans="1:33" x14ac:dyDescent="0.35">
      <c r="A1043" t="s">
        <v>53</v>
      </c>
      <c r="B1043" t="s">
        <v>34</v>
      </c>
      <c r="C1043">
        <v>18</v>
      </c>
      <c r="D1043" t="s">
        <v>35</v>
      </c>
      <c r="E1043" t="s">
        <v>36</v>
      </c>
      <c r="F1043" t="s">
        <v>44</v>
      </c>
      <c r="G1043">
        <v>1</v>
      </c>
      <c r="H1043">
        <v>1</v>
      </c>
      <c r="I1043" t="s">
        <v>45</v>
      </c>
      <c r="J1043" t="s">
        <v>45</v>
      </c>
      <c r="K1043" t="s">
        <v>40</v>
      </c>
      <c r="L1043" t="s">
        <v>41</v>
      </c>
      <c r="M1043">
        <v>2</v>
      </c>
      <c r="N1043">
        <v>2</v>
      </c>
      <c r="O1043">
        <v>0</v>
      </c>
      <c r="P1043" t="s">
        <v>43</v>
      </c>
      <c r="Q1043" t="s">
        <v>43</v>
      </c>
      <c r="R1043" t="s">
        <v>43</v>
      </c>
      <c r="S1043" t="s">
        <v>42</v>
      </c>
      <c r="T1043" t="s">
        <v>42</v>
      </c>
      <c r="U1043" t="s">
        <v>42</v>
      </c>
      <c r="V1043" t="s">
        <v>43</v>
      </c>
      <c r="W1043" t="s">
        <v>43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5</v>
      </c>
      <c r="AD1043">
        <v>6</v>
      </c>
      <c r="AE1043">
        <v>11</v>
      </c>
      <c r="AF1043">
        <v>12</v>
      </c>
      <c r="AG1043">
        <v>9</v>
      </c>
    </row>
    <row r="1044" spans="1:33" x14ac:dyDescent="0.35">
      <c r="A1044" t="s">
        <v>53</v>
      </c>
      <c r="B1044" t="s">
        <v>50</v>
      </c>
      <c r="C1044">
        <v>17</v>
      </c>
      <c r="D1044" t="s">
        <v>35</v>
      </c>
      <c r="E1044" t="s">
        <v>47</v>
      </c>
      <c r="F1044" t="s">
        <v>44</v>
      </c>
      <c r="G1044">
        <v>3</v>
      </c>
      <c r="H1044">
        <v>1</v>
      </c>
      <c r="I1044" t="s">
        <v>48</v>
      </c>
      <c r="J1044" t="s">
        <v>48</v>
      </c>
      <c r="K1044" t="s">
        <v>40</v>
      </c>
      <c r="L1044" t="s">
        <v>41</v>
      </c>
      <c r="M1044">
        <v>2</v>
      </c>
      <c r="N1044">
        <v>1</v>
      </c>
      <c r="O1044">
        <v>0</v>
      </c>
      <c r="P1044" t="s">
        <v>43</v>
      </c>
      <c r="Q1044" t="s">
        <v>43</v>
      </c>
      <c r="R1044" t="s">
        <v>43</v>
      </c>
      <c r="S1044" t="s">
        <v>43</v>
      </c>
      <c r="T1044" t="s">
        <v>43</v>
      </c>
      <c r="U1044" t="s">
        <v>42</v>
      </c>
      <c r="V1044" t="s">
        <v>42</v>
      </c>
      <c r="W1044" t="s">
        <v>43</v>
      </c>
      <c r="X1044">
        <v>2</v>
      </c>
      <c r="Y1044">
        <v>4</v>
      </c>
      <c r="Z1044">
        <v>5</v>
      </c>
      <c r="AA1044">
        <v>3</v>
      </c>
      <c r="AB1044">
        <v>4</v>
      </c>
      <c r="AC1044">
        <v>2</v>
      </c>
      <c r="AD1044">
        <v>6</v>
      </c>
      <c r="AE1044">
        <v>10</v>
      </c>
      <c r="AF1044">
        <v>10</v>
      </c>
      <c r="AG1044">
        <v>10</v>
      </c>
    </row>
    <row r="1045" spans="1:33" x14ac:dyDescent="0.35">
      <c r="A1045" t="s">
        <v>53</v>
      </c>
      <c r="B1045" t="s">
        <v>50</v>
      </c>
      <c r="C1045">
        <v>18</v>
      </c>
      <c r="D1045" t="s">
        <v>52</v>
      </c>
      <c r="E1045" t="s">
        <v>47</v>
      </c>
      <c r="F1045" t="s">
        <v>44</v>
      </c>
      <c r="G1045">
        <v>3</v>
      </c>
      <c r="H1045">
        <v>2</v>
      </c>
      <c r="I1045" t="s">
        <v>48</v>
      </c>
      <c r="J1045" t="s">
        <v>45</v>
      </c>
      <c r="K1045" t="s">
        <v>40</v>
      </c>
      <c r="L1045" t="s">
        <v>41</v>
      </c>
      <c r="M1045">
        <v>3</v>
      </c>
      <c r="N1045">
        <v>1</v>
      </c>
      <c r="O1045">
        <v>0</v>
      </c>
      <c r="P1045" t="s">
        <v>43</v>
      </c>
      <c r="Q1045" t="s">
        <v>43</v>
      </c>
      <c r="R1045" t="s">
        <v>43</v>
      </c>
      <c r="S1045" t="s">
        <v>43</v>
      </c>
      <c r="T1045" t="s">
        <v>43</v>
      </c>
      <c r="U1045" t="s">
        <v>42</v>
      </c>
      <c r="V1045" t="s">
        <v>42</v>
      </c>
      <c r="W1045" t="s">
        <v>43</v>
      </c>
      <c r="X1045">
        <v>4</v>
      </c>
      <c r="Y1045">
        <v>4</v>
      </c>
      <c r="Z1045">
        <v>1</v>
      </c>
      <c r="AA1045">
        <v>3</v>
      </c>
      <c r="AB1045">
        <v>4</v>
      </c>
      <c r="AC1045">
        <v>5</v>
      </c>
      <c r="AD1045">
        <v>4</v>
      </c>
      <c r="AE1045">
        <v>10</v>
      </c>
      <c r="AF1045">
        <v>11</v>
      </c>
      <c r="AG104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33A38-2B98-4F2C-9193-9E6DD752858F}">
  <dimension ref="A1:AD1045"/>
  <sheetViews>
    <sheetView topLeftCell="M1" workbookViewId="0">
      <pane ySplit="1" topLeftCell="A2" activePane="bottomLeft" state="frozen"/>
      <selection activeCell="G1" sqref="G1"/>
      <selection pane="bottomLeft" activeCell="P7" sqref="A1:AD1045"/>
    </sheetView>
  </sheetViews>
  <sheetFormatPr defaultRowHeight="14.5" x14ac:dyDescent="0.35"/>
  <cols>
    <col min="30" max="30" width="8.7265625" style="1"/>
  </cols>
  <sheetData>
    <row r="1" spans="1:30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9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55</v>
      </c>
      <c r="U1" t="s">
        <v>54</v>
      </c>
      <c r="V1" t="s">
        <v>29</v>
      </c>
      <c r="W1" t="s">
        <v>56</v>
      </c>
      <c r="X1" t="s">
        <v>30</v>
      </c>
      <c r="Y1" t="s">
        <v>31</v>
      </c>
      <c r="Z1" t="s">
        <v>32</v>
      </c>
      <c r="AA1" t="s">
        <v>57</v>
      </c>
      <c r="AB1" t="s">
        <v>58</v>
      </c>
      <c r="AC1" t="s">
        <v>59</v>
      </c>
      <c r="AD1" t="s">
        <v>60</v>
      </c>
    </row>
    <row r="2" spans="1:30" x14ac:dyDescent="0.35">
      <c r="A2" t="s">
        <v>34</v>
      </c>
      <c r="B2">
        <v>18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>
        <v>2</v>
      </c>
      <c r="I2">
        <v>0</v>
      </c>
      <c r="J2" t="s">
        <v>42</v>
      </c>
      <c r="K2" t="s">
        <v>43</v>
      </c>
      <c r="L2" t="s">
        <v>43</v>
      </c>
      <c r="M2" t="s">
        <v>43</v>
      </c>
      <c r="N2" t="s">
        <v>43</v>
      </c>
      <c r="O2">
        <v>4</v>
      </c>
      <c r="P2">
        <v>3</v>
      </c>
      <c r="Q2">
        <v>4</v>
      </c>
      <c r="R2">
        <v>1</v>
      </c>
      <c r="S2">
        <v>1</v>
      </c>
      <c r="T2">
        <f>R2+S2</f>
        <v>2</v>
      </c>
      <c r="U2" t="str" cm="1">
        <f t="array" ref="U2">_xlfn.IFS(T2&lt;3, "low", AND(T2&gt;=3, T2&lt;5), "med", T2&gt;=5, "high")</f>
        <v>low</v>
      </c>
      <c r="V2">
        <v>6</v>
      </c>
      <c r="W2" t="str" cm="1">
        <f t="array" ref="W2">_xlfn.IFS(V2&lt;5, "low", AND(V2&gt;=5, V2&lt;10), "med", V2&gt;=10, "high")</f>
        <v>med</v>
      </c>
      <c r="X2">
        <v>5</v>
      </c>
      <c r="Y2">
        <v>6</v>
      </c>
      <c r="Z2">
        <v>6</v>
      </c>
      <c r="AA2">
        <f>IF(Y2&lt;X2,1,0)</f>
        <v>0</v>
      </c>
      <c r="AB2">
        <f>IF(Z2&lt;Y2,1,0)</f>
        <v>0</v>
      </c>
      <c r="AC2">
        <f>SUM(AA2:AB2)</f>
        <v>0</v>
      </c>
      <c r="AD2" s="1">
        <f>AVERAGE(X2:Z2)</f>
        <v>5.666666666666667</v>
      </c>
    </row>
    <row r="3" spans="1:30" x14ac:dyDescent="0.35">
      <c r="A3" t="s">
        <v>34</v>
      </c>
      <c r="B3">
        <v>17</v>
      </c>
      <c r="C3" t="s">
        <v>35</v>
      </c>
      <c r="D3" t="s">
        <v>36</v>
      </c>
      <c r="E3" t="s">
        <v>44</v>
      </c>
      <c r="F3" t="s">
        <v>38</v>
      </c>
      <c r="G3" t="s">
        <v>45</v>
      </c>
      <c r="H3">
        <v>2</v>
      </c>
      <c r="I3">
        <v>0</v>
      </c>
      <c r="J3" t="s">
        <v>43</v>
      </c>
      <c r="K3" t="s">
        <v>42</v>
      </c>
      <c r="L3" t="s">
        <v>43</v>
      </c>
      <c r="M3" t="s">
        <v>43</v>
      </c>
      <c r="N3" t="s">
        <v>43</v>
      </c>
      <c r="O3">
        <v>5</v>
      </c>
      <c r="P3">
        <v>3</v>
      </c>
      <c r="Q3">
        <v>3</v>
      </c>
      <c r="R3">
        <v>1</v>
      </c>
      <c r="S3">
        <v>1</v>
      </c>
      <c r="T3">
        <f t="shared" ref="T3:T66" si="0">R3+S3</f>
        <v>2</v>
      </c>
      <c r="U3" t="str" cm="1">
        <f t="array" ref="U3">_xlfn.IFS(T3&lt;3, "low", AND(T3&gt;=3, T3&lt;5), "med", T3&gt;=5, "high")</f>
        <v>low</v>
      </c>
      <c r="V3">
        <v>4</v>
      </c>
      <c r="W3" t="str" cm="1">
        <f t="array" ref="W3">_xlfn.IFS(V3&lt;5, "low", AND(V3&gt;=5, V3&lt;10), "med", V3&gt;=10, "high")</f>
        <v>low</v>
      </c>
      <c r="X3">
        <v>5</v>
      </c>
      <c r="Y3">
        <v>5</v>
      </c>
      <c r="Z3">
        <v>6</v>
      </c>
      <c r="AA3">
        <f t="shared" ref="AA3:AA66" si="1">IF(Y3&lt;X3,1,0)</f>
        <v>0</v>
      </c>
      <c r="AB3">
        <f t="shared" ref="AB3:AB66" si="2">IF(Z3&lt;Y3,1,0)</f>
        <v>0</v>
      </c>
      <c r="AC3">
        <f t="shared" ref="AC3:AC66" si="3">SUM(AA3:AB3)</f>
        <v>0</v>
      </c>
      <c r="AD3" s="1">
        <f t="shared" ref="AD3:AD66" si="4">AVERAGE(X3:Z3)</f>
        <v>5.333333333333333</v>
      </c>
    </row>
    <row r="4" spans="1:30" x14ac:dyDescent="0.35">
      <c r="A4" t="s">
        <v>34</v>
      </c>
      <c r="B4">
        <v>15</v>
      </c>
      <c r="C4" t="s">
        <v>35</v>
      </c>
      <c r="D4" t="s">
        <v>47</v>
      </c>
      <c r="E4" t="s">
        <v>44</v>
      </c>
      <c r="F4" t="s">
        <v>38</v>
      </c>
      <c r="G4" t="s">
        <v>45</v>
      </c>
      <c r="H4">
        <v>2</v>
      </c>
      <c r="I4">
        <v>3</v>
      </c>
      <c r="J4" t="s">
        <v>42</v>
      </c>
      <c r="K4" t="s">
        <v>43</v>
      </c>
      <c r="L4" t="s">
        <v>42</v>
      </c>
      <c r="M4" t="s">
        <v>43</v>
      </c>
      <c r="N4" t="s">
        <v>43</v>
      </c>
      <c r="O4">
        <v>4</v>
      </c>
      <c r="P4">
        <v>3</v>
      </c>
      <c r="Q4">
        <v>2</v>
      </c>
      <c r="R4">
        <v>2</v>
      </c>
      <c r="S4">
        <v>3</v>
      </c>
      <c r="T4">
        <f t="shared" si="0"/>
        <v>5</v>
      </c>
      <c r="U4" t="str" cm="1">
        <f t="array" ref="U4">_xlfn.IFS(T4&lt;3, "low", AND(T4&gt;=3, T4&lt;5), "med", T4&gt;=5, "high")</f>
        <v>high</v>
      </c>
      <c r="V4">
        <v>10</v>
      </c>
      <c r="W4" t="str" cm="1">
        <f t="array" ref="W4">_xlfn.IFS(V4&lt;5, "low", AND(V4&gt;=5, V4&lt;10), "med", V4&gt;=10, "high")</f>
        <v>high</v>
      </c>
      <c r="X4">
        <v>7</v>
      </c>
      <c r="Y4">
        <v>8</v>
      </c>
      <c r="Z4">
        <v>10</v>
      </c>
      <c r="AA4">
        <f t="shared" si="1"/>
        <v>0</v>
      </c>
      <c r="AB4">
        <f t="shared" si="2"/>
        <v>0</v>
      </c>
      <c r="AC4">
        <f t="shared" si="3"/>
        <v>0</v>
      </c>
      <c r="AD4" s="1">
        <f t="shared" si="4"/>
        <v>8.3333333333333339</v>
      </c>
    </row>
    <row r="5" spans="1:30" x14ac:dyDescent="0.35">
      <c r="A5" t="s">
        <v>34</v>
      </c>
      <c r="B5">
        <v>15</v>
      </c>
      <c r="C5" t="s">
        <v>35</v>
      </c>
      <c r="D5" t="s">
        <v>36</v>
      </c>
      <c r="E5" t="s">
        <v>44</v>
      </c>
      <c r="F5" t="s">
        <v>28</v>
      </c>
      <c r="G5" t="s">
        <v>48</v>
      </c>
      <c r="H5">
        <v>3</v>
      </c>
      <c r="I5">
        <v>0</v>
      </c>
      <c r="J5" t="s">
        <v>43</v>
      </c>
      <c r="K5" t="s">
        <v>42</v>
      </c>
      <c r="L5" t="s">
        <v>42</v>
      </c>
      <c r="M5" t="s">
        <v>42</v>
      </c>
      <c r="N5" t="s">
        <v>42</v>
      </c>
      <c r="O5">
        <v>3</v>
      </c>
      <c r="P5">
        <v>2</v>
      </c>
      <c r="Q5">
        <v>2</v>
      </c>
      <c r="R5">
        <v>1</v>
      </c>
      <c r="S5">
        <v>1</v>
      </c>
      <c r="T5">
        <f t="shared" si="0"/>
        <v>2</v>
      </c>
      <c r="U5" t="str" cm="1">
        <f t="array" ref="U5">_xlfn.IFS(T5&lt;3, "low", AND(T5&gt;=3, T5&lt;5), "med", T5&gt;=5, "high")</f>
        <v>low</v>
      </c>
      <c r="V5">
        <v>2</v>
      </c>
      <c r="W5" t="str" cm="1">
        <f t="array" ref="W5">_xlfn.IFS(V5&lt;5, "low", AND(V5&gt;=5, V5&lt;10), "med", V5&gt;=10, "high")</f>
        <v>low</v>
      </c>
      <c r="X5">
        <v>15</v>
      </c>
      <c r="Y5">
        <v>14</v>
      </c>
      <c r="Z5">
        <v>15</v>
      </c>
      <c r="AA5">
        <f t="shared" si="1"/>
        <v>1</v>
      </c>
      <c r="AB5">
        <f t="shared" si="2"/>
        <v>0</v>
      </c>
      <c r="AC5">
        <f t="shared" si="3"/>
        <v>1</v>
      </c>
      <c r="AD5" s="1">
        <f t="shared" si="4"/>
        <v>14.666666666666666</v>
      </c>
    </row>
    <row r="6" spans="1:30" x14ac:dyDescent="0.35">
      <c r="A6" t="s">
        <v>34</v>
      </c>
      <c r="B6">
        <v>16</v>
      </c>
      <c r="C6" t="s">
        <v>35</v>
      </c>
      <c r="D6" t="s">
        <v>36</v>
      </c>
      <c r="E6" t="s">
        <v>44</v>
      </c>
      <c r="F6" t="s">
        <v>45</v>
      </c>
      <c r="G6" t="s">
        <v>45</v>
      </c>
      <c r="H6">
        <v>2</v>
      </c>
      <c r="I6">
        <v>0</v>
      </c>
      <c r="J6" t="s">
        <v>43</v>
      </c>
      <c r="K6" t="s">
        <v>42</v>
      </c>
      <c r="L6" t="s">
        <v>42</v>
      </c>
      <c r="M6" t="s">
        <v>43</v>
      </c>
      <c r="N6" t="s">
        <v>43</v>
      </c>
      <c r="O6">
        <v>4</v>
      </c>
      <c r="P6">
        <v>3</v>
      </c>
      <c r="Q6">
        <v>2</v>
      </c>
      <c r="R6">
        <v>1</v>
      </c>
      <c r="S6">
        <v>2</v>
      </c>
      <c r="T6">
        <f t="shared" si="0"/>
        <v>3</v>
      </c>
      <c r="U6" t="str" cm="1">
        <f t="array" ref="U6">_xlfn.IFS(T6&lt;3, "low", AND(T6&gt;=3, T6&lt;5), "med", T6&gt;=5, "high")</f>
        <v>med</v>
      </c>
      <c r="V6">
        <v>4</v>
      </c>
      <c r="W6" t="str" cm="1">
        <f t="array" ref="W6">_xlfn.IFS(V6&lt;5, "low", AND(V6&gt;=5, V6&lt;10), "med", V6&gt;=10, "high")</f>
        <v>low</v>
      </c>
      <c r="X6">
        <v>6</v>
      </c>
      <c r="Y6">
        <v>10</v>
      </c>
      <c r="Z6">
        <v>10</v>
      </c>
      <c r="AA6">
        <f t="shared" si="1"/>
        <v>0</v>
      </c>
      <c r="AB6">
        <f t="shared" si="2"/>
        <v>0</v>
      </c>
      <c r="AC6">
        <f t="shared" si="3"/>
        <v>0</v>
      </c>
      <c r="AD6" s="1">
        <f t="shared" si="4"/>
        <v>8.6666666666666661</v>
      </c>
    </row>
    <row r="7" spans="1:30" x14ac:dyDescent="0.35">
      <c r="A7" t="s">
        <v>50</v>
      </c>
      <c r="B7">
        <v>16</v>
      </c>
      <c r="C7" t="s">
        <v>35</v>
      </c>
      <c r="D7" t="s">
        <v>47</v>
      </c>
      <c r="E7" t="s">
        <v>44</v>
      </c>
      <c r="F7" t="s">
        <v>48</v>
      </c>
      <c r="G7" t="s">
        <v>45</v>
      </c>
      <c r="H7">
        <v>2</v>
      </c>
      <c r="I7">
        <v>0</v>
      </c>
      <c r="J7" t="s">
        <v>43</v>
      </c>
      <c r="K7" t="s">
        <v>42</v>
      </c>
      <c r="L7" t="s">
        <v>42</v>
      </c>
      <c r="M7" t="s">
        <v>42</v>
      </c>
      <c r="N7" t="s">
        <v>43</v>
      </c>
      <c r="O7">
        <v>5</v>
      </c>
      <c r="P7">
        <v>4</v>
      </c>
      <c r="Q7">
        <v>2</v>
      </c>
      <c r="R7">
        <v>1</v>
      </c>
      <c r="S7">
        <v>2</v>
      </c>
      <c r="T7">
        <f t="shared" si="0"/>
        <v>3</v>
      </c>
      <c r="U7" t="str" cm="1">
        <f t="array" ref="U7">_xlfn.IFS(T7&lt;3, "low", AND(T7&gt;=3, T7&lt;5), "med", T7&gt;=5, "high")</f>
        <v>med</v>
      </c>
      <c r="V7">
        <v>10</v>
      </c>
      <c r="W7" t="str" cm="1">
        <f t="array" ref="W7">_xlfn.IFS(V7&lt;5, "low", AND(V7&gt;=5, V7&lt;10), "med", V7&gt;=10, "high")</f>
        <v>high</v>
      </c>
      <c r="X7">
        <v>15</v>
      </c>
      <c r="Y7">
        <v>15</v>
      </c>
      <c r="Z7">
        <v>15</v>
      </c>
      <c r="AA7">
        <f t="shared" si="1"/>
        <v>0</v>
      </c>
      <c r="AB7">
        <f t="shared" si="2"/>
        <v>0</v>
      </c>
      <c r="AC7">
        <f t="shared" si="3"/>
        <v>0</v>
      </c>
      <c r="AD7" s="1">
        <f t="shared" si="4"/>
        <v>15</v>
      </c>
    </row>
    <row r="8" spans="1:30" x14ac:dyDescent="0.35">
      <c r="A8" t="s">
        <v>50</v>
      </c>
      <c r="B8">
        <v>16</v>
      </c>
      <c r="C8" t="s">
        <v>35</v>
      </c>
      <c r="D8" t="s">
        <v>47</v>
      </c>
      <c r="E8" t="s">
        <v>44</v>
      </c>
      <c r="F8" t="s">
        <v>45</v>
      </c>
      <c r="G8" t="s">
        <v>45</v>
      </c>
      <c r="H8">
        <v>2</v>
      </c>
      <c r="I8">
        <v>0</v>
      </c>
      <c r="J8" t="s">
        <v>43</v>
      </c>
      <c r="K8" t="s">
        <v>43</v>
      </c>
      <c r="L8" t="s">
        <v>43</v>
      </c>
      <c r="M8" t="s">
        <v>43</v>
      </c>
      <c r="N8" t="s">
        <v>43</v>
      </c>
      <c r="O8">
        <v>4</v>
      </c>
      <c r="P8">
        <v>4</v>
      </c>
      <c r="Q8">
        <v>4</v>
      </c>
      <c r="R8">
        <v>1</v>
      </c>
      <c r="S8">
        <v>1</v>
      </c>
      <c r="T8">
        <f t="shared" si="0"/>
        <v>2</v>
      </c>
      <c r="U8" t="str" cm="1">
        <f t="array" ref="U8">_xlfn.IFS(T8&lt;3, "low", AND(T8&gt;=3, T8&lt;5), "med", T8&gt;=5, "high")</f>
        <v>low</v>
      </c>
      <c r="V8">
        <v>0</v>
      </c>
      <c r="W8" t="str" cm="1">
        <f t="array" ref="W8">_xlfn.IFS(V8&lt;5, "low", AND(V8&gt;=5, V8&lt;10), "med", V8&gt;=10, "high")</f>
        <v>low</v>
      </c>
      <c r="X8">
        <v>12</v>
      </c>
      <c r="Y8">
        <v>12</v>
      </c>
      <c r="Z8">
        <v>11</v>
      </c>
      <c r="AA8">
        <f t="shared" si="1"/>
        <v>0</v>
      </c>
      <c r="AB8">
        <f t="shared" si="2"/>
        <v>1</v>
      </c>
      <c r="AC8">
        <f t="shared" si="3"/>
        <v>1</v>
      </c>
      <c r="AD8" s="1">
        <f t="shared" si="4"/>
        <v>11.666666666666666</v>
      </c>
    </row>
    <row r="9" spans="1:30" x14ac:dyDescent="0.35">
      <c r="A9" t="s">
        <v>34</v>
      </c>
      <c r="B9">
        <v>17</v>
      </c>
      <c r="C9" t="s">
        <v>35</v>
      </c>
      <c r="D9" t="s">
        <v>36</v>
      </c>
      <c r="E9" t="s">
        <v>37</v>
      </c>
      <c r="F9" t="s">
        <v>45</v>
      </c>
      <c r="G9" t="s">
        <v>39</v>
      </c>
      <c r="H9">
        <v>2</v>
      </c>
      <c r="I9">
        <v>0</v>
      </c>
      <c r="J9" t="s">
        <v>42</v>
      </c>
      <c r="K9" t="s">
        <v>42</v>
      </c>
      <c r="L9" t="s">
        <v>43</v>
      </c>
      <c r="M9" t="s">
        <v>43</v>
      </c>
      <c r="N9" t="s">
        <v>43</v>
      </c>
      <c r="O9">
        <v>4</v>
      </c>
      <c r="P9">
        <v>1</v>
      </c>
      <c r="Q9">
        <v>4</v>
      </c>
      <c r="R9">
        <v>1</v>
      </c>
      <c r="S9">
        <v>1</v>
      </c>
      <c r="T9">
        <f t="shared" si="0"/>
        <v>2</v>
      </c>
      <c r="U9" t="str" cm="1">
        <f t="array" ref="U9">_xlfn.IFS(T9&lt;3, "low", AND(T9&gt;=3, T9&lt;5), "med", T9&gt;=5, "high")</f>
        <v>low</v>
      </c>
      <c r="V9">
        <v>6</v>
      </c>
      <c r="W9" t="str" cm="1">
        <f t="array" ref="W9">_xlfn.IFS(V9&lt;5, "low", AND(V9&gt;=5, V9&lt;10), "med", V9&gt;=10, "high")</f>
        <v>med</v>
      </c>
      <c r="X9">
        <v>6</v>
      </c>
      <c r="Y9">
        <v>5</v>
      </c>
      <c r="Z9">
        <v>6</v>
      </c>
      <c r="AA9">
        <f t="shared" si="1"/>
        <v>1</v>
      </c>
      <c r="AB9">
        <f t="shared" si="2"/>
        <v>0</v>
      </c>
      <c r="AC9">
        <f t="shared" si="3"/>
        <v>1</v>
      </c>
      <c r="AD9" s="1">
        <f t="shared" si="4"/>
        <v>5.666666666666667</v>
      </c>
    </row>
    <row r="10" spans="1:30" x14ac:dyDescent="0.35">
      <c r="A10" t="s">
        <v>50</v>
      </c>
      <c r="B10">
        <v>15</v>
      </c>
      <c r="C10" t="s">
        <v>35</v>
      </c>
      <c r="D10" t="s">
        <v>47</v>
      </c>
      <c r="E10" t="s">
        <v>37</v>
      </c>
      <c r="F10" t="s">
        <v>48</v>
      </c>
      <c r="G10" t="s">
        <v>45</v>
      </c>
      <c r="H10">
        <v>2</v>
      </c>
      <c r="I10">
        <v>0</v>
      </c>
      <c r="J10" t="s">
        <v>43</v>
      </c>
      <c r="K10" t="s">
        <v>42</v>
      </c>
      <c r="L10" t="s">
        <v>42</v>
      </c>
      <c r="M10" t="s">
        <v>43</v>
      </c>
      <c r="N10" t="s">
        <v>43</v>
      </c>
      <c r="O10">
        <v>4</v>
      </c>
      <c r="P10">
        <v>2</v>
      </c>
      <c r="Q10">
        <v>2</v>
      </c>
      <c r="R10">
        <v>1</v>
      </c>
      <c r="S10">
        <v>1</v>
      </c>
      <c r="T10">
        <f t="shared" si="0"/>
        <v>2</v>
      </c>
      <c r="U10" t="str" cm="1">
        <f t="array" ref="U10">_xlfn.IFS(T10&lt;3, "low", AND(T10&gt;=3, T10&lt;5), "med", T10&gt;=5, "high")</f>
        <v>low</v>
      </c>
      <c r="V10">
        <v>0</v>
      </c>
      <c r="W10" t="str" cm="1">
        <f t="array" ref="W10">_xlfn.IFS(V10&lt;5, "low", AND(V10&gt;=5, V10&lt;10), "med", V10&gt;=10, "high")</f>
        <v>low</v>
      </c>
      <c r="X10">
        <v>16</v>
      </c>
      <c r="Y10">
        <v>18</v>
      </c>
      <c r="Z10">
        <v>19</v>
      </c>
      <c r="AA10">
        <f t="shared" si="1"/>
        <v>0</v>
      </c>
      <c r="AB10">
        <f t="shared" si="2"/>
        <v>0</v>
      </c>
      <c r="AC10">
        <f t="shared" si="3"/>
        <v>0</v>
      </c>
      <c r="AD10" s="1">
        <f t="shared" si="4"/>
        <v>17.666666666666668</v>
      </c>
    </row>
    <row r="11" spans="1:30" x14ac:dyDescent="0.35">
      <c r="A11" t="s">
        <v>50</v>
      </c>
      <c r="B11">
        <v>15</v>
      </c>
      <c r="C11" t="s">
        <v>35</v>
      </c>
      <c r="D11" t="s">
        <v>36</v>
      </c>
      <c r="E11" t="s">
        <v>44</v>
      </c>
      <c r="F11" t="s">
        <v>45</v>
      </c>
      <c r="G11" t="s">
        <v>45</v>
      </c>
      <c r="H11">
        <v>2</v>
      </c>
      <c r="I11">
        <v>0</v>
      </c>
      <c r="J11" t="s">
        <v>43</v>
      </c>
      <c r="K11" t="s">
        <v>42</v>
      </c>
      <c r="L11" t="s">
        <v>42</v>
      </c>
      <c r="M11" t="s">
        <v>42</v>
      </c>
      <c r="N11" t="s">
        <v>43</v>
      </c>
      <c r="O11">
        <v>5</v>
      </c>
      <c r="P11">
        <v>5</v>
      </c>
      <c r="Q11">
        <v>1</v>
      </c>
      <c r="R11">
        <v>1</v>
      </c>
      <c r="S11">
        <v>1</v>
      </c>
      <c r="T11">
        <f t="shared" si="0"/>
        <v>2</v>
      </c>
      <c r="U11" t="str" cm="1">
        <f t="array" ref="U11">_xlfn.IFS(T11&lt;3, "low", AND(T11&gt;=3, T11&lt;5), "med", T11&gt;=5, "high")</f>
        <v>low</v>
      </c>
      <c r="V11">
        <v>0</v>
      </c>
      <c r="W11" t="str" cm="1">
        <f t="array" ref="W11">_xlfn.IFS(V11&lt;5, "low", AND(V11&gt;=5, V11&lt;10), "med", V11&gt;=10, "high")</f>
        <v>low</v>
      </c>
      <c r="X11">
        <v>14</v>
      </c>
      <c r="Y11">
        <v>15</v>
      </c>
      <c r="Z11">
        <v>15</v>
      </c>
      <c r="AA11">
        <f t="shared" si="1"/>
        <v>0</v>
      </c>
      <c r="AB11">
        <f t="shared" si="2"/>
        <v>0</v>
      </c>
      <c r="AC11">
        <f t="shared" si="3"/>
        <v>0</v>
      </c>
      <c r="AD11" s="1">
        <f t="shared" si="4"/>
        <v>14.666666666666666</v>
      </c>
    </row>
    <row r="12" spans="1:30" x14ac:dyDescent="0.35">
      <c r="A12" t="s">
        <v>34</v>
      </c>
      <c r="B12">
        <v>15</v>
      </c>
      <c r="C12" t="s">
        <v>35</v>
      </c>
      <c r="D12" t="s">
        <v>36</v>
      </c>
      <c r="E12" t="s">
        <v>44</v>
      </c>
      <c r="F12" t="s">
        <v>39</v>
      </c>
      <c r="G12" t="s">
        <v>28</v>
      </c>
      <c r="H12">
        <v>2</v>
      </c>
      <c r="I12">
        <v>0</v>
      </c>
      <c r="J12" t="s">
        <v>43</v>
      </c>
      <c r="K12" t="s">
        <v>42</v>
      </c>
      <c r="L12" t="s">
        <v>42</v>
      </c>
      <c r="M12" t="s">
        <v>43</v>
      </c>
      <c r="N12" t="s">
        <v>43</v>
      </c>
      <c r="O12">
        <v>3</v>
      </c>
      <c r="P12">
        <v>3</v>
      </c>
      <c r="Q12">
        <v>3</v>
      </c>
      <c r="R12">
        <v>1</v>
      </c>
      <c r="S12">
        <v>2</v>
      </c>
      <c r="T12">
        <f t="shared" si="0"/>
        <v>3</v>
      </c>
      <c r="U12" t="str" cm="1">
        <f t="array" ref="U12">_xlfn.IFS(T12&lt;3, "low", AND(T12&gt;=3, T12&lt;5), "med", T12&gt;=5, "high")</f>
        <v>med</v>
      </c>
      <c r="V12">
        <v>0</v>
      </c>
      <c r="W12" t="str" cm="1">
        <f t="array" ref="W12">_xlfn.IFS(V12&lt;5, "low", AND(V12&gt;=5, V12&lt;10), "med", V12&gt;=10, "high")</f>
        <v>low</v>
      </c>
      <c r="X12">
        <v>10</v>
      </c>
      <c r="Y12">
        <v>8</v>
      </c>
      <c r="Z12">
        <v>9</v>
      </c>
      <c r="AA12">
        <f t="shared" si="1"/>
        <v>1</v>
      </c>
      <c r="AB12">
        <f t="shared" si="2"/>
        <v>0</v>
      </c>
      <c r="AC12">
        <f t="shared" si="3"/>
        <v>1</v>
      </c>
      <c r="AD12" s="1">
        <f t="shared" si="4"/>
        <v>9</v>
      </c>
    </row>
    <row r="13" spans="1:30" x14ac:dyDescent="0.35">
      <c r="A13" t="s">
        <v>34</v>
      </c>
      <c r="B13">
        <v>15</v>
      </c>
      <c r="C13" t="s">
        <v>35</v>
      </c>
      <c r="D13" t="s">
        <v>36</v>
      </c>
      <c r="E13" t="s">
        <v>44</v>
      </c>
      <c r="F13" t="s">
        <v>48</v>
      </c>
      <c r="G13" t="s">
        <v>45</v>
      </c>
      <c r="H13">
        <v>3</v>
      </c>
      <c r="I13">
        <v>0</v>
      </c>
      <c r="J13" t="s">
        <v>43</v>
      </c>
      <c r="K13" t="s">
        <v>42</v>
      </c>
      <c r="L13" t="s">
        <v>43</v>
      </c>
      <c r="M13" t="s">
        <v>42</v>
      </c>
      <c r="N13" t="s">
        <v>43</v>
      </c>
      <c r="O13">
        <v>5</v>
      </c>
      <c r="P13">
        <v>2</v>
      </c>
      <c r="Q13">
        <v>2</v>
      </c>
      <c r="R13">
        <v>1</v>
      </c>
      <c r="S13">
        <v>1</v>
      </c>
      <c r="T13">
        <f t="shared" si="0"/>
        <v>2</v>
      </c>
      <c r="U13" t="str" cm="1">
        <f t="array" ref="U13">_xlfn.IFS(T13&lt;3, "low", AND(T13&gt;=3, T13&lt;5), "med", T13&gt;=5, "high")</f>
        <v>low</v>
      </c>
      <c r="V13">
        <v>4</v>
      </c>
      <c r="W13" t="str" cm="1">
        <f t="array" ref="W13">_xlfn.IFS(V13&lt;5, "low", AND(V13&gt;=5, V13&lt;10), "med", V13&gt;=10, "high")</f>
        <v>low</v>
      </c>
      <c r="X13">
        <v>10</v>
      </c>
      <c r="Y13">
        <v>12</v>
      </c>
      <c r="Z13">
        <v>12</v>
      </c>
      <c r="AA13">
        <f t="shared" si="1"/>
        <v>0</v>
      </c>
      <c r="AB13">
        <f t="shared" si="2"/>
        <v>0</v>
      </c>
      <c r="AC13">
        <f t="shared" si="3"/>
        <v>0</v>
      </c>
      <c r="AD13" s="1">
        <f t="shared" si="4"/>
        <v>11.333333333333334</v>
      </c>
    </row>
    <row r="14" spans="1:30" x14ac:dyDescent="0.35">
      <c r="A14" t="s">
        <v>50</v>
      </c>
      <c r="B14">
        <v>15</v>
      </c>
      <c r="C14" t="s">
        <v>35</v>
      </c>
      <c r="D14" t="s">
        <v>47</v>
      </c>
      <c r="E14" t="s">
        <v>44</v>
      </c>
      <c r="F14" t="s">
        <v>28</v>
      </c>
      <c r="G14" t="s">
        <v>48</v>
      </c>
      <c r="H14">
        <v>1</v>
      </c>
      <c r="I14">
        <v>0</v>
      </c>
      <c r="J14" t="s">
        <v>43</v>
      </c>
      <c r="K14" t="s">
        <v>42</v>
      </c>
      <c r="L14" t="s">
        <v>42</v>
      </c>
      <c r="M14" t="s">
        <v>42</v>
      </c>
      <c r="N14" t="s">
        <v>43</v>
      </c>
      <c r="O14">
        <v>4</v>
      </c>
      <c r="P14">
        <v>3</v>
      </c>
      <c r="Q14">
        <v>3</v>
      </c>
      <c r="R14">
        <v>1</v>
      </c>
      <c r="S14">
        <v>3</v>
      </c>
      <c r="T14">
        <f t="shared" si="0"/>
        <v>4</v>
      </c>
      <c r="U14" t="str" cm="1">
        <f t="array" ref="U14">_xlfn.IFS(T14&lt;3, "low", AND(T14&gt;=3, T14&lt;5), "med", T14&gt;=5, "high")</f>
        <v>med</v>
      </c>
      <c r="V14">
        <v>2</v>
      </c>
      <c r="W14" t="str" cm="1">
        <f t="array" ref="W14">_xlfn.IFS(V14&lt;5, "low", AND(V14&gt;=5, V14&lt;10), "med", V14&gt;=10, "high")</f>
        <v>low</v>
      </c>
      <c r="X14">
        <v>14</v>
      </c>
      <c r="Y14">
        <v>14</v>
      </c>
      <c r="Z14">
        <v>14</v>
      </c>
      <c r="AA14">
        <f t="shared" si="1"/>
        <v>0</v>
      </c>
      <c r="AB14">
        <f t="shared" si="2"/>
        <v>0</v>
      </c>
      <c r="AC14">
        <f t="shared" si="3"/>
        <v>0</v>
      </c>
      <c r="AD14" s="1">
        <f t="shared" si="4"/>
        <v>14</v>
      </c>
    </row>
    <row r="15" spans="1:30" x14ac:dyDescent="0.35">
      <c r="A15" t="s">
        <v>50</v>
      </c>
      <c r="B15">
        <v>15</v>
      </c>
      <c r="C15" t="s">
        <v>35</v>
      </c>
      <c r="D15" t="s">
        <v>36</v>
      </c>
      <c r="E15" t="s">
        <v>44</v>
      </c>
      <c r="F15" t="s">
        <v>39</v>
      </c>
      <c r="G15" t="s">
        <v>45</v>
      </c>
      <c r="H15">
        <v>2</v>
      </c>
      <c r="I15">
        <v>0</v>
      </c>
      <c r="J15" t="s">
        <v>43</v>
      </c>
      <c r="K15" t="s">
        <v>42</v>
      </c>
      <c r="L15" t="s">
        <v>42</v>
      </c>
      <c r="M15" t="s">
        <v>43</v>
      </c>
      <c r="N15" t="s">
        <v>43</v>
      </c>
      <c r="O15">
        <v>5</v>
      </c>
      <c r="P15">
        <v>4</v>
      </c>
      <c r="Q15">
        <v>3</v>
      </c>
      <c r="R15">
        <v>1</v>
      </c>
      <c r="S15">
        <v>2</v>
      </c>
      <c r="T15">
        <f t="shared" si="0"/>
        <v>3</v>
      </c>
      <c r="U15" t="str" cm="1">
        <f t="array" ref="U15">_xlfn.IFS(T15&lt;3, "low", AND(T15&gt;=3, T15&lt;5), "med", T15&gt;=5, "high")</f>
        <v>med</v>
      </c>
      <c r="V15">
        <v>2</v>
      </c>
      <c r="W15" t="str" cm="1">
        <f t="array" ref="W15">_xlfn.IFS(V15&lt;5, "low", AND(V15&gt;=5, V15&lt;10), "med", V15&gt;=10, "high")</f>
        <v>low</v>
      </c>
      <c r="X15">
        <v>10</v>
      </c>
      <c r="Y15">
        <v>10</v>
      </c>
      <c r="Z15">
        <v>11</v>
      </c>
      <c r="AA15">
        <f t="shared" si="1"/>
        <v>0</v>
      </c>
      <c r="AB15">
        <f t="shared" si="2"/>
        <v>0</v>
      </c>
      <c r="AC15">
        <f t="shared" si="3"/>
        <v>0</v>
      </c>
      <c r="AD15" s="1">
        <f t="shared" si="4"/>
        <v>10.333333333333334</v>
      </c>
    </row>
    <row r="16" spans="1:30" x14ac:dyDescent="0.35">
      <c r="A16" t="s">
        <v>50</v>
      </c>
      <c r="B16">
        <v>15</v>
      </c>
      <c r="C16" t="s">
        <v>35</v>
      </c>
      <c r="D16" t="s">
        <v>36</v>
      </c>
      <c r="E16" t="s">
        <v>37</v>
      </c>
      <c r="F16" t="s">
        <v>45</v>
      </c>
      <c r="G16" t="s">
        <v>45</v>
      </c>
      <c r="H16">
        <v>3</v>
      </c>
      <c r="I16">
        <v>0</v>
      </c>
      <c r="J16" t="s">
        <v>43</v>
      </c>
      <c r="K16" t="s">
        <v>42</v>
      </c>
      <c r="L16" t="s">
        <v>43</v>
      </c>
      <c r="M16" t="s">
        <v>43</v>
      </c>
      <c r="N16" t="s">
        <v>42</v>
      </c>
      <c r="O16">
        <v>4</v>
      </c>
      <c r="P16">
        <v>5</v>
      </c>
      <c r="Q16">
        <v>2</v>
      </c>
      <c r="R16">
        <v>1</v>
      </c>
      <c r="S16">
        <v>1</v>
      </c>
      <c r="T16">
        <f t="shared" si="0"/>
        <v>2</v>
      </c>
      <c r="U16" t="str" cm="1">
        <f t="array" ref="U16">_xlfn.IFS(T16&lt;3, "low", AND(T16&gt;=3, T16&lt;5), "med", T16&gt;=5, "high")</f>
        <v>low</v>
      </c>
      <c r="V16">
        <v>0</v>
      </c>
      <c r="W16" t="str" cm="1">
        <f t="array" ref="W16">_xlfn.IFS(V16&lt;5, "low", AND(V16&gt;=5, V16&lt;10), "med", V16&gt;=10, "high")</f>
        <v>low</v>
      </c>
      <c r="X16">
        <v>14</v>
      </c>
      <c r="Y16">
        <v>16</v>
      </c>
      <c r="Z16">
        <v>16</v>
      </c>
      <c r="AA16">
        <f t="shared" si="1"/>
        <v>0</v>
      </c>
      <c r="AB16">
        <f t="shared" si="2"/>
        <v>0</v>
      </c>
      <c r="AC16">
        <f t="shared" si="3"/>
        <v>0</v>
      </c>
      <c r="AD16" s="1">
        <f t="shared" si="4"/>
        <v>15.333333333333334</v>
      </c>
    </row>
    <row r="17" spans="1:30" x14ac:dyDescent="0.35">
      <c r="A17" t="s">
        <v>34</v>
      </c>
      <c r="B17">
        <v>16</v>
      </c>
      <c r="C17" t="s">
        <v>35</v>
      </c>
      <c r="D17" t="s">
        <v>36</v>
      </c>
      <c r="E17" t="s">
        <v>44</v>
      </c>
      <c r="F17" t="s">
        <v>28</v>
      </c>
      <c r="G17" t="s">
        <v>45</v>
      </c>
      <c r="H17">
        <v>1</v>
      </c>
      <c r="I17">
        <v>0</v>
      </c>
      <c r="J17" t="s">
        <v>43</v>
      </c>
      <c r="K17" t="s">
        <v>42</v>
      </c>
      <c r="L17" t="s">
        <v>43</v>
      </c>
      <c r="M17" t="s">
        <v>43</v>
      </c>
      <c r="N17" t="s">
        <v>43</v>
      </c>
      <c r="O17">
        <v>4</v>
      </c>
      <c r="P17">
        <v>4</v>
      </c>
      <c r="Q17">
        <v>4</v>
      </c>
      <c r="R17">
        <v>1</v>
      </c>
      <c r="S17">
        <v>2</v>
      </c>
      <c r="T17">
        <f t="shared" si="0"/>
        <v>3</v>
      </c>
      <c r="U17" t="str" cm="1">
        <f t="array" ref="U17">_xlfn.IFS(T17&lt;3, "low", AND(T17&gt;=3, T17&lt;5), "med", T17&gt;=5, "high")</f>
        <v>med</v>
      </c>
      <c r="V17">
        <v>4</v>
      </c>
      <c r="W17" t="str" cm="1">
        <f t="array" ref="W17">_xlfn.IFS(V17&lt;5, "low", AND(V17&gt;=5, V17&lt;10), "med", V17&gt;=10, "high")</f>
        <v>low</v>
      </c>
      <c r="X17">
        <v>14</v>
      </c>
      <c r="Y17">
        <v>14</v>
      </c>
      <c r="Z17">
        <v>14</v>
      </c>
      <c r="AA17">
        <f t="shared" si="1"/>
        <v>0</v>
      </c>
      <c r="AB17">
        <f t="shared" si="2"/>
        <v>0</v>
      </c>
      <c r="AC17">
        <f t="shared" si="3"/>
        <v>0</v>
      </c>
      <c r="AD17" s="1">
        <f t="shared" si="4"/>
        <v>14</v>
      </c>
    </row>
    <row r="18" spans="1:30" x14ac:dyDescent="0.35">
      <c r="A18" t="s">
        <v>34</v>
      </c>
      <c r="B18">
        <v>16</v>
      </c>
      <c r="C18" t="s">
        <v>35</v>
      </c>
      <c r="D18" t="s">
        <v>36</v>
      </c>
      <c r="E18" t="s">
        <v>44</v>
      </c>
      <c r="F18" t="s">
        <v>48</v>
      </c>
      <c r="G18" t="s">
        <v>48</v>
      </c>
      <c r="H18">
        <v>3</v>
      </c>
      <c r="I18">
        <v>0</v>
      </c>
      <c r="J18" t="s">
        <v>43</v>
      </c>
      <c r="K18" t="s">
        <v>42</v>
      </c>
      <c r="L18" t="s">
        <v>42</v>
      </c>
      <c r="M18" t="s">
        <v>42</v>
      </c>
      <c r="N18" t="s">
        <v>43</v>
      </c>
      <c r="O18">
        <v>3</v>
      </c>
      <c r="P18">
        <v>2</v>
      </c>
      <c r="Q18">
        <v>3</v>
      </c>
      <c r="R18">
        <v>1</v>
      </c>
      <c r="S18">
        <v>2</v>
      </c>
      <c r="T18">
        <f t="shared" si="0"/>
        <v>3</v>
      </c>
      <c r="U18" t="str" cm="1">
        <f t="array" ref="U18">_xlfn.IFS(T18&lt;3, "low", AND(T18&gt;=3, T18&lt;5), "med", T18&gt;=5, "high")</f>
        <v>med</v>
      </c>
      <c r="V18">
        <v>6</v>
      </c>
      <c r="W18" t="str" cm="1">
        <f t="array" ref="W18">_xlfn.IFS(V18&lt;5, "low", AND(V18&gt;=5, V18&lt;10), "med", V18&gt;=10, "high")</f>
        <v>med</v>
      </c>
      <c r="X18">
        <v>13</v>
      </c>
      <c r="Y18">
        <v>14</v>
      </c>
      <c r="Z18">
        <v>14</v>
      </c>
      <c r="AA18">
        <f t="shared" si="1"/>
        <v>0</v>
      </c>
      <c r="AB18">
        <f t="shared" si="2"/>
        <v>0</v>
      </c>
      <c r="AC18">
        <f t="shared" si="3"/>
        <v>0</v>
      </c>
      <c r="AD18" s="1">
        <f t="shared" si="4"/>
        <v>13.666666666666666</v>
      </c>
    </row>
    <row r="19" spans="1:30" x14ac:dyDescent="0.35">
      <c r="A19" t="s">
        <v>34</v>
      </c>
      <c r="B19">
        <v>16</v>
      </c>
      <c r="C19" t="s">
        <v>35</v>
      </c>
      <c r="D19" t="s">
        <v>36</v>
      </c>
      <c r="E19" t="s">
        <v>44</v>
      </c>
      <c r="F19" t="s">
        <v>45</v>
      </c>
      <c r="G19" t="s">
        <v>45</v>
      </c>
      <c r="H19">
        <v>2</v>
      </c>
      <c r="I19">
        <v>0</v>
      </c>
      <c r="J19" t="s">
        <v>42</v>
      </c>
      <c r="K19" t="s">
        <v>42</v>
      </c>
      <c r="L19" t="s">
        <v>43</v>
      </c>
      <c r="M19" t="s">
        <v>42</v>
      </c>
      <c r="N19" t="s">
        <v>43</v>
      </c>
      <c r="O19">
        <v>5</v>
      </c>
      <c r="P19">
        <v>3</v>
      </c>
      <c r="Q19">
        <v>2</v>
      </c>
      <c r="R19">
        <v>1</v>
      </c>
      <c r="S19">
        <v>1</v>
      </c>
      <c r="T19">
        <f t="shared" si="0"/>
        <v>2</v>
      </c>
      <c r="U19" t="str" cm="1">
        <f t="array" ref="U19">_xlfn.IFS(T19&lt;3, "low", AND(T19&gt;=3, T19&lt;5), "med", T19&gt;=5, "high")</f>
        <v>low</v>
      </c>
      <c r="V19">
        <v>4</v>
      </c>
      <c r="W19" t="str" cm="1">
        <f t="array" ref="W19">_xlfn.IFS(V19&lt;5, "low", AND(V19&gt;=5, V19&lt;10), "med", V19&gt;=10, "high")</f>
        <v>low</v>
      </c>
      <c r="X19">
        <v>8</v>
      </c>
      <c r="Y19">
        <v>10</v>
      </c>
      <c r="Z19">
        <v>10</v>
      </c>
      <c r="AA19">
        <f t="shared" si="1"/>
        <v>0</v>
      </c>
      <c r="AB19">
        <f t="shared" si="2"/>
        <v>0</v>
      </c>
      <c r="AC19">
        <f t="shared" si="3"/>
        <v>0</v>
      </c>
      <c r="AD19" s="1">
        <f t="shared" si="4"/>
        <v>9.3333333333333339</v>
      </c>
    </row>
    <row r="20" spans="1:30" x14ac:dyDescent="0.35">
      <c r="A20" t="s">
        <v>50</v>
      </c>
      <c r="B20">
        <v>17</v>
      </c>
      <c r="C20" t="s">
        <v>35</v>
      </c>
      <c r="D20" t="s">
        <v>36</v>
      </c>
      <c r="E20" t="s">
        <v>44</v>
      </c>
      <c r="F20" t="s">
        <v>48</v>
      </c>
      <c r="G20" t="s">
        <v>48</v>
      </c>
      <c r="H20">
        <v>1</v>
      </c>
      <c r="I20">
        <v>3</v>
      </c>
      <c r="J20" t="s">
        <v>43</v>
      </c>
      <c r="K20" t="s">
        <v>42</v>
      </c>
      <c r="L20" t="s">
        <v>43</v>
      </c>
      <c r="M20" t="s">
        <v>42</v>
      </c>
      <c r="N20" t="s">
        <v>43</v>
      </c>
      <c r="O20">
        <v>5</v>
      </c>
      <c r="P20">
        <v>5</v>
      </c>
      <c r="Q20">
        <v>5</v>
      </c>
      <c r="R20">
        <v>2</v>
      </c>
      <c r="S20">
        <v>4</v>
      </c>
      <c r="T20">
        <f t="shared" si="0"/>
        <v>6</v>
      </c>
      <c r="U20" t="str" cm="1">
        <f t="array" ref="U20">_xlfn.IFS(T20&lt;3, "low", AND(T20&gt;=3, T20&lt;5), "med", T20&gt;=5, "high")</f>
        <v>high</v>
      </c>
      <c r="V20">
        <v>16</v>
      </c>
      <c r="W20" t="str" cm="1">
        <f t="array" ref="W20">_xlfn.IFS(V20&lt;5, "low", AND(V20&gt;=5, V20&lt;10), "med", V20&gt;=10, "high")</f>
        <v>high</v>
      </c>
      <c r="X20">
        <v>6</v>
      </c>
      <c r="Y20">
        <v>5</v>
      </c>
      <c r="Z20">
        <v>5</v>
      </c>
      <c r="AA20">
        <f t="shared" si="1"/>
        <v>1</v>
      </c>
      <c r="AB20">
        <f t="shared" si="2"/>
        <v>0</v>
      </c>
      <c r="AC20">
        <f t="shared" si="3"/>
        <v>1</v>
      </c>
      <c r="AD20" s="1">
        <f t="shared" si="4"/>
        <v>5.333333333333333</v>
      </c>
    </row>
    <row r="21" spans="1:30" x14ac:dyDescent="0.35">
      <c r="A21" t="s">
        <v>50</v>
      </c>
      <c r="B21">
        <v>16</v>
      </c>
      <c r="C21" t="s">
        <v>35</v>
      </c>
      <c r="D21" t="s">
        <v>47</v>
      </c>
      <c r="E21" t="s">
        <v>44</v>
      </c>
      <c r="F21" t="s">
        <v>28</v>
      </c>
      <c r="G21" t="s">
        <v>45</v>
      </c>
      <c r="H21">
        <v>1</v>
      </c>
      <c r="I21">
        <v>0</v>
      </c>
      <c r="J21" t="s">
        <v>43</v>
      </c>
      <c r="K21" t="s">
        <v>43</v>
      </c>
      <c r="L21" t="s">
        <v>42</v>
      </c>
      <c r="M21" t="s">
        <v>42</v>
      </c>
      <c r="N21" t="s">
        <v>43</v>
      </c>
      <c r="O21">
        <v>3</v>
      </c>
      <c r="P21">
        <v>1</v>
      </c>
      <c r="Q21">
        <v>3</v>
      </c>
      <c r="R21">
        <v>1</v>
      </c>
      <c r="S21">
        <v>3</v>
      </c>
      <c r="T21">
        <f t="shared" si="0"/>
        <v>4</v>
      </c>
      <c r="U21" t="str" cm="1">
        <f t="array" ref="U21">_xlfn.IFS(T21&lt;3, "low", AND(T21&gt;=3, T21&lt;5), "med", T21&gt;=5, "high")</f>
        <v>med</v>
      </c>
      <c r="V21">
        <v>4</v>
      </c>
      <c r="W21" t="str" cm="1">
        <f t="array" ref="W21">_xlfn.IFS(V21&lt;5, "low", AND(V21&gt;=5, V21&lt;10), "med", V21&gt;=10, "high")</f>
        <v>low</v>
      </c>
      <c r="X21">
        <v>8</v>
      </c>
      <c r="Y21">
        <v>10</v>
      </c>
      <c r="Z21">
        <v>10</v>
      </c>
      <c r="AA21">
        <f t="shared" si="1"/>
        <v>0</v>
      </c>
      <c r="AB21">
        <f t="shared" si="2"/>
        <v>0</v>
      </c>
      <c r="AC21">
        <f t="shared" si="3"/>
        <v>0</v>
      </c>
      <c r="AD21" s="1">
        <f t="shared" si="4"/>
        <v>9.3333333333333339</v>
      </c>
    </row>
    <row r="22" spans="1:30" x14ac:dyDescent="0.35">
      <c r="A22" t="s">
        <v>50</v>
      </c>
      <c r="B22">
        <v>15</v>
      </c>
      <c r="C22" t="s">
        <v>35</v>
      </c>
      <c r="D22" t="s">
        <v>36</v>
      </c>
      <c r="E22" t="s">
        <v>44</v>
      </c>
      <c r="F22" t="s">
        <v>39</v>
      </c>
      <c r="G22" t="s">
        <v>45</v>
      </c>
      <c r="H22">
        <v>2</v>
      </c>
      <c r="I22">
        <v>0</v>
      </c>
      <c r="J22" t="s">
        <v>43</v>
      </c>
      <c r="K22" t="s">
        <v>43</v>
      </c>
      <c r="L22" t="s">
        <v>43</v>
      </c>
      <c r="M22" t="s">
        <v>43</v>
      </c>
      <c r="N22" t="s">
        <v>43</v>
      </c>
      <c r="O22">
        <v>4</v>
      </c>
      <c r="P22">
        <v>4</v>
      </c>
      <c r="Q22">
        <v>1</v>
      </c>
      <c r="R22">
        <v>1</v>
      </c>
      <c r="S22">
        <v>1</v>
      </c>
      <c r="T22">
        <f t="shared" si="0"/>
        <v>2</v>
      </c>
      <c r="U22" t="str" cm="1">
        <f t="array" ref="U22">_xlfn.IFS(T22&lt;3, "low", AND(T22&gt;=3, T22&lt;5), "med", T22&gt;=5, "high")</f>
        <v>low</v>
      </c>
      <c r="V22">
        <v>0</v>
      </c>
      <c r="W22" t="str" cm="1">
        <f t="array" ref="W22">_xlfn.IFS(V22&lt;5, "low", AND(V22&gt;=5, V22&lt;10), "med", V22&gt;=10, "high")</f>
        <v>low</v>
      </c>
      <c r="X22">
        <v>13</v>
      </c>
      <c r="Y22">
        <v>14</v>
      </c>
      <c r="Z22">
        <v>15</v>
      </c>
      <c r="AA22">
        <f t="shared" si="1"/>
        <v>0</v>
      </c>
      <c r="AB22">
        <f t="shared" si="2"/>
        <v>0</v>
      </c>
      <c r="AC22">
        <f t="shared" si="3"/>
        <v>0</v>
      </c>
      <c r="AD22" s="1">
        <f t="shared" si="4"/>
        <v>14</v>
      </c>
    </row>
    <row r="23" spans="1:30" x14ac:dyDescent="0.35">
      <c r="A23" t="s">
        <v>50</v>
      </c>
      <c r="B23">
        <v>15</v>
      </c>
      <c r="C23" t="s">
        <v>35</v>
      </c>
      <c r="D23" t="s">
        <v>36</v>
      </c>
      <c r="E23" t="s">
        <v>44</v>
      </c>
      <c r="F23" t="s">
        <v>28</v>
      </c>
      <c r="G23" t="s">
        <v>28</v>
      </c>
      <c r="H23">
        <v>1</v>
      </c>
      <c r="I23">
        <v>0</v>
      </c>
      <c r="J23" t="s">
        <v>43</v>
      </c>
      <c r="K23" t="s">
        <v>42</v>
      </c>
      <c r="L23" t="s">
        <v>42</v>
      </c>
      <c r="M23" t="s">
        <v>43</v>
      </c>
      <c r="N23" t="s">
        <v>43</v>
      </c>
      <c r="O23">
        <v>5</v>
      </c>
      <c r="P23">
        <v>4</v>
      </c>
      <c r="Q23">
        <v>2</v>
      </c>
      <c r="R23">
        <v>1</v>
      </c>
      <c r="S23">
        <v>1</v>
      </c>
      <c r="T23">
        <f t="shared" si="0"/>
        <v>2</v>
      </c>
      <c r="U23" t="str" cm="1">
        <f t="array" ref="U23">_xlfn.IFS(T23&lt;3, "low", AND(T23&gt;=3, T23&lt;5), "med", T23&gt;=5, "high")</f>
        <v>low</v>
      </c>
      <c r="V23">
        <v>0</v>
      </c>
      <c r="W23" t="str" cm="1">
        <f t="array" ref="W23">_xlfn.IFS(V23&lt;5, "low", AND(V23&gt;=5, V23&lt;10), "med", V23&gt;=10, "high")</f>
        <v>low</v>
      </c>
      <c r="X23">
        <v>12</v>
      </c>
      <c r="Y23">
        <v>15</v>
      </c>
      <c r="Z23">
        <v>15</v>
      </c>
      <c r="AA23">
        <f t="shared" si="1"/>
        <v>0</v>
      </c>
      <c r="AB23">
        <f t="shared" si="2"/>
        <v>0</v>
      </c>
      <c r="AC23">
        <f t="shared" si="3"/>
        <v>0</v>
      </c>
      <c r="AD23" s="1">
        <f t="shared" si="4"/>
        <v>14</v>
      </c>
    </row>
    <row r="24" spans="1:30" x14ac:dyDescent="0.35">
      <c r="A24" t="s">
        <v>50</v>
      </c>
      <c r="B24">
        <v>16</v>
      </c>
      <c r="C24" t="s">
        <v>35</v>
      </c>
      <c r="D24" t="s">
        <v>47</v>
      </c>
      <c r="E24" t="s">
        <v>44</v>
      </c>
      <c r="F24" t="s">
        <v>39</v>
      </c>
      <c r="G24" t="s">
        <v>45</v>
      </c>
      <c r="H24">
        <v>2</v>
      </c>
      <c r="I24">
        <v>0</v>
      </c>
      <c r="J24" t="s">
        <v>43</v>
      </c>
      <c r="K24" t="s">
        <v>43</v>
      </c>
      <c r="L24" t="s">
        <v>43</v>
      </c>
      <c r="M24" t="s">
        <v>42</v>
      </c>
      <c r="N24" t="s">
        <v>43</v>
      </c>
      <c r="O24">
        <v>4</v>
      </c>
      <c r="P24">
        <v>5</v>
      </c>
      <c r="Q24">
        <v>1</v>
      </c>
      <c r="R24">
        <v>1</v>
      </c>
      <c r="S24">
        <v>3</v>
      </c>
      <c r="T24">
        <f t="shared" si="0"/>
        <v>4</v>
      </c>
      <c r="U24" t="str" cm="1">
        <f t="array" ref="U24">_xlfn.IFS(T24&lt;3, "low", AND(T24&gt;=3, T24&lt;5), "med", T24&gt;=5, "high")</f>
        <v>med</v>
      </c>
      <c r="V24">
        <v>2</v>
      </c>
      <c r="W24" t="str" cm="1">
        <f t="array" ref="W24">_xlfn.IFS(V24&lt;5, "low", AND(V24&gt;=5, V24&lt;10), "med", V24&gt;=10, "high")</f>
        <v>low</v>
      </c>
      <c r="X24">
        <v>15</v>
      </c>
      <c r="Y24">
        <v>15</v>
      </c>
      <c r="Z24">
        <v>16</v>
      </c>
      <c r="AA24">
        <f t="shared" si="1"/>
        <v>0</v>
      </c>
      <c r="AB24">
        <f t="shared" si="2"/>
        <v>0</v>
      </c>
      <c r="AC24">
        <f t="shared" si="3"/>
        <v>0</v>
      </c>
      <c r="AD24" s="1">
        <f t="shared" si="4"/>
        <v>15.333333333333334</v>
      </c>
    </row>
    <row r="25" spans="1:30" x14ac:dyDescent="0.35">
      <c r="A25" t="s">
        <v>50</v>
      </c>
      <c r="B25">
        <v>16</v>
      </c>
      <c r="C25" t="s">
        <v>35</v>
      </c>
      <c r="D25" t="s">
        <v>47</v>
      </c>
      <c r="E25" t="s">
        <v>44</v>
      </c>
      <c r="F25" t="s">
        <v>45</v>
      </c>
      <c r="G25" t="s">
        <v>45</v>
      </c>
      <c r="H25">
        <v>2</v>
      </c>
      <c r="I25">
        <v>0</v>
      </c>
      <c r="J25" t="s">
        <v>43</v>
      </c>
      <c r="K25" t="s">
        <v>42</v>
      </c>
      <c r="L25" t="s">
        <v>43</v>
      </c>
      <c r="M25" t="s">
        <v>42</v>
      </c>
      <c r="N25" t="s">
        <v>43</v>
      </c>
      <c r="O25">
        <v>5</v>
      </c>
      <c r="P25">
        <v>4</v>
      </c>
      <c r="Q25">
        <v>4</v>
      </c>
      <c r="R25">
        <v>2</v>
      </c>
      <c r="S25">
        <v>4</v>
      </c>
      <c r="T25">
        <f t="shared" si="0"/>
        <v>6</v>
      </c>
      <c r="U25" t="str" cm="1">
        <f t="array" ref="U25">_xlfn.IFS(T25&lt;3, "low", AND(T25&gt;=3, T25&lt;5), "med", T25&gt;=5, "high")</f>
        <v>high</v>
      </c>
      <c r="V25">
        <v>0</v>
      </c>
      <c r="W25" t="str" cm="1">
        <f t="array" ref="W25">_xlfn.IFS(V25&lt;5, "low", AND(V25&gt;=5, V25&lt;10), "med", V25&gt;=10, "high")</f>
        <v>low</v>
      </c>
      <c r="X25">
        <v>13</v>
      </c>
      <c r="Y25">
        <v>13</v>
      </c>
      <c r="Z25">
        <v>12</v>
      </c>
      <c r="AA25">
        <f t="shared" si="1"/>
        <v>0</v>
      </c>
      <c r="AB25">
        <f t="shared" si="2"/>
        <v>1</v>
      </c>
      <c r="AC25">
        <f t="shared" si="3"/>
        <v>1</v>
      </c>
      <c r="AD25" s="1">
        <f t="shared" si="4"/>
        <v>12.666666666666666</v>
      </c>
    </row>
    <row r="26" spans="1:30" x14ac:dyDescent="0.35">
      <c r="A26" t="s">
        <v>34</v>
      </c>
      <c r="B26">
        <v>15</v>
      </c>
      <c r="C26" t="s">
        <v>52</v>
      </c>
      <c r="D26" t="s">
        <v>36</v>
      </c>
      <c r="E26" t="s">
        <v>44</v>
      </c>
      <c r="F26" t="s">
        <v>48</v>
      </c>
      <c r="G26" t="s">
        <v>28</v>
      </c>
      <c r="H26">
        <v>3</v>
      </c>
      <c r="I26">
        <v>0</v>
      </c>
      <c r="J26" t="s">
        <v>42</v>
      </c>
      <c r="K26" t="s">
        <v>42</v>
      </c>
      <c r="L26" t="s">
        <v>42</v>
      </c>
      <c r="M26" t="s">
        <v>42</v>
      </c>
      <c r="N26" t="s">
        <v>43</v>
      </c>
      <c r="O26">
        <v>4</v>
      </c>
      <c r="P26">
        <v>3</v>
      </c>
      <c r="Q26">
        <v>2</v>
      </c>
      <c r="R26">
        <v>1</v>
      </c>
      <c r="S26">
        <v>1</v>
      </c>
      <c r="T26">
        <f t="shared" si="0"/>
        <v>2</v>
      </c>
      <c r="U26" t="str" cm="1">
        <f t="array" ref="U26">_xlfn.IFS(T26&lt;3, "low", AND(T26&gt;=3, T26&lt;5), "med", T26&gt;=5, "high")</f>
        <v>low</v>
      </c>
      <c r="V26">
        <v>2</v>
      </c>
      <c r="W26" t="str" cm="1">
        <f t="array" ref="W26">_xlfn.IFS(V26&lt;5, "low", AND(V26&gt;=5, V26&lt;10), "med", V26&gt;=10, "high")</f>
        <v>low</v>
      </c>
      <c r="X26">
        <v>10</v>
      </c>
      <c r="Y26">
        <v>9</v>
      </c>
      <c r="Z26">
        <v>8</v>
      </c>
      <c r="AA26">
        <f t="shared" si="1"/>
        <v>1</v>
      </c>
      <c r="AB26">
        <f t="shared" si="2"/>
        <v>1</v>
      </c>
      <c r="AC26">
        <f t="shared" si="3"/>
        <v>2</v>
      </c>
      <c r="AD26" s="1">
        <f t="shared" si="4"/>
        <v>9</v>
      </c>
    </row>
    <row r="27" spans="1:30" x14ac:dyDescent="0.35">
      <c r="A27" t="s">
        <v>34</v>
      </c>
      <c r="B27">
        <v>16</v>
      </c>
      <c r="C27" t="s">
        <v>35</v>
      </c>
      <c r="D27" t="s">
        <v>36</v>
      </c>
      <c r="E27" t="s">
        <v>44</v>
      </c>
      <c r="F27" t="s">
        <v>48</v>
      </c>
      <c r="G27" t="s">
        <v>48</v>
      </c>
      <c r="H27">
        <v>1</v>
      </c>
      <c r="I27">
        <v>2</v>
      </c>
      <c r="J27" t="s">
        <v>43</v>
      </c>
      <c r="K27" t="s">
        <v>42</v>
      </c>
      <c r="L27" t="s">
        <v>42</v>
      </c>
      <c r="M27" t="s">
        <v>43</v>
      </c>
      <c r="N27" t="s">
        <v>43</v>
      </c>
      <c r="O27">
        <v>1</v>
      </c>
      <c r="P27">
        <v>2</v>
      </c>
      <c r="Q27">
        <v>2</v>
      </c>
      <c r="R27">
        <v>1</v>
      </c>
      <c r="S27">
        <v>3</v>
      </c>
      <c r="T27">
        <f t="shared" si="0"/>
        <v>4</v>
      </c>
      <c r="U27" t="str" cm="1">
        <f t="array" ref="U27">_xlfn.IFS(T27&lt;3, "low", AND(T27&gt;=3, T27&lt;5), "med", T27&gt;=5, "high")</f>
        <v>med</v>
      </c>
      <c r="V27">
        <v>14</v>
      </c>
      <c r="W27" t="str" cm="1">
        <f t="array" ref="W27">_xlfn.IFS(V27&lt;5, "low", AND(V27&gt;=5, V27&lt;10), "med", V27&gt;=10, "high")</f>
        <v>high</v>
      </c>
      <c r="X27">
        <v>6</v>
      </c>
      <c r="Y27">
        <v>9</v>
      </c>
      <c r="Z27">
        <v>8</v>
      </c>
      <c r="AA27">
        <f t="shared" si="1"/>
        <v>0</v>
      </c>
      <c r="AB27">
        <f t="shared" si="2"/>
        <v>1</v>
      </c>
      <c r="AC27">
        <f t="shared" si="3"/>
        <v>1</v>
      </c>
      <c r="AD27" s="1">
        <f t="shared" si="4"/>
        <v>7.666666666666667</v>
      </c>
    </row>
    <row r="28" spans="1:30" x14ac:dyDescent="0.35">
      <c r="A28" t="s">
        <v>50</v>
      </c>
      <c r="B28">
        <v>15</v>
      </c>
      <c r="C28" t="s">
        <v>35</v>
      </c>
      <c r="D28" t="s">
        <v>36</v>
      </c>
      <c r="E28" t="s">
        <v>44</v>
      </c>
      <c r="F28" t="s">
        <v>45</v>
      </c>
      <c r="G28" t="s">
        <v>45</v>
      </c>
      <c r="H28">
        <v>1</v>
      </c>
      <c r="I28">
        <v>0</v>
      </c>
      <c r="J28" t="s">
        <v>43</v>
      </c>
      <c r="K28" t="s">
        <v>42</v>
      </c>
      <c r="L28" t="s">
        <v>42</v>
      </c>
      <c r="M28" t="s">
        <v>43</v>
      </c>
      <c r="N28" t="s">
        <v>43</v>
      </c>
      <c r="O28">
        <v>4</v>
      </c>
      <c r="P28">
        <v>2</v>
      </c>
      <c r="Q28">
        <v>2</v>
      </c>
      <c r="R28">
        <v>1</v>
      </c>
      <c r="S28">
        <v>2</v>
      </c>
      <c r="T28">
        <f t="shared" si="0"/>
        <v>3</v>
      </c>
      <c r="U28" t="str" cm="1">
        <f t="array" ref="U28">_xlfn.IFS(T28&lt;3, "low", AND(T28&gt;=3, T28&lt;5), "med", T28&gt;=5, "high")</f>
        <v>med</v>
      </c>
      <c r="V28">
        <v>2</v>
      </c>
      <c r="W28" t="str" cm="1">
        <f t="array" ref="W28">_xlfn.IFS(V28&lt;5, "low", AND(V28&gt;=5, V28&lt;10), "med", V28&gt;=10, "high")</f>
        <v>low</v>
      </c>
      <c r="X28">
        <v>12</v>
      </c>
      <c r="Y28">
        <v>12</v>
      </c>
      <c r="Z28">
        <v>11</v>
      </c>
      <c r="AA28">
        <f t="shared" si="1"/>
        <v>0</v>
      </c>
      <c r="AB28">
        <f t="shared" si="2"/>
        <v>1</v>
      </c>
      <c r="AC28">
        <f t="shared" si="3"/>
        <v>1</v>
      </c>
      <c r="AD28" s="1">
        <f t="shared" si="4"/>
        <v>11.666666666666666</v>
      </c>
    </row>
    <row r="29" spans="1:30" x14ac:dyDescent="0.35">
      <c r="A29" t="s">
        <v>50</v>
      </c>
      <c r="B29">
        <v>15</v>
      </c>
      <c r="C29" t="s">
        <v>35</v>
      </c>
      <c r="D29" t="s">
        <v>36</v>
      </c>
      <c r="E29" t="s">
        <v>44</v>
      </c>
      <c r="F29" t="s">
        <v>28</v>
      </c>
      <c r="G29" t="s">
        <v>48</v>
      </c>
      <c r="H29">
        <v>1</v>
      </c>
      <c r="I29">
        <v>0</v>
      </c>
      <c r="J29" t="s">
        <v>43</v>
      </c>
      <c r="K29" t="s">
        <v>43</v>
      </c>
      <c r="L29" t="s">
        <v>42</v>
      </c>
      <c r="M29" t="s">
        <v>43</v>
      </c>
      <c r="N29" t="s">
        <v>43</v>
      </c>
      <c r="O29">
        <v>2</v>
      </c>
      <c r="P29">
        <v>2</v>
      </c>
      <c r="Q29">
        <v>4</v>
      </c>
      <c r="R29">
        <v>2</v>
      </c>
      <c r="S29">
        <v>4</v>
      </c>
      <c r="T29">
        <f t="shared" si="0"/>
        <v>6</v>
      </c>
      <c r="U29" t="str" cm="1">
        <f t="array" ref="U29">_xlfn.IFS(T29&lt;3, "low", AND(T29&gt;=3, T29&lt;5), "med", T29&gt;=5, "high")</f>
        <v>high</v>
      </c>
      <c r="V29">
        <v>4</v>
      </c>
      <c r="W29" t="str" cm="1">
        <f t="array" ref="W29">_xlfn.IFS(V29&lt;5, "low", AND(V29&gt;=5, V29&lt;10), "med", V29&gt;=10, "high")</f>
        <v>low</v>
      </c>
      <c r="X29">
        <v>15</v>
      </c>
      <c r="Y29">
        <v>16</v>
      </c>
      <c r="Z29">
        <v>15</v>
      </c>
      <c r="AA29">
        <f t="shared" si="1"/>
        <v>0</v>
      </c>
      <c r="AB29">
        <f t="shared" si="2"/>
        <v>1</v>
      </c>
      <c r="AC29">
        <f t="shared" si="3"/>
        <v>1</v>
      </c>
      <c r="AD29" s="1">
        <f t="shared" si="4"/>
        <v>15.333333333333334</v>
      </c>
    </row>
    <row r="30" spans="1:30" x14ac:dyDescent="0.35">
      <c r="A30" t="s">
        <v>50</v>
      </c>
      <c r="B30">
        <v>16</v>
      </c>
      <c r="C30" t="s">
        <v>35</v>
      </c>
      <c r="D30" t="s">
        <v>47</v>
      </c>
      <c r="E30" t="s">
        <v>37</v>
      </c>
      <c r="F30" t="s">
        <v>48</v>
      </c>
      <c r="G30" t="s">
        <v>45</v>
      </c>
      <c r="H30">
        <v>2</v>
      </c>
      <c r="I30">
        <v>0</v>
      </c>
      <c r="J30" t="s">
        <v>42</v>
      </c>
      <c r="K30" t="s">
        <v>42</v>
      </c>
      <c r="L30" t="s">
        <v>43</v>
      </c>
      <c r="M30" t="s">
        <v>42</v>
      </c>
      <c r="N30" t="s">
        <v>43</v>
      </c>
      <c r="O30">
        <v>5</v>
      </c>
      <c r="P30">
        <v>3</v>
      </c>
      <c r="Q30">
        <v>3</v>
      </c>
      <c r="R30">
        <v>1</v>
      </c>
      <c r="S30">
        <v>1</v>
      </c>
      <c r="T30">
        <f t="shared" si="0"/>
        <v>2</v>
      </c>
      <c r="U30" t="str" cm="1">
        <f t="array" ref="U30">_xlfn.IFS(T30&lt;3, "low", AND(T30&gt;=3, T30&lt;5), "med", T30&gt;=5, "high")</f>
        <v>low</v>
      </c>
      <c r="V30">
        <v>4</v>
      </c>
      <c r="W30" t="str" cm="1">
        <f t="array" ref="W30">_xlfn.IFS(V30&lt;5, "low", AND(V30&gt;=5, V30&lt;10), "med", V30&gt;=10, "high")</f>
        <v>low</v>
      </c>
      <c r="X30">
        <v>11</v>
      </c>
      <c r="Y30">
        <v>11</v>
      </c>
      <c r="Z30">
        <v>11</v>
      </c>
      <c r="AA30">
        <f t="shared" si="1"/>
        <v>0</v>
      </c>
      <c r="AB30">
        <f t="shared" si="2"/>
        <v>0</v>
      </c>
      <c r="AC30">
        <f t="shared" si="3"/>
        <v>0</v>
      </c>
      <c r="AD30" s="1">
        <f t="shared" si="4"/>
        <v>11</v>
      </c>
    </row>
    <row r="31" spans="1:30" x14ac:dyDescent="0.35">
      <c r="A31" t="s">
        <v>50</v>
      </c>
      <c r="B31">
        <v>16</v>
      </c>
      <c r="C31" t="s">
        <v>35</v>
      </c>
      <c r="D31" t="s">
        <v>36</v>
      </c>
      <c r="E31" t="s">
        <v>44</v>
      </c>
      <c r="F31" t="s">
        <v>39</v>
      </c>
      <c r="G31" t="s">
        <v>39</v>
      </c>
      <c r="H31">
        <v>2</v>
      </c>
      <c r="I31">
        <v>0</v>
      </c>
      <c r="J31" t="s">
        <v>43</v>
      </c>
      <c r="K31" t="s">
        <v>42</v>
      </c>
      <c r="L31" t="s">
        <v>42</v>
      </c>
      <c r="M31" t="s">
        <v>42</v>
      </c>
      <c r="N31" t="s">
        <v>42</v>
      </c>
      <c r="O31">
        <v>4</v>
      </c>
      <c r="P31">
        <v>4</v>
      </c>
      <c r="Q31">
        <v>5</v>
      </c>
      <c r="R31">
        <v>5</v>
      </c>
      <c r="S31">
        <v>5</v>
      </c>
      <c r="T31">
        <f t="shared" si="0"/>
        <v>10</v>
      </c>
      <c r="U31" t="str" cm="1">
        <f t="array" ref="U31">_xlfn.IFS(T31&lt;3, "low", AND(T31&gt;=3, T31&lt;5), "med", T31&gt;=5, "high")</f>
        <v>high</v>
      </c>
      <c r="V31">
        <v>16</v>
      </c>
      <c r="W31" t="str" cm="1">
        <f t="array" ref="W31">_xlfn.IFS(V31&lt;5, "low", AND(V31&gt;=5, V31&lt;10), "med", V31&gt;=10, "high")</f>
        <v>high</v>
      </c>
      <c r="X31">
        <v>10</v>
      </c>
      <c r="Y31">
        <v>12</v>
      </c>
      <c r="Z31">
        <v>11</v>
      </c>
      <c r="AA31">
        <f t="shared" si="1"/>
        <v>0</v>
      </c>
      <c r="AB31">
        <f t="shared" si="2"/>
        <v>1</v>
      </c>
      <c r="AC31">
        <f t="shared" si="3"/>
        <v>1</v>
      </c>
      <c r="AD31" s="1">
        <f t="shared" si="4"/>
        <v>11</v>
      </c>
    </row>
    <row r="32" spans="1:30" x14ac:dyDescent="0.35">
      <c r="A32" t="s">
        <v>50</v>
      </c>
      <c r="B32">
        <v>15</v>
      </c>
      <c r="C32" t="s">
        <v>35</v>
      </c>
      <c r="D32" t="s">
        <v>36</v>
      </c>
      <c r="E32" t="s">
        <v>44</v>
      </c>
      <c r="F32" t="s">
        <v>28</v>
      </c>
      <c r="G32" t="s">
        <v>48</v>
      </c>
      <c r="H32">
        <v>2</v>
      </c>
      <c r="I32">
        <v>0</v>
      </c>
      <c r="J32" t="s">
        <v>43</v>
      </c>
      <c r="K32" t="s">
        <v>42</v>
      </c>
      <c r="L32" t="s">
        <v>42</v>
      </c>
      <c r="M32" t="s">
        <v>43</v>
      </c>
      <c r="N32" t="s">
        <v>43</v>
      </c>
      <c r="O32">
        <v>5</v>
      </c>
      <c r="P32">
        <v>4</v>
      </c>
      <c r="Q32">
        <v>2</v>
      </c>
      <c r="R32">
        <v>3</v>
      </c>
      <c r="S32">
        <v>4</v>
      </c>
      <c r="T32">
        <f t="shared" si="0"/>
        <v>7</v>
      </c>
      <c r="U32" t="str" cm="1">
        <f t="array" ref="U32">_xlfn.IFS(T32&lt;3, "low", AND(T32&gt;=3, T32&lt;5), "med", T32&gt;=5, "high")</f>
        <v>high</v>
      </c>
      <c r="V32">
        <v>0</v>
      </c>
      <c r="W32" t="str" cm="1">
        <f t="array" ref="W32">_xlfn.IFS(V32&lt;5, "low", AND(V32&gt;=5, V32&lt;10), "med", V32&gt;=10, "high")</f>
        <v>low</v>
      </c>
      <c r="X32">
        <v>9</v>
      </c>
      <c r="Y32">
        <v>11</v>
      </c>
      <c r="Z32">
        <v>12</v>
      </c>
      <c r="AA32">
        <f t="shared" si="1"/>
        <v>0</v>
      </c>
      <c r="AB32">
        <f t="shared" si="2"/>
        <v>0</v>
      </c>
      <c r="AC32">
        <f t="shared" si="3"/>
        <v>0</v>
      </c>
      <c r="AD32" s="1">
        <f t="shared" si="4"/>
        <v>10.666666666666666</v>
      </c>
    </row>
    <row r="33" spans="1:30" x14ac:dyDescent="0.35">
      <c r="A33" t="s">
        <v>50</v>
      </c>
      <c r="B33">
        <v>15</v>
      </c>
      <c r="C33" t="s">
        <v>35</v>
      </c>
      <c r="D33" t="s">
        <v>36</v>
      </c>
      <c r="E33" t="s">
        <v>44</v>
      </c>
      <c r="F33" t="s">
        <v>48</v>
      </c>
      <c r="G33" t="s">
        <v>48</v>
      </c>
      <c r="H33">
        <v>2</v>
      </c>
      <c r="I33">
        <v>0</v>
      </c>
      <c r="J33" t="s">
        <v>43</v>
      </c>
      <c r="K33" t="s">
        <v>42</v>
      </c>
      <c r="L33" t="s">
        <v>43</v>
      </c>
      <c r="M33" t="s">
        <v>42</v>
      </c>
      <c r="N33" t="s">
        <v>43</v>
      </c>
      <c r="O33">
        <v>4</v>
      </c>
      <c r="P33">
        <v>3</v>
      </c>
      <c r="Q33">
        <v>1</v>
      </c>
      <c r="R33">
        <v>1</v>
      </c>
      <c r="S33">
        <v>1</v>
      </c>
      <c r="T33">
        <f t="shared" si="0"/>
        <v>2</v>
      </c>
      <c r="U33" t="str" cm="1">
        <f t="array" ref="U33">_xlfn.IFS(T33&lt;3, "low", AND(T33&gt;=3, T33&lt;5), "med", T33&gt;=5, "high")</f>
        <v>low</v>
      </c>
      <c r="V33">
        <v>0</v>
      </c>
      <c r="W33" t="str" cm="1">
        <f t="array" ref="W33">_xlfn.IFS(V33&lt;5, "low", AND(V33&gt;=5, V33&lt;10), "med", V33&gt;=10, "high")</f>
        <v>low</v>
      </c>
      <c r="X33">
        <v>17</v>
      </c>
      <c r="Y33">
        <v>16</v>
      </c>
      <c r="Z33">
        <v>17</v>
      </c>
      <c r="AA33">
        <f t="shared" si="1"/>
        <v>1</v>
      </c>
      <c r="AB33">
        <f t="shared" si="2"/>
        <v>0</v>
      </c>
      <c r="AC33">
        <f t="shared" si="3"/>
        <v>1</v>
      </c>
      <c r="AD33" s="1">
        <f t="shared" si="4"/>
        <v>16.666666666666668</v>
      </c>
    </row>
    <row r="34" spans="1:30" x14ac:dyDescent="0.35">
      <c r="A34" t="s">
        <v>50</v>
      </c>
      <c r="B34">
        <v>15</v>
      </c>
      <c r="C34" t="s">
        <v>52</v>
      </c>
      <c r="D34" t="s">
        <v>36</v>
      </c>
      <c r="E34" t="s">
        <v>44</v>
      </c>
      <c r="F34" t="s">
        <v>39</v>
      </c>
      <c r="G34" t="s">
        <v>38</v>
      </c>
      <c r="H34">
        <v>2</v>
      </c>
      <c r="I34">
        <v>0</v>
      </c>
      <c r="J34" t="s">
        <v>43</v>
      </c>
      <c r="K34" t="s">
        <v>42</v>
      </c>
      <c r="L34" t="s">
        <v>43</v>
      </c>
      <c r="M34" t="s">
        <v>42</v>
      </c>
      <c r="N34" t="s">
        <v>42</v>
      </c>
      <c r="O34">
        <v>4</v>
      </c>
      <c r="P34">
        <v>5</v>
      </c>
      <c r="Q34">
        <v>2</v>
      </c>
      <c r="R34">
        <v>1</v>
      </c>
      <c r="S34">
        <v>1</v>
      </c>
      <c r="T34">
        <f t="shared" si="0"/>
        <v>2</v>
      </c>
      <c r="U34" t="str" cm="1">
        <f t="array" ref="U34">_xlfn.IFS(T34&lt;3, "low", AND(T34&gt;=3, T34&lt;5), "med", T34&gt;=5, "high")</f>
        <v>low</v>
      </c>
      <c r="V34">
        <v>0</v>
      </c>
      <c r="W34" t="str" cm="1">
        <f t="array" ref="W34">_xlfn.IFS(V34&lt;5, "low", AND(V34&gt;=5, V34&lt;10), "med", V34&gt;=10, "high")</f>
        <v>low</v>
      </c>
      <c r="X34">
        <v>17</v>
      </c>
      <c r="Y34">
        <v>16</v>
      </c>
      <c r="Z34">
        <v>16</v>
      </c>
      <c r="AA34">
        <f t="shared" si="1"/>
        <v>1</v>
      </c>
      <c r="AB34">
        <f t="shared" si="2"/>
        <v>0</v>
      </c>
      <c r="AC34">
        <f t="shared" si="3"/>
        <v>1</v>
      </c>
      <c r="AD34" s="1">
        <f t="shared" si="4"/>
        <v>16.333333333333332</v>
      </c>
    </row>
    <row r="35" spans="1:30" x14ac:dyDescent="0.35">
      <c r="A35" t="s">
        <v>50</v>
      </c>
      <c r="B35">
        <v>15</v>
      </c>
      <c r="C35" t="s">
        <v>35</v>
      </c>
      <c r="D35" t="s">
        <v>47</v>
      </c>
      <c r="E35" t="s">
        <v>44</v>
      </c>
      <c r="F35" t="s">
        <v>45</v>
      </c>
      <c r="G35" t="s">
        <v>45</v>
      </c>
      <c r="H35">
        <v>2</v>
      </c>
      <c r="I35">
        <v>0</v>
      </c>
      <c r="J35" t="s">
        <v>43</v>
      </c>
      <c r="K35" t="s">
        <v>43</v>
      </c>
      <c r="L35" t="s">
        <v>43</v>
      </c>
      <c r="M35" t="s">
        <v>42</v>
      </c>
      <c r="N35" t="s">
        <v>43</v>
      </c>
      <c r="O35">
        <v>5</v>
      </c>
      <c r="P35">
        <v>3</v>
      </c>
      <c r="Q35">
        <v>2</v>
      </c>
      <c r="R35">
        <v>1</v>
      </c>
      <c r="S35">
        <v>1</v>
      </c>
      <c r="T35">
        <f t="shared" si="0"/>
        <v>2</v>
      </c>
      <c r="U35" t="str" cm="1">
        <f t="array" ref="U35">_xlfn.IFS(T35&lt;3, "low", AND(T35&gt;=3, T35&lt;5), "med", T35&gt;=5, "high")</f>
        <v>low</v>
      </c>
      <c r="V35">
        <v>0</v>
      </c>
      <c r="W35" t="str" cm="1">
        <f t="array" ref="W35">_xlfn.IFS(V35&lt;5, "low", AND(V35&gt;=5, V35&lt;10), "med", V35&gt;=10, "high")</f>
        <v>low</v>
      </c>
      <c r="X35">
        <v>8</v>
      </c>
      <c r="Y35">
        <v>10</v>
      </c>
      <c r="Z35">
        <v>12</v>
      </c>
      <c r="AA35">
        <f t="shared" si="1"/>
        <v>0</v>
      </c>
      <c r="AB35">
        <f t="shared" si="2"/>
        <v>0</v>
      </c>
      <c r="AC35">
        <f t="shared" si="3"/>
        <v>0</v>
      </c>
      <c r="AD35" s="1">
        <f t="shared" si="4"/>
        <v>10</v>
      </c>
    </row>
    <row r="36" spans="1:30" x14ac:dyDescent="0.35">
      <c r="A36" t="s">
        <v>50</v>
      </c>
      <c r="B36">
        <v>16</v>
      </c>
      <c r="C36" t="s">
        <v>35</v>
      </c>
      <c r="D36" t="s">
        <v>36</v>
      </c>
      <c r="E36" t="s">
        <v>44</v>
      </c>
      <c r="F36" t="s">
        <v>45</v>
      </c>
      <c r="G36" t="s">
        <v>45</v>
      </c>
      <c r="H36">
        <v>1</v>
      </c>
      <c r="I36">
        <v>0</v>
      </c>
      <c r="J36" t="s">
        <v>43</v>
      </c>
      <c r="K36" t="s">
        <v>42</v>
      </c>
      <c r="L36" t="s">
        <v>42</v>
      </c>
      <c r="M36" t="s">
        <v>43</v>
      </c>
      <c r="N36" t="s">
        <v>43</v>
      </c>
      <c r="O36">
        <v>5</v>
      </c>
      <c r="P36">
        <v>4</v>
      </c>
      <c r="Q36">
        <v>3</v>
      </c>
      <c r="R36">
        <v>1</v>
      </c>
      <c r="S36">
        <v>1</v>
      </c>
      <c r="T36">
        <f t="shared" si="0"/>
        <v>2</v>
      </c>
      <c r="U36" t="str" cm="1">
        <f t="array" ref="U36">_xlfn.IFS(T36&lt;3, "low", AND(T36&gt;=3, T36&lt;5), "med", T36&gt;=5, "high")</f>
        <v>low</v>
      </c>
      <c r="V36">
        <v>0</v>
      </c>
      <c r="W36" t="str" cm="1">
        <f t="array" ref="W36">_xlfn.IFS(V36&lt;5, "low", AND(V36&gt;=5, V36&lt;10), "med", V36&gt;=10, "high")</f>
        <v>low</v>
      </c>
      <c r="X36">
        <v>12</v>
      </c>
      <c r="Y36">
        <v>14</v>
      </c>
      <c r="Z36">
        <v>15</v>
      </c>
      <c r="AA36">
        <f t="shared" si="1"/>
        <v>0</v>
      </c>
      <c r="AB36">
        <f t="shared" si="2"/>
        <v>0</v>
      </c>
      <c r="AC36">
        <f t="shared" si="3"/>
        <v>0</v>
      </c>
      <c r="AD36" s="1">
        <f t="shared" si="4"/>
        <v>13.666666666666666</v>
      </c>
    </row>
    <row r="37" spans="1:30" x14ac:dyDescent="0.35">
      <c r="A37" t="s">
        <v>34</v>
      </c>
      <c r="B37">
        <v>15</v>
      </c>
      <c r="C37" t="s">
        <v>35</v>
      </c>
      <c r="D37" t="s">
        <v>36</v>
      </c>
      <c r="E37" t="s">
        <v>44</v>
      </c>
      <c r="F37" t="s">
        <v>45</v>
      </c>
      <c r="G37" t="s">
        <v>45</v>
      </c>
      <c r="H37">
        <v>1</v>
      </c>
      <c r="I37">
        <v>0</v>
      </c>
      <c r="J37" t="s">
        <v>43</v>
      </c>
      <c r="K37" t="s">
        <v>42</v>
      </c>
      <c r="L37" t="s">
        <v>43</v>
      </c>
      <c r="M37" t="s">
        <v>42</v>
      </c>
      <c r="N37" t="s">
        <v>43</v>
      </c>
      <c r="O37">
        <v>3</v>
      </c>
      <c r="P37">
        <v>5</v>
      </c>
      <c r="Q37">
        <v>1</v>
      </c>
      <c r="R37">
        <v>1</v>
      </c>
      <c r="S37">
        <v>1</v>
      </c>
      <c r="T37">
        <f t="shared" si="0"/>
        <v>2</v>
      </c>
      <c r="U37" t="str" cm="1">
        <f t="array" ref="U37">_xlfn.IFS(T37&lt;3, "low", AND(T37&gt;=3, T37&lt;5), "med", T37&gt;=5, "high")</f>
        <v>low</v>
      </c>
      <c r="V37">
        <v>0</v>
      </c>
      <c r="W37" t="str" cm="1">
        <f t="array" ref="W37">_xlfn.IFS(V37&lt;5, "low", AND(V37&gt;=5, V37&lt;10), "med", V37&gt;=10, "high")</f>
        <v>low</v>
      </c>
      <c r="X37">
        <v>8</v>
      </c>
      <c r="Y37">
        <v>7</v>
      </c>
      <c r="Z37">
        <v>6</v>
      </c>
      <c r="AA37">
        <f t="shared" si="1"/>
        <v>1</v>
      </c>
      <c r="AB37">
        <f t="shared" si="2"/>
        <v>1</v>
      </c>
      <c r="AC37">
        <f t="shared" si="3"/>
        <v>2</v>
      </c>
      <c r="AD37" s="1">
        <f t="shared" si="4"/>
        <v>7</v>
      </c>
    </row>
    <row r="38" spans="1:30" x14ac:dyDescent="0.35">
      <c r="A38" t="s">
        <v>50</v>
      </c>
      <c r="B38">
        <v>15</v>
      </c>
      <c r="C38" t="s">
        <v>35</v>
      </c>
      <c r="D38" t="s">
        <v>47</v>
      </c>
      <c r="E38" t="s">
        <v>44</v>
      </c>
      <c r="F38" t="s">
        <v>39</v>
      </c>
      <c r="G38" t="s">
        <v>48</v>
      </c>
      <c r="H38">
        <v>3</v>
      </c>
      <c r="I38">
        <v>0</v>
      </c>
      <c r="J38" t="s">
        <v>43</v>
      </c>
      <c r="K38" t="s">
        <v>42</v>
      </c>
      <c r="L38" t="s">
        <v>43</v>
      </c>
      <c r="M38" t="s">
        <v>42</v>
      </c>
      <c r="N38" t="s">
        <v>43</v>
      </c>
      <c r="O38">
        <v>5</v>
      </c>
      <c r="P38">
        <v>4</v>
      </c>
      <c r="Q38">
        <v>3</v>
      </c>
      <c r="R38">
        <v>1</v>
      </c>
      <c r="S38">
        <v>1</v>
      </c>
      <c r="T38">
        <f t="shared" si="0"/>
        <v>2</v>
      </c>
      <c r="U38" t="str" cm="1">
        <f t="array" ref="U38">_xlfn.IFS(T38&lt;3, "low", AND(T38&gt;=3, T38&lt;5), "med", T38&gt;=5, "high")</f>
        <v>low</v>
      </c>
      <c r="V38">
        <v>2</v>
      </c>
      <c r="W38" t="str" cm="1">
        <f t="array" ref="W38">_xlfn.IFS(V38&lt;5, "low", AND(V38&gt;=5, V38&lt;10), "med", V38&gt;=10, "high")</f>
        <v>low</v>
      </c>
      <c r="X38">
        <v>15</v>
      </c>
      <c r="Y38">
        <v>16</v>
      </c>
      <c r="Z38">
        <v>18</v>
      </c>
      <c r="AA38">
        <f t="shared" si="1"/>
        <v>0</v>
      </c>
      <c r="AB38">
        <f t="shared" si="2"/>
        <v>0</v>
      </c>
      <c r="AC38">
        <f t="shared" si="3"/>
        <v>0</v>
      </c>
      <c r="AD38" s="1">
        <f t="shared" si="4"/>
        <v>16.333333333333332</v>
      </c>
    </row>
    <row r="39" spans="1:30" x14ac:dyDescent="0.35">
      <c r="A39" t="s">
        <v>50</v>
      </c>
      <c r="B39">
        <v>16</v>
      </c>
      <c r="C39" t="s">
        <v>52</v>
      </c>
      <c r="D39" t="s">
        <v>36</v>
      </c>
      <c r="E39" t="s">
        <v>37</v>
      </c>
      <c r="F39" t="s">
        <v>45</v>
      </c>
      <c r="G39" t="s">
        <v>39</v>
      </c>
      <c r="H39">
        <v>3</v>
      </c>
      <c r="I39">
        <v>0</v>
      </c>
      <c r="J39" t="s">
        <v>43</v>
      </c>
      <c r="K39" t="s">
        <v>42</v>
      </c>
      <c r="L39" t="s">
        <v>43</v>
      </c>
      <c r="M39" t="s">
        <v>42</v>
      </c>
      <c r="N39" t="s">
        <v>42</v>
      </c>
      <c r="O39">
        <v>2</v>
      </c>
      <c r="P39">
        <v>4</v>
      </c>
      <c r="Q39">
        <v>3</v>
      </c>
      <c r="R39">
        <v>1</v>
      </c>
      <c r="S39">
        <v>1</v>
      </c>
      <c r="T39">
        <f t="shared" si="0"/>
        <v>2</v>
      </c>
      <c r="U39" t="str" cm="1">
        <f t="array" ref="U39">_xlfn.IFS(T39&lt;3, "low", AND(T39&gt;=3, T39&lt;5), "med", T39&gt;=5, "high")</f>
        <v>low</v>
      </c>
      <c r="V39">
        <v>7</v>
      </c>
      <c r="W39" t="str" cm="1">
        <f t="array" ref="W39">_xlfn.IFS(V39&lt;5, "low", AND(V39&gt;=5, V39&lt;10), "med", V39&gt;=10, "high")</f>
        <v>med</v>
      </c>
      <c r="X39">
        <v>15</v>
      </c>
      <c r="Y39">
        <v>16</v>
      </c>
      <c r="Z39">
        <v>15</v>
      </c>
      <c r="AA39">
        <f t="shared" si="1"/>
        <v>0</v>
      </c>
      <c r="AB39">
        <f t="shared" si="2"/>
        <v>1</v>
      </c>
      <c r="AC39">
        <f t="shared" si="3"/>
        <v>1</v>
      </c>
      <c r="AD39" s="1">
        <f t="shared" si="4"/>
        <v>15.333333333333334</v>
      </c>
    </row>
    <row r="40" spans="1:30" x14ac:dyDescent="0.35">
      <c r="A40" t="s">
        <v>34</v>
      </c>
      <c r="B40">
        <v>15</v>
      </c>
      <c r="C40" t="s">
        <v>52</v>
      </c>
      <c r="D40" t="s">
        <v>36</v>
      </c>
      <c r="E40" t="s">
        <v>44</v>
      </c>
      <c r="F40" t="s">
        <v>48</v>
      </c>
      <c r="G40" t="s">
        <v>28</v>
      </c>
      <c r="H40">
        <v>3</v>
      </c>
      <c r="I40">
        <v>0</v>
      </c>
      <c r="J40" t="s">
        <v>42</v>
      </c>
      <c r="K40" t="s">
        <v>42</v>
      </c>
      <c r="L40" t="s">
        <v>42</v>
      </c>
      <c r="M40" t="s">
        <v>42</v>
      </c>
      <c r="N40" t="s">
        <v>43</v>
      </c>
      <c r="O40">
        <v>4</v>
      </c>
      <c r="P40">
        <v>3</v>
      </c>
      <c r="Q40">
        <v>2</v>
      </c>
      <c r="R40">
        <v>1</v>
      </c>
      <c r="S40">
        <v>1</v>
      </c>
      <c r="T40">
        <f t="shared" si="0"/>
        <v>2</v>
      </c>
      <c r="U40" t="str" cm="1">
        <f t="array" ref="U40">_xlfn.IFS(T40&lt;3, "low", AND(T40&gt;=3, T40&lt;5), "med", T40&gt;=5, "high")</f>
        <v>low</v>
      </c>
      <c r="V40">
        <v>2</v>
      </c>
      <c r="W40" t="str" cm="1">
        <f t="array" ref="W40">_xlfn.IFS(V40&lt;5, "low", AND(V40&gt;=5, V40&lt;10), "med", V40&gt;=10, "high")</f>
        <v>low</v>
      </c>
      <c r="X40">
        <v>12</v>
      </c>
      <c r="Y40">
        <v>12</v>
      </c>
      <c r="Z40">
        <v>11</v>
      </c>
      <c r="AA40">
        <f t="shared" si="1"/>
        <v>0</v>
      </c>
      <c r="AB40">
        <f t="shared" si="2"/>
        <v>1</v>
      </c>
      <c r="AC40">
        <f t="shared" si="3"/>
        <v>1</v>
      </c>
      <c r="AD40" s="1">
        <f t="shared" si="4"/>
        <v>11.666666666666666</v>
      </c>
    </row>
    <row r="41" spans="1:30" x14ac:dyDescent="0.35">
      <c r="A41" t="s">
        <v>34</v>
      </c>
      <c r="B41">
        <v>15</v>
      </c>
      <c r="C41" t="s">
        <v>52</v>
      </c>
      <c r="D41" t="s">
        <v>36</v>
      </c>
      <c r="E41" t="s">
        <v>44</v>
      </c>
      <c r="F41" t="s">
        <v>38</v>
      </c>
      <c r="G41" t="s">
        <v>45</v>
      </c>
      <c r="H41">
        <v>1</v>
      </c>
      <c r="I41">
        <v>0</v>
      </c>
      <c r="J41" t="s">
        <v>42</v>
      </c>
      <c r="K41" t="s">
        <v>42</v>
      </c>
      <c r="L41" t="s">
        <v>42</v>
      </c>
      <c r="M41" t="s">
        <v>42</v>
      </c>
      <c r="N41" t="s">
        <v>43</v>
      </c>
      <c r="O41">
        <v>4</v>
      </c>
      <c r="P41">
        <v>3</v>
      </c>
      <c r="Q41">
        <v>1</v>
      </c>
      <c r="R41">
        <v>1</v>
      </c>
      <c r="S41">
        <v>1</v>
      </c>
      <c r="T41">
        <f t="shared" si="0"/>
        <v>2</v>
      </c>
      <c r="U41" t="str" cm="1">
        <f t="array" ref="U41">_xlfn.IFS(T41&lt;3, "low", AND(T41&gt;=3, T41&lt;5), "med", T41&gt;=5, "high")</f>
        <v>low</v>
      </c>
      <c r="V41">
        <v>8</v>
      </c>
      <c r="W41" t="str" cm="1">
        <f t="array" ref="W41">_xlfn.IFS(V41&lt;5, "low", AND(V41&gt;=5, V41&lt;10), "med", V41&gt;=10, "high")</f>
        <v>med</v>
      </c>
      <c r="X41">
        <v>14</v>
      </c>
      <c r="Y41">
        <v>13</v>
      </c>
      <c r="Z41">
        <v>13</v>
      </c>
      <c r="AA41">
        <f t="shared" si="1"/>
        <v>1</v>
      </c>
      <c r="AB41">
        <f t="shared" si="2"/>
        <v>0</v>
      </c>
      <c r="AC41">
        <f t="shared" si="3"/>
        <v>1</v>
      </c>
      <c r="AD41" s="1">
        <f t="shared" si="4"/>
        <v>13.333333333333334</v>
      </c>
    </row>
    <row r="42" spans="1:30" x14ac:dyDescent="0.35">
      <c r="A42" t="s">
        <v>34</v>
      </c>
      <c r="B42">
        <v>16</v>
      </c>
      <c r="C42" t="s">
        <v>35</v>
      </c>
      <c r="D42" t="s">
        <v>47</v>
      </c>
      <c r="E42" t="s">
        <v>44</v>
      </c>
      <c r="F42" t="s">
        <v>45</v>
      </c>
      <c r="G42" t="s">
        <v>45</v>
      </c>
      <c r="H42">
        <v>2</v>
      </c>
      <c r="I42">
        <v>1</v>
      </c>
      <c r="J42" t="s">
        <v>43</v>
      </c>
      <c r="K42" t="s">
        <v>42</v>
      </c>
      <c r="L42" t="s">
        <v>43</v>
      </c>
      <c r="M42" t="s">
        <v>42</v>
      </c>
      <c r="N42" t="s">
        <v>42</v>
      </c>
      <c r="O42">
        <v>3</v>
      </c>
      <c r="P42">
        <v>3</v>
      </c>
      <c r="Q42">
        <v>3</v>
      </c>
      <c r="R42">
        <v>1</v>
      </c>
      <c r="S42">
        <v>2</v>
      </c>
      <c r="T42">
        <f t="shared" si="0"/>
        <v>3</v>
      </c>
      <c r="U42" t="str" cm="1">
        <f t="array" ref="U42">_xlfn.IFS(T42&lt;3, "low", AND(T42&gt;=3, T42&lt;5), "med", T42&gt;=5, "high")</f>
        <v>med</v>
      </c>
      <c r="V42">
        <v>25</v>
      </c>
      <c r="W42" t="str" cm="1">
        <f t="array" ref="W42">_xlfn.IFS(V42&lt;5, "low", AND(V42&gt;=5, V42&lt;10), "med", V42&gt;=10, "high")</f>
        <v>high</v>
      </c>
      <c r="X42">
        <v>7</v>
      </c>
      <c r="Y42">
        <v>10</v>
      </c>
      <c r="Z42">
        <v>11</v>
      </c>
      <c r="AA42">
        <f t="shared" si="1"/>
        <v>0</v>
      </c>
      <c r="AB42">
        <f t="shared" si="2"/>
        <v>0</v>
      </c>
      <c r="AC42">
        <f t="shared" si="3"/>
        <v>0</v>
      </c>
      <c r="AD42" s="1">
        <f t="shared" si="4"/>
        <v>9.3333333333333339</v>
      </c>
    </row>
    <row r="43" spans="1:30" x14ac:dyDescent="0.35">
      <c r="A43" t="s">
        <v>50</v>
      </c>
      <c r="B43">
        <v>15</v>
      </c>
      <c r="C43" t="s">
        <v>35</v>
      </c>
      <c r="D43" t="s">
        <v>47</v>
      </c>
      <c r="E43" t="s">
        <v>44</v>
      </c>
      <c r="F43" t="s">
        <v>39</v>
      </c>
      <c r="G43" t="s">
        <v>45</v>
      </c>
      <c r="H43">
        <v>1</v>
      </c>
      <c r="I43">
        <v>0</v>
      </c>
      <c r="J43" t="s">
        <v>43</v>
      </c>
      <c r="K43" t="s">
        <v>42</v>
      </c>
      <c r="L43" t="s">
        <v>43</v>
      </c>
      <c r="M43" t="s">
        <v>43</v>
      </c>
      <c r="N43" t="s">
        <v>42</v>
      </c>
      <c r="O43">
        <v>5</v>
      </c>
      <c r="P43">
        <v>4</v>
      </c>
      <c r="Q43">
        <v>3</v>
      </c>
      <c r="R43">
        <v>2</v>
      </c>
      <c r="S43">
        <v>4</v>
      </c>
      <c r="T43">
        <f t="shared" si="0"/>
        <v>6</v>
      </c>
      <c r="U43" t="str" cm="1">
        <f t="array" ref="U43">_xlfn.IFS(T43&lt;3, "low", AND(T43&gt;=3, T43&lt;5), "med", T43&gt;=5, "high")</f>
        <v>high</v>
      </c>
      <c r="V43">
        <v>8</v>
      </c>
      <c r="W43" t="str" cm="1">
        <f t="array" ref="W43">_xlfn.IFS(V43&lt;5, "low", AND(V43&gt;=5, V43&lt;10), "med", V43&gt;=10, "high")</f>
        <v>med</v>
      </c>
      <c r="X43">
        <v>12</v>
      </c>
      <c r="Y43">
        <v>12</v>
      </c>
      <c r="Z43">
        <v>12</v>
      </c>
      <c r="AA43">
        <f t="shared" si="1"/>
        <v>0</v>
      </c>
      <c r="AB43">
        <f t="shared" si="2"/>
        <v>0</v>
      </c>
      <c r="AC43">
        <f t="shared" si="3"/>
        <v>0</v>
      </c>
      <c r="AD43" s="1">
        <f t="shared" si="4"/>
        <v>12</v>
      </c>
    </row>
    <row r="44" spans="1:30" x14ac:dyDescent="0.35">
      <c r="A44" t="s">
        <v>50</v>
      </c>
      <c r="B44">
        <v>15</v>
      </c>
      <c r="C44" t="s">
        <v>35</v>
      </c>
      <c r="D44" t="s">
        <v>36</v>
      </c>
      <c r="E44" t="s">
        <v>44</v>
      </c>
      <c r="F44" t="s">
        <v>48</v>
      </c>
      <c r="G44" t="s">
        <v>39</v>
      </c>
      <c r="H44">
        <v>2</v>
      </c>
      <c r="I44">
        <v>0</v>
      </c>
      <c r="J44" t="s">
        <v>43</v>
      </c>
      <c r="K44" t="s">
        <v>42</v>
      </c>
      <c r="L44" t="s">
        <v>43</v>
      </c>
      <c r="M44" t="s">
        <v>42</v>
      </c>
      <c r="N44" t="s">
        <v>43</v>
      </c>
      <c r="O44">
        <v>4</v>
      </c>
      <c r="P44">
        <v>3</v>
      </c>
      <c r="Q44">
        <v>3</v>
      </c>
      <c r="R44">
        <v>1</v>
      </c>
      <c r="S44">
        <v>1</v>
      </c>
      <c r="T44">
        <f t="shared" si="0"/>
        <v>2</v>
      </c>
      <c r="U44" t="str" cm="1">
        <f t="array" ref="U44">_xlfn.IFS(T44&lt;3, "low", AND(T44&gt;=3, T44&lt;5), "med", T44&gt;=5, "high")</f>
        <v>low</v>
      </c>
      <c r="V44">
        <v>2</v>
      </c>
      <c r="W44" t="str" cm="1">
        <f t="array" ref="W44">_xlfn.IFS(V44&lt;5, "low", AND(V44&gt;=5, V44&lt;10), "med", V44&gt;=10, "high")</f>
        <v>low</v>
      </c>
      <c r="X44">
        <v>19</v>
      </c>
      <c r="Y44">
        <v>18</v>
      </c>
      <c r="Z44">
        <v>18</v>
      </c>
      <c r="AA44">
        <f t="shared" si="1"/>
        <v>1</v>
      </c>
      <c r="AB44">
        <f t="shared" si="2"/>
        <v>0</v>
      </c>
      <c r="AC44">
        <f t="shared" si="3"/>
        <v>1</v>
      </c>
      <c r="AD44" s="1">
        <f t="shared" si="4"/>
        <v>18.333333333333332</v>
      </c>
    </row>
    <row r="45" spans="1:30" x14ac:dyDescent="0.35">
      <c r="A45" t="s">
        <v>50</v>
      </c>
      <c r="B45">
        <v>15</v>
      </c>
      <c r="C45" t="s">
        <v>35</v>
      </c>
      <c r="D45" t="s">
        <v>36</v>
      </c>
      <c r="E45" t="s">
        <v>44</v>
      </c>
      <c r="F45" t="s">
        <v>48</v>
      </c>
      <c r="G45" t="s">
        <v>48</v>
      </c>
      <c r="H45">
        <v>1</v>
      </c>
      <c r="I45">
        <v>0</v>
      </c>
      <c r="J45" t="s">
        <v>42</v>
      </c>
      <c r="K45" t="s">
        <v>42</v>
      </c>
      <c r="L45" t="s">
        <v>43</v>
      </c>
      <c r="M45" t="s">
        <v>43</v>
      </c>
      <c r="N45" t="s">
        <v>43</v>
      </c>
      <c r="O45">
        <v>5</v>
      </c>
      <c r="P45">
        <v>4</v>
      </c>
      <c r="Q45">
        <v>1</v>
      </c>
      <c r="R45">
        <v>1</v>
      </c>
      <c r="S45">
        <v>1</v>
      </c>
      <c r="T45">
        <f t="shared" si="0"/>
        <v>2</v>
      </c>
      <c r="U45" t="str" cm="1">
        <f t="array" ref="U45">_xlfn.IFS(T45&lt;3, "low", AND(T45&gt;=3, T45&lt;5), "med", T45&gt;=5, "high")</f>
        <v>low</v>
      </c>
      <c r="V45">
        <v>0</v>
      </c>
      <c r="W45" t="str" cm="1">
        <f t="array" ref="W45">_xlfn.IFS(V45&lt;5, "low", AND(V45&gt;=5, V45&lt;10), "med", V45&gt;=10, "high")</f>
        <v>low</v>
      </c>
      <c r="X45">
        <v>8</v>
      </c>
      <c r="Y45">
        <v>8</v>
      </c>
      <c r="Z45">
        <v>11</v>
      </c>
      <c r="AA45">
        <f t="shared" si="1"/>
        <v>0</v>
      </c>
      <c r="AB45">
        <f t="shared" si="2"/>
        <v>0</v>
      </c>
      <c r="AC45">
        <f t="shared" si="3"/>
        <v>0</v>
      </c>
      <c r="AD45" s="1">
        <f t="shared" si="4"/>
        <v>9</v>
      </c>
    </row>
    <row r="46" spans="1:30" x14ac:dyDescent="0.35">
      <c r="A46" t="s">
        <v>34</v>
      </c>
      <c r="B46">
        <v>16</v>
      </c>
      <c r="C46" t="s">
        <v>35</v>
      </c>
      <c r="D46" t="s">
        <v>47</v>
      </c>
      <c r="E46" t="s">
        <v>44</v>
      </c>
      <c r="F46" t="s">
        <v>45</v>
      </c>
      <c r="G46" t="s">
        <v>38</v>
      </c>
      <c r="H46">
        <v>2</v>
      </c>
      <c r="I46">
        <v>1</v>
      </c>
      <c r="J46" t="s">
        <v>42</v>
      </c>
      <c r="K46" t="s">
        <v>43</v>
      </c>
      <c r="L46" t="s">
        <v>43</v>
      </c>
      <c r="M46" t="s">
        <v>42</v>
      </c>
      <c r="N46" t="s">
        <v>43</v>
      </c>
      <c r="O46">
        <v>4</v>
      </c>
      <c r="P46">
        <v>3</v>
      </c>
      <c r="Q46">
        <v>3</v>
      </c>
      <c r="R46">
        <v>2</v>
      </c>
      <c r="S46">
        <v>2</v>
      </c>
      <c r="T46">
        <f t="shared" si="0"/>
        <v>4</v>
      </c>
      <c r="U46" t="str" cm="1">
        <f t="array" ref="U46">_xlfn.IFS(T46&lt;3, "low", AND(T46&gt;=3, T46&lt;5), "med", T46&gt;=5, "high")</f>
        <v>med</v>
      </c>
      <c r="V46">
        <v>14</v>
      </c>
      <c r="W46" t="str" cm="1">
        <f t="array" ref="W46">_xlfn.IFS(V46&lt;5, "low", AND(V46&gt;=5, V46&lt;10), "med", V46&gt;=10, "high")</f>
        <v>high</v>
      </c>
      <c r="X46">
        <v>10</v>
      </c>
      <c r="Y46">
        <v>10</v>
      </c>
      <c r="Z46">
        <v>9</v>
      </c>
      <c r="AA46">
        <f t="shared" si="1"/>
        <v>0</v>
      </c>
      <c r="AB46">
        <f t="shared" si="2"/>
        <v>1</v>
      </c>
      <c r="AC46">
        <f t="shared" si="3"/>
        <v>1</v>
      </c>
      <c r="AD46" s="1">
        <f t="shared" si="4"/>
        <v>9.6666666666666661</v>
      </c>
    </row>
    <row r="47" spans="1:30" x14ac:dyDescent="0.35">
      <c r="A47" t="s">
        <v>34</v>
      </c>
      <c r="B47">
        <v>15</v>
      </c>
      <c r="C47" t="s">
        <v>35</v>
      </c>
      <c r="D47" t="s">
        <v>47</v>
      </c>
      <c r="E47" t="s">
        <v>37</v>
      </c>
      <c r="F47" t="s">
        <v>45</v>
      </c>
      <c r="G47" t="s">
        <v>45</v>
      </c>
      <c r="H47">
        <v>2</v>
      </c>
      <c r="I47">
        <v>0</v>
      </c>
      <c r="J47" t="s">
        <v>42</v>
      </c>
      <c r="K47" t="s">
        <v>42</v>
      </c>
      <c r="L47" t="s">
        <v>42</v>
      </c>
      <c r="M47" t="s">
        <v>42</v>
      </c>
      <c r="N47" t="s">
        <v>42</v>
      </c>
      <c r="O47">
        <v>5</v>
      </c>
      <c r="P47">
        <v>2</v>
      </c>
      <c r="Q47">
        <v>2</v>
      </c>
      <c r="R47">
        <v>1</v>
      </c>
      <c r="S47">
        <v>1</v>
      </c>
      <c r="T47">
        <f t="shared" si="0"/>
        <v>2</v>
      </c>
      <c r="U47" t="str" cm="1">
        <f t="array" ref="U47">_xlfn.IFS(T47&lt;3, "low", AND(T47&gt;=3, T47&lt;5), "med", T47&gt;=5, "high")</f>
        <v>low</v>
      </c>
      <c r="V47">
        <v>8</v>
      </c>
      <c r="W47" t="str" cm="1">
        <f t="array" ref="W47">_xlfn.IFS(V47&lt;5, "low", AND(V47&gt;=5, V47&lt;10), "med", V47&gt;=10, "high")</f>
        <v>med</v>
      </c>
      <c r="X47">
        <v>8</v>
      </c>
      <c r="Y47">
        <v>8</v>
      </c>
      <c r="Z47">
        <v>6</v>
      </c>
      <c r="AA47">
        <f t="shared" si="1"/>
        <v>0</v>
      </c>
      <c r="AB47">
        <f t="shared" si="2"/>
        <v>1</v>
      </c>
      <c r="AC47">
        <f t="shared" si="3"/>
        <v>1</v>
      </c>
      <c r="AD47" s="1">
        <f t="shared" si="4"/>
        <v>7.333333333333333</v>
      </c>
    </row>
    <row r="48" spans="1:30" x14ac:dyDescent="0.35">
      <c r="A48" t="s">
        <v>34</v>
      </c>
      <c r="B48">
        <v>16</v>
      </c>
      <c r="C48" t="s">
        <v>35</v>
      </c>
      <c r="D48" t="s">
        <v>47</v>
      </c>
      <c r="E48" t="s">
        <v>37</v>
      </c>
      <c r="F48" t="s">
        <v>45</v>
      </c>
      <c r="G48" t="s">
        <v>48</v>
      </c>
      <c r="H48">
        <v>2</v>
      </c>
      <c r="I48">
        <v>0</v>
      </c>
      <c r="J48" t="s">
        <v>43</v>
      </c>
      <c r="K48" t="s">
        <v>42</v>
      </c>
      <c r="L48" t="s">
        <v>43</v>
      </c>
      <c r="M48" t="s">
        <v>43</v>
      </c>
      <c r="N48" t="s">
        <v>43</v>
      </c>
      <c r="O48">
        <v>2</v>
      </c>
      <c r="P48">
        <v>3</v>
      </c>
      <c r="Q48">
        <v>5</v>
      </c>
      <c r="R48">
        <v>1</v>
      </c>
      <c r="S48">
        <v>4</v>
      </c>
      <c r="T48">
        <f t="shared" si="0"/>
        <v>5</v>
      </c>
      <c r="U48" t="str" cm="1">
        <f t="array" ref="U48">_xlfn.IFS(T48&lt;3, "low", AND(T48&gt;=3, T48&lt;5), "med", T48&gt;=5, "high")</f>
        <v>high</v>
      </c>
      <c r="V48">
        <v>12</v>
      </c>
      <c r="W48" t="str" cm="1">
        <f t="array" ref="W48">_xlfn.IFS(V48&lt;5, "low", AND(V48&gt;=5, V48&lt;10), "med", V48&gt;=10, "high")</f>
        <v>high</v>
      </c>
      <c r="X48">
        <v>11</v>
      </c>
      <c r="Y48">
        <v>12</v>
      </c>
      <c r="Z48">
        <v>11</v>
      </c>
      <c r="AA48">
        <f t="shared" si="1"/>
        <v>0</v>
      </c>
      <c r="AB48">
        <f t="shared" si="2"/>
        <v>1</v>
      </c>
      <c r="AC48">
        <f t="shared" si="3"/>
        <v>1</v>
      </c>
      <c r="AD48" s="1">
        <f t="shared" si="4"/>
        <v>11.333333333333334</v>
      </c>
    </row>
    <row r="49" spans="1:30" x14ac:dyDescent="0.35">
      <c r="A49" t="s">
        <v>50</v>
      </c>
      <c r="B49">
        <v>16</v>
      </c>
      <c r="C49" t="s">
        <v>35</v>
      </c>
      <c r="D49" t="s">
        <v>36</v>
      </c>
      <c r="E49" t="s">
        <v>44</v>
      </c>
      <c r="F49" t="s">
        <v>28</v>
      </c>
      <c r="G49" t="s">
        <v>48</v>
      </c>
      <c r="H49">
        <v>4</v>
      </c>
      <c r="I49">
        <v>0</v>
      </c>
      <c r="J49" t="s">
        <v>43</v>
      </c>
      <c r="K49" t="s">
        <v>43</v>
      </c>
      <c r="L49" t="s">
        <v>43</v>
      </c>
      <c r="M49" t="s">
        <v>42</v>
      </c>
      <c r="N49" t="s">
        <v>43</v>
      </c>
      <c r="O49">
        <v>4</v>
      </c>
      <c r="P49">
        <v>2</v>
      </c>
      <c r="Q49">
        <v>2</v>
      </c>
      <c r="R49">
        <v>1</v>
      </c>
      <c r="S49">
        <v>1</v>
      </c>
      <c r="T49">
        <f t="shared" si="0"/>
        <v>2</v>
      </c>
      <c r="U49" t="str" cm="1">
        <f t="array" ref="U49">_xlfn.IFS(T49&lt;3, "low", AND(T49&gt;=3, T49&lt;5), "med", T49&gt;=5, "high")</f>
        <v>low</v>
      </c>
      <c r="V49">
        <v>4</v>
      </c>
      <c r="W49" t="str" cm="1">
        <f t="array" ref="W49">_xlfn.IFS(V49&lt;5, "low", AND(V49&gt;=5, V49&lt;10), "med", V49&gt;=10, "high")</f>
        <v>low</v>
      </c>
      <c r="X49">
        <v>19</v>
      </c>
      <c r="Y49">
        <v>19</v>
      </c>
      <c r="Z49">
        <v>20</v>
      </c>
      <c r="AA49">
        <f t="shared" si="1"/>
        <v>0</v>
      </c>
      <c r="AB49">
        <f t="shared" si="2"/>
        <v>0</v>
      </c>
      <c r="AC49">
        <f t="shared" si="3"/>
        <v>0</v>
      </c>
      <c r="AD49" s="1">
        <f t="shared" si="4"/>
        <v>19.333333333333332</v>
      </c>
    </row>
    <row r="50" spans="1:30" x14ac:dyDescent="0.35">
      <c r="A50" t="s">
        <v>50</v>
      </c>
      <c r="B50">
        <v>15</v>
      </c>
      <c r="C50" t="s">
        <v>35</v>
      </c>
      <c r="D50" t="s">
        <v>36</v>
      </c>
      <c r="E50" t="s">
        <v>44</v>
      </c>
      <c r="F50" t="s">
        <v>39</v>
      </c>
      <c r="G50" t="s">
        <v>45</v>
      </c>
      <c r="H50">
        <v>2</v>
      </c>
      <c r="I50">
        <v>0</v>
      </c>
      <c r="J50" t="s">
        <v>43</v>
      </c>
      <c r="K50" t="s">
        <v>42</v>
      </c>
      <c r="L50" t="s">
        <v>42</v>
      </c>
      <c r="M50" t="s">
        <v>43</v>
      </c>
      <c r="N50" t="s">
        <v>43</v>
      </c>
      <c r="O50">
        <v>4</v>
      </c>
      <c r="P50">
        <v>3</v>
      </c>
      <c r="Q50">
        <v>3</v>
      </c>
      <c r="R50">
        <v>2</v>
      </c>
      <c r="S50">
        <v>2</v>
      </c>
      <c r="T50">
        <f t="shared" si="0"/>
        <v>4</v>
      </c>
      <c r="U50" t="str" cm="1">
        <f t="array" ref="U50">_xlfn.IFS(T50&lt;3, "low", AND(T50&gt;=3, T50&lt;5), "med", T50&gt;=5, "high")</f>
        <v>med</v>
      </c>
      <c r="V50">
        <v>2</v>
      </c>
      <c r="W50" t="str" cm="1">
        <f t="array" ref="W50">_xlfn.IFS(V50&lt;5, "low", AND(V50&gt;=5, V50&lt;10), "med", V50&gt;=10, "high")</f>
        <v>low</v>
      </c>
      <c r="X50">
        <v>15</v>
      </c>
      <c r="Y50">
        <v>15</v>
      </c>
      <c r="Z50">
        <v>14</v>
      </c>
      <c r="AA50">
        <f t="shared" si="1"/>
        <v>0</v>
      </c>
      <c r="AB50">
        <f t="shared" si="2"/>
        <v>1</v>
      </c>
      <c r="AC50">
        <f t="shared" si="3"/>
        <v>1</v>
      </c>
      <c r="AD50" s="1">
        <f t="shared" si="4"/>
        <v>14.666666666666666</v>
      </c>
    </row>
    <row r="51" spans="1:30" x14ac:dyDescent="0.35">
      <c r="A51" t="s">
        <v>34</v>
      </c>
      <c r="B51">
        <v>15</v>
      </c>
      <c r="C51" t="s">
        <v>35</v>
      </c>
      <c r="D51" t="s">
        <v>36</v>
      </c>
      <c r="E51" t="s">
        <v>44</v>
      </c>
      <c r="F51" t="s">
        <v>48</v>
      </c>
      <c r="G51" t="s">
        <v>39</v>
      </c>
      <c r="H51">
        <v>2</v>
      </c>
      <c r="I51">
        <v>1</v>
      </c>
      <c r="J51" t="s">
        <v>42</v>
      </c>
      <c r="K51" t="s">
        <v>42</v>
      </c>
      <c r="L51" t="s">
        <v>43</v>
      </c>
      <c r="M51" t="s">
        <v>42</v>
      </c>
      <c r="N51" t="s">
        <v>43</v>
      </c>
      <c r="O51">
        <v>4</v>
      </c>
      <c r="P51">
        <v>4</v>
      </c>
      <c r="Q51">
        <v>4</v>
      </c>
      <c r="R51">
        <v>1</v>
      </c>
      <c r="S51">
        <v>1</v>
      </c>
      <c r="T51">
        <f t="shared" si="0"/>
        <v>2</v>
      </c>
      <c r="U51" t="str" cm="1">
        <f t="array" ref="U51">_xlfn.IFS(T51&lt;3, "low", AND(T51&gt;=3, T51&lt;5), "med", T51&gt;=5, "high")</f>
        <v>low</v>
      </c>
      <c r="V51">
        <v>2</v>
      </c>
      <c r="W51" t="str" cm="1">
        <f t="array" ref="W51">_xlfn.IFS(V51&lt;5, "low", AND(V51&gt;=5, V51&lt;10), "med", V51&gt;=10, "high")</f>
        <v>low</v>
      </c>
      <c r="X51">
        <v>7</v>
      </c>
      <c r="Y51">
        <v>7</v>
      </c>
      <c r="Z51">
        <v>7</v>
      </c>
      <c r="AA51">
        <f t="shared" si="1"/>
        <v>0</v>
      </c>
      <c r="AB51">
        <f t="shared" si="2"/>
        <v>0</v>
      </c>
      <c r="AC51">
        <f t="shared" si="3"/>
        <v>0</v>
      </c>
      <c r="AD51" s="1">
        <f t="shared" si="4"/>
        <v>7</v>
      </c>
    </row>
    <row r="52" spans="1:30" x14ac:dyDescent="0.35">
      <c r="A52" t="s">
        <v>34</v>
      </c>
      <c r="B52">
        <v>16</v>
      </c>
      <c r="C52" t="s">
        <v>35</v>
      </c>
      <c r="D52" t="s">
        <v>47</v>
      </c>
      <c r="E52" t="s">
        <v>44</v>
      </c>
      <c r="F52" t="s">
        <v>48</v>
      </c>
      <c r="G52" t="s">
        <v>48</v>
      </c>
      <c r="H52">
        <v>2</v>
      </c>
      <c r="I52">
        <v>0</v>
      </c>
      <c r="J52" t="s">
        <v>43</v>
      </c>
      <c r="K52" t="s">
        <v>42</v>
      </c>
      <c r="L52" t="s">
        <v>42</v>
      </c>
      <c r="M52" t="s">
        <v>43</v>
      </c>
      <c r="N52" t="s">
        <v>43</v>
      </c>
      <c r="O52">
        <v>4</v>
      </c>
      <c r="P52">
        <v>3</v>
      </c>
      <c r="Q52">
        <v>3</v>
      </c>
      <c r="R52">
        <v>2</v>
      </c>
      <c r="S52">
        <v>3</v>
      </c>
      <c r="T52">
        <f t="shared" si="0"/>
        <v>5</v>
      </c>
      <c r="U52" t="str" cm="1">
        <f t="array" ref="U52">_xlfn.IFS(T52&lt;3, "low", AND(T52&gt;=3, T52&lt;5), "med", T52&gt;=5, "high")</f>
        <v>high</v>
      </c>
      <c r="V52">
        <v>2</v>
      </c>
      <c r="W52" t="str" cm="1">
        <f t="array" ref="W52">_xlfn.IFS(V52&lt;5, "low", AND(V52&gt;=5, V52&lt;10), "med", V52&gt;=10, "high")</f>
        <v>low</v>
      </c>
      <c r="X52">
        <v>12</v>
      </c>
      <c r="Y52">
        <v>13</v>
      </c>
      <c r="Z52">
        <v>13</v>
      </c>
      <c r="AA52">
        <f t="shared" si="1"/>
        <v>0</v>
      </c>
      <c r="AB52">
        <f t="shared" si="2"/>
        <v>0</v>
      </c>
      <c r="AC52">
        <f t="shared" si="3"/>
        <v>0</v>
      </c>
      <c r="AD52" s="1">
        <f t="shared" si="4"/>
        <v>12.666666666666666</v>
      </c>
    </row>
    <row r="53" spans="1:30" x14ac:dyDescent="0.35">
      <c r="A53" t="s">
        <v>34</v>
      </c>
      <c r="B53">
        <v>15</v>
      </c>
      <c r="C53" t="s">
        <v>35</v>
      </c>
      <c r="D53" t="s">
        <v>47</v>
      </c>
      <c r="E53" t="s">
        <v>44</v>
      </c>
      <c r="F53" t="s">
        <v>28</v>
      </c>
      <c r="G53" t="s">
        <v>45</v>
      </c>
      <c r="H53">
        <v>2</v>
      </c>
      <c r="I53">
        <v>0</v>
      </c>
      <c r="J53" t="s">
        <v>43</v>
      </c>
      <c r="K53" t="s">
        <v>42</v>
      </c>
      <c r="L53" t="s">
        <v>42</v>
      </c>
      <c r="M53" t="s">
        <v>43</v>
      </c>
      <c r="N53" t="s">
        <v>43</v>
      </c>
      <c r="O53">
        <v>4</v>
      </c>
      <c r="P53">
        <v>3</v>
      </c>
      <c r="Q53">
        <v>3</v>
      </c>
      <c r="R53">
        <v>1</v>
      </c>
      <c r="S53">
        <v>1</v>
      </c>
      <c r="T53">
        <f t="shared" si="0"/>
        <v>2</v>
      </c>
      <c r="U53" t="str" cm="1">
        <f t="array" ref="U53">_xlfn.IFS(T53&lt;3, "low", AND(T53&gt;=3, T53&lt;5), "med", T53&gt;=5, "high")</f>
        <v>low</v>
      </c>
      <c r="V53">
        <v>2</v>
      </c>
      <c r="W53" t="str" cm="1">
        <f t="array" ref="W53">_xlfn.IFS(V53&lt;5, "low", AND(V53&gt;=5, V53&lt;10), "med", V53&gt;=10, "high")</f>
        <v>low</v>
      </c>
      <c r="X53">
        <v>11</v>
      </c>
      <c r="Y53">
        <v>13</v>
      </c>
      <c r="Z53">
        <v>13</v>
      </c>
      <c r="AA53">
        <f t="shared" si="1"/>
        <v>0</v>
      </c>
      <c r="AB53">
        <f t="shared" si="2"/>
        <v>0</v>
      </c>
      <c r="AC53">
        <f t="shared" si="3"/>
        <v>0</v>
      </c>
      <c r="AD53" s="1">
        <f t="shared" si="4"/>
        <v>12.333333333333334</v>
      </c>
    </row>
    <row r="54" spans="1:30" x14ac:dyDescent="0.35">
      <c r="A54" t="s">
        <v>50</v>
      </c>
      <c r="B54">
        <v>15</v>
      </c>
      <c r="C54" t="s">
        <v>35</v>
      </c>
      <c r="D54" t="s">
        <v>47</v>
      </c>
      <c r="E54" t="s">
        <v>37</v>
      </c>
      <c r="F54" t="s">
        <v>28</v>
      </c>
      <c r="G54" t="s">
        <v>28</v>
      </c>
      <c r="H54">
        <v>1</v>
      </c>
      <c r="I54">
        <v>1</v>
      </c>
      <c r="J54" t="s">
        <v>43</v>
      </c>
      <c r="K54" t="s">
        <v>43</v>
      </c>
      <c r="L54" t="s">
        <v>43</v>
      </c>
      <c r="M54" t="s">
        <v>43</v>
      </c>
      <c r="N54" t="s">
        <v>43</v>
      </c>
      <c r="O54">
        <v>5</v>
      </c>
      <c r="P54">
        <v>5</v>
      </c>
      <c r="Q54">
        <v>5</v>
      </c>
      <c r="R54">
        <v>3</v>
      </c>
      <c r="S54">
        <v>4</v>
      </c>
      <c r="T54">
        <f t="shared" si="0"/>
        <v>7</v>
      </c>
      <c r="U54" t="str" cm="1">
        <f t="array" ref="U54">_xlfn.IFS(T54&lt;3, "low", AND(T54&gt;=3, T54&lt;5), "med", T54&gt;=5, "high")</f>
        <v>high</v>
      </c>
      <c r="V54">
        <v>6</v>
      </c>
      <c r="W54" t="str" cm="1">
        <f t="array" ref="W54">_xlfn.IFS(V54&lt;5, "low", AND(V54&gt;=5, V54&lt;10), "med", V54&gt;=10, "high")</f>
        <v>med</v>
      </c>
      <c r="X54">
        <v>11</v>
      </c>
      <c r="Y54">
        <v>11</v>
      </c>
      <c r="Z54">
        <v>10</v>
      </c>
      <c r="AA54">
        <f t="shared" si="1"/>
        <v>0</v>
      </c>
      <c r="AB54">
        <f t="shared" si="2"/>
        <v>1</v>
      </c>
      <c r="AC54">
        <f t="shared" si="3"/>
        <v>1</v>
      </c>
      <c r="AD54" s="1">
        <f t="shared" si="4"/>
        <v>10.666666666666666</v>
      </c>
    </row>
    <row r="55" spans="1:30" x14ac:dyDescent="0.35">
      <c r="A55" t="s">
        <v>34</v>
      </c>
      <c r="B55">
        <v>15</v>
      </c>
      <c r="C55" t="s">
        <v>35</v>
      </c>
      <c r="D55" t="s">
        <v>36</v>
      </c>
      <c r="E55" t="s">
        <v>44</v>
      </c>
      <c r="F55" t="s">
        <v>48</v>
      </c>
      <c r="G55" t="s">
        <v>48</v>
      </c>
      <c r="H55">
        <v>1</v>
      </c>
      <c r="I55">
        <v>0</v>
      </c>
      <c r="J55" t="s">
        <v>42</v>
      </c>
      <c r="K55" t="s">
        <v>42</v>
      </c>
      <c r="L55" t="s">
        <v>42</v>
      </c>
      <c r="M55" t="s">
        <v>43</v>
      </c>
      <c r="N55" t="s">
        <v>43</v>
      </c>
      <c r="O55">
        <v>3</v>
      </c>
      <c r="P55">
        <v>3</v>
      </c>
      <c r="Q55">
        <v>4</v>
      </c>
      <c r="R55">
        <v>2</v>
      </c>
      <c r="S55">
        <v>3</v>
      </c>
      <c r="T55">
        <f t="shared" si="0"/>
        <v>5</v>
      </c>
      <c r="U55" t="str" cm="1">
        <f t="array" ref="U55">_xlfn.IFS(T55&lt;3, "low", AND(T55&gt;=3, T55&lt;5), "med", T55&gt;=5, "high")</f>
        <v>high</v>
      </c>
      <c r="V55">
        <v>0</v>
      </c>
      <c r="W55" t="str" cm="1">
        <f t="array" ref="W55">_xlfn.IFS(V55&lt;5, "low", AND(V55&gt;=5, V55&lt;10), "med", V55&gt;=10, "high")</f>
        <v>low</v>
      </c>
      <c r="X55">
        <v>8</v>
      </c>
      <c r="Y55">
        <v>10</v>
      </c>
      <c r="Z55">
        <v>11</v>
      </c>
      <c r="AA55">
        <f t="shared" si="1"/>
        <v>0</v>
      </c>
      <c r="AB55">
        <f t="shared" si="2"/>
        <v>0</v>
      </c>
      <c r="AC55">
        <f t="shared" si="3"/>
        <v>0</v>
      </c>
      <c r="AD55" s="1">
        <f t="shared" si="4"/>
        <v>9.6666666666666661</v>
      </c>
    </row>
    <row r="56" spans="1:30" x14ac:dyDescent="0.35">
      <c r="A56" t="s">
        <v>34</v>
      </c>
      <c r="B56">
        <v>15</v>
      </c>
      <c r="C56" t="s">
        <v>35</v>
      </c>
      <c r="D56" t="s">
        <v>47</v>
      </c>
      <c r="E56" t="s">
        <v>37</v>
      </c>
      <c r="F56" t="s">
        <v>45</v>
      </c>
      <c r="G56" t="s">
        <v>45</v>
      </c>
      <c r="H56">
        <v>1</v>
      </c>
      <c r="I56">
        <v>0</v>
      </c>
      <c r="J56" t="s">
        <v>43</v>
      </c>
      <c r="K56" t="s">
        <v>43</v>
      </c>
      <c r="L56" t="s">
        <v>42</v>
      </c>
      <c r="M56" t="s">
        <v>43</v>
      </c>
      <c r="N56" t="s">
        <v>43</v>
      </c>
      <c r="O56">
        <v>5</v>
      </c>
      <c r="P56">
        <v>3</v>
      </c>
      <c r="Q56">
        <v>4</v>
      </c>
      <c r="R56">
        <v>4</v>
      </c>
      <c r="S56">
        <v>4</v>
      </c>
      <c r="T56">
        <f t="shared" si="0"/>
        <v>8</v>
      </c>
      <c r="U56" t="str" cm="1">
        <f t="array" ref="U56">_xlfn.IFS(T56&lt;3, "low", AND(T56&gt;=3, T56&lt;5), "med", T56&gt;=5, "high")</f>
        <v>high</v>
      </c>
      <c r="V56">
        <v>6</v>
      </c>
      <c r="W56" t="str" cm="1">
        <f t="array" ref="W56">_xlfn.IFS(V56&lt;5, "low", AND(V56&gt;=5, V56&lt;10), "med", V56&gt;=10, "high")</f>
        <v>med</v>
      </c>
      <c r="X56">
        <v>10</v>
      </c>
      <c r="Y56">
        <v>13</v>
      </c>
      <c r="Z56">
        <v>13</v>
      </c>
      <c r="AA56">
        <f t="shared" si="1"/>
        <v>0</v>
      </c>
      <c r="AB56">
        <f t="shared" si="2"/>
        <v>0</v>
      </c>
      <c r="AC56">
        <f t="shared" si="3"/>
        <v>0</v>
      </c>
      <c r="AD56" s="1">
        <f t="shared" si="4"/>
        <v>12</v>
      </c>
    </row>
    <row r="57" spans="1:30" x14ac:dyDescent="0.35">
      <c r="A57" t="s">
        <v>34</v>
      </c>
      <c r="B57">
        <v>16</v>
      </c>
      <c r="C57" t="s">
        <v>35</v>
      </c>
      <c r="D57" t="s">
        <v>36</v>
      </c>
      <c r="E57" t="s">
        <v>37</v>
      </c>
      <c r="F57" t="s">
        <v>45</v>
      </c>
      <c r="G57" t="s">
        <v>45</v>
      </c>
      <c r="H57">
        <v>2</v>
      </c>
      <c r="I57">
        <v>0</v>
      </c>
      <c r="J57" t="s">
        <v>43</v>
      </c>
      <c r="K57" t="s">
        <v>43</v>
      </c>
      <c r="L57" t="s">
        <v>42</v>
      </c>
      <c r="M57" t="s">
        <v>42</v>
      </c>
      <c r="N57" t="s">
        <v>42</v>
      </c>
      <c r="O57">
        <v>5</v>
      </c>
      <c r="P57">
        <v>3</v>
      </c>
      <c r="Q57">
        <v>4</v>
      </c>
      <c r="R57">
        <v>1</v>
      </c>
      <c r="S57">
        <v>1</v>
      </c>
      <c r="T57">
        <f t="shared" si="0"/>
        <v>2</v>
      </c>
      <c r="U57" t="str" cm="1">
        <f t="array" ref="U57">_xlfn.IFS(T57&lt;3, "low", AND(T57&gt;=3, T57&lt;5), "med", T57&gt;=5, "high")</f>
        <v>low</v>
      </c>
      <c r="V57">
        <v>8</v>
      </c>
      <c r="W57" t="str" cm="1">
        <f t="array" ref="W57">_xlfn.IFS(V57&lt;5, "low", AND(V57&gt;=5, V57&lt;10), "med", V57&gt;=10, "high")</f>
        <v>med</v>
      </c>
      <c r="X57">
        <v>8</v>
      </c>
      <c r="Y57">
        <v>9</v>
      </c>
      <c r="Z57">
        <v>10</v>
      </c>
      <c r="AA57">
        <f t="shared" si="1"/>
        <v>0</v>
      </c>
      <c r="AB57">
        <f t="shared" si="2"/>
        <v>0</v>
      </c>
      <c r="AC57">
        <f t="shared" si="3"/>
        <v>0</v>
      </c>
      <c r="AD57" s="1">
        <f t="shared" si="4"/>
        <v>9</v>
      </c>
    </row>
    <row r="58" spans="1:30" x14ac:dyDescent="0.35">
      <c r="A58" t="s">
        <v>34</v>
      </c>
      <c r="B58">
        <v>15</v>
      </c>
      <c r="C58" t="s">
        <v>35</v>
      </c>
      <c r="D58" t="s">
        <v>36</v>
      </c>
      <c r="E58" t="s">
        <v>37</v>
      </c>
      <c r="F58" t="s">
        <v>48</v>
      </c>
      <c r="G58" t="s">
        <v>48</v>
      </c>
      <c r="H58">
        <v>2</v>
      </c>
      <c r="I58">
        <v>0</v>
      </c>
      <c r="J58" t="s">
        <v>43</v>
      </c>
      <c r="K58" t="s">
        <v>42</v>
      </c>
      <c r="L58" t="s">
        <v>42</v>
      </c>
      <c r="M58" t="s">
        <v>42</v>
      </c>
      <c r="N58" t="s">
        <v>43</v>
      </c>
      <c r="O58">
        <v>4</v>
      </c>
      <c r="P58">
        <v>3</v>
      </c>
      <c r="Q58">
        <v>2</v>
      </c>
      <c r="R58">
        <v>1</v>
      </c>
      <c r="S58">
        <v>1</v>
      </c>
      <c r="T58">
        <f t="shared" si="0"/>
        <v>2</v>
      </c>
      <c r="U58" t="str" cm="1">
        <f t="array" ref="U58">_xlfn.IFS(T58&lt;3, "low", AND(T58&gt;=3, T58&lt;5), "med", T58&gt;=5, "high")</f>
        <v>low</v>
      </c>
      <c r="V58">
        <v>0</v>
      </c>
      <c r="W58" t="str" cm="1">
        <f t="array" ref="W58">_xlfn.IFS(V58&lt;5, "low", AND(V58&gt;=5, V58&lt;10), "med", V58&gt;=10, "high")</f>
        <v>low</v>
      </c>
      <c r="X58">
        <v>14</v>
      </c>
      <c r="Y58">
        <v>15</v>
      </c>
      <c r="Z58">
        <v>15</v>
      </c>
      <c r="AA58">
        <f t="shared" si="1"/>
        <v>0</v>
      </c>
      <c r="AB58">
        <f t="shared" si="2"/>
        <v>0</v>
      </c>
      <c r="AC58">
        <f t="shared" si="3"/>
        <v>0</v>
      </c>
      <c r="AD58" s="1">
        <f t="shared" si="4"/>
        <v>14.666666666666666</v>
      </c>
    </row>
    <row r="59" spans="1:30" x14ac:dyDescent="0.35">
      <c r="A59" t="s">
        <v>50</v>
      </c>
      <c r="B59">
        <v>15</v>
      </c>
      <c r="C59" t="s">
        <v>35</v>
      </c>
      <c r="D59" t="s">
        <v>36</v>
      </c>
      <c r="E59" t="s">
        <v>44</v>
      </c>
      <c r="F59" t="s">
        <v>39</v>
      </c>
      <c r="G59" t="s">
        <v>28</v>
      </c>
      <c r="H59">
        <v>2</v>
      </c>
      <c r="I59">
        <v>0</v>
      </c>
      <c r="J59" t="s">
        <v>43</v>
      </c>
      <c r="K59" t="s">
        <v>42</v>
      </c>
      <c r="L59" t="s">
        <v>43</v>
      </c>
      <c r="M59" t="s">
        <v>42</v>
      </c>
      <c r="N59" t="s">
        <v>43</v>
      </c>
      <c r="O59">
        <v>3</v>
      </c>
      <c r="P59">
        <v>2</v>
      </c>
      <c r="Q59">
        <v>2</v>
      </c>
      <c r="R59">
        <v>1</v>
      </c>
      <c r="S59">
        <v>1</v>
      </c>
      <c r="T59">
        <f t="shared" si="0"/>
        <v>2</v>
      </c>
      <c r="U59" t="str" cm="1">
        <f t="array" ref="U59">_xlfn.IFS(T59&lt;3, "low", AND(T59&gt;=3, T59&lt;5), "med", T59&gt;=5, "high")</f>
        <v>low</v>
      </c>
      <c r="V59">
        <v>4</v>
      </c>
      <c r="W59" t="str" cm="1">
        <f t="array" ref="W59">_xlfn.IFS(V59&lt;5, "low", AND(V59&gt;=5, V59&lt;10), "med", V59&gt;=10, "high")</f>
        <v>low</v>
      </c>
      <c r="X59">
        <v>14</v>
      </c>
      <c r="Y59">
        <v>15</v>
      </c>
      <c r="Z59">
        <v>15</v>
      </c>
      <c r="AA59">
        <f t="shared" si="1"/>
        <v>0</v>
      </c>
      <c r="AB59">
        <f t="shared" si="2"/>
        <v>0</v>
      </c>
      <c r="AC59">
        <f t="shared" si="3"/>
        <v>0</v>
      </c>
      <c r="AD59" s="1">
        <f t="shared" si="4"/>
        <v>14.666666666666666</v>
      </c>
    </row>
    <row r="60" spans="1:30" x14ac:dyDescent="0.35">
      <c r="A60" t="s">
        <v>50</v>
      </c>
      <c r="B60">
        <v>15</v>
      </c>
      <c r="C60" t="s">
        <v>35</v>
      </c>
      <c r="D60" t="s">
        <v>47</v>
      </c>
      <c r="E60" t="s">
        <v>44</v>
      </c>
      <c r="F60" t="s">
        <v>45</v>
      </c>
      <c r="G60" t="s">
        <v>38</v>
      </c>
      <c r="H60">
        <v>2</v>
      </c>
      <c r="I60">
        <v>0</v>
      </c>
      <c r="J60" t="s">
        <v>42</v>
      </c>
      <c r="K60" t="s">
        <v>42</v>
      </c>
      <c r="L60" t="s">
        <v>43</v>
      </c>
      <c r="M60" t="s">
        <v>42</v>
      </c>
      <c r="N60" t="s">
        <v>43</v>
      </c>
      <c r="O60">
        <v>4</v>
      </c>
      <c r="P60">
        <v>3</v>
      </c>
      <c r="Q60">
        <v>2</v>
      </c>
      <c r="R60">
        <v>1</v>
      </c>
      <c r="S60">
        <v>1</v>
      </c>
      <c r="T60">
        <f t="shared" si="0"/>
        <v>2</v>
      </c>
      <c r="U60" t="str" cm="1">
        <f t="array" ref="U60">_xlfn.IFS(T60&lt;3, "low", AND(T60&gt;=3, T60&lt;5), "med", T60&gt;=5, "high")</f>
        <v>low</v>
      </c>
      <c r="V60">
        <v>2</v>
      </c>
      <c r="W60" t="str" cm="1">
        <f t="array" ref="W60">_xlfn.IFS(V60&lt;5, "low", AND(V60&gt;=5, V60&lt;10), "med", V60&gt;=10, "high")</f>
        <v>low</v>
      </c>
      <c r="X60">
        <v>9</v>
      </c>
      <c r="Y60">
        <v>10</v>
      </c>
      <c r="Z60">
        <v>9</v>
      </c>
      <c r="AA60">
        <f t="shared" si="1"/>
        <v>0</v>
      </c>
      <c r="AB60">
        <f t="shared" si="2"/>
        <v>1</v>
      </c>
      <c r="AC60">
        <f t="shared" si="3"/>
        <v>1</v>
      </c>
      <c r="AD60" s="1">
        <f t="shared" si="4"/>
        <v>9.3333333333333339</v>
      </c>
    </row>
    <row r="61" spans="1:30" x14ac:dyDescent="0.35">
      <c r="A61" t="s">
        <v>34</v>
      </c>
      <c r="B61">
        <v>16</v>
      </c>
      <c r="C61" t="s">
        <v>35</v>
      </c>
      <c r="D61" t="s">
        <v>36</v>
      </c>
      <c r="E61" t="s">
        <v>44</v>
      </c>
      <c r="F61" t="s">
        <v>48</v>
      </c>
      <c r="G61" t="s">
        <v>45</v>
      </c>
      <c r="H61">
        <v>2</v>
      </c>
      <c r="I61">
        <v>0</v>
      </c>
      <c r="J61" t="s">
        <v>43</v>
      </c>
      <c r="K61" t="s">
        <v>42</v>
      </c>
      <c r="L61" t="s">
        <v>43</v>
      </c>
      <c r="M61" t="s">
        <v>43</v>
      </c>
      <c r="N61" t="s">
        <v>43</v>
      </c>
      <c r="O61">
        <v>4</v>
      </c>
      <c r="P61">
        <v>2</v>
      </c>
      <c r="Q61">
        <v>3</v>
      </c>
      <c r="R61">
        <v>1</v>
      </c>
      <c r="S61">
        <v>1</v>
      </c>
      <c r="T61">
        <f t="shared" si="0"/>
        <v>2</v>
      </c>
      <c r="U61" t="str" cm="1">
        <f t="array" ref="U61">_xlfn.IFS(T61&lt;3, "low", AND(T61&gt;=3, T61&lt;5), "med", T61&gt;=5, "high")</f>
        <v>low</v>
      </c>
      <c r="V61">
        <v>2</v>
      </c>
      <c r="W61" t="str" cm="1">
        <f t="array" ref="W61">_xlfn.IFS(V61&lt;5, "low", AND(V61&gt;=5, V61&lt;10), "med", V61&gt;=10, "high")</f>
        <v>low</v>
      </c>
      <c r="X61">
        <v>15</v>
      </c>
      <c r="Y61">
        <v>16</v>
      </c>
      <c r="Z61">
        <v>16</v>
      </c>
      <c r="AA61">
        <f t="shared" si="1"/>
        <v>0</v>
      </c>
      <c r="AB61">
        <f t="shared" si="2"/>
        <v>0</v>
      </c>
      <c r="AC61">
        <f t="shared" si="3"/>
        <v>0</v>
      </c>
      <c r="AD61" s="1">
        <f t="shared" si="4"/>
        <v>15.666666666666666</v>
      </c>
    </row>
    <row r="62" spans="1:30" x14ac:dyDescent="0.35">
      <c r="A62" t="s">
        <v>34</v>
      </c>
      <c r="B62">
        <v>16</v>
      </c>
      <c r="C62" t="s">
        <v>52</v>
      </c>
      <c r="D62" t="s">
        <v>36</v>
      </c>
      <c r="E62" t="s">
        <v>44</v>
      </c>
      <c r="F62" t="s">
        <v>28</v>
      </c>
      <c r="G62" t="s">
        <v>39</v>
      </c>
      <c r="H62">
        <v>2</v>
      </c>
      <c r="I62">
        <v>0</v>
      </c>
      <c r="J62" t="s">
        <v>43</v>
      </c>
      <c r="K62" t="s">
        <v>42</v>
      </c>
      <c r="L62" t="s">
        <v>43</v>
      </c>
      <c r="M62" t="s">
        <v>42</v>
      </c>
      <c r="N62" t="s">
        <v>43</v>
      </c>
      <c r="O62">
        <v>2</v>
      </c>
      <c r="P62">
        <v>4</v>
      </c>
      <c r="Q62">
        <v>4</v>
      </c>
      <c r="R62">
        <v>2</v>
      </c>
      <c r="S62">
        <v>3</v>
      </c>
      <c r="T62">
        <f t="shared" si="0"/>
        <v>5</v>
      </c>
      <c r="U62" t="str" cm="1">
        <f t="array" ref="U62">_xlfn.IFS(T62&lt;3, "low", AND(T62&gt;=3, T62&lt;5), "med", T62&gt;=5, "high")</f>
        <v>high</v>
      </c>
      <c r="V62">
        <v>6</v>
      </c>
      <c r="W62" t="str" cm="1">
        <f t="array" ref="W62">_xlfn.IFS(V62&lt;5, "low", AND(V62&gt;=5, V62&lt;10), "med", V62&gt;=10, "high")</f>
        <v>med</v>
      </c>
      <c r="X62">
        <v>10</v>
      </c>
      <c r="Y62">
        <v>11</v>
      </c>
      <c r="Z62">
        <v>11</v>
      </c>
      <c r="AA62">
        <f t="shared" si="1"/>
        <v>0</v>
      </c>
      <c r="AB62">
        <f t="shared" si="2"/>
        <v>0</v>
      </c>
      <c r="AC62">
        <f t="shared" si="3"/>
        <v>0</v>
      </c>
      <c r="AD62" s="1">
        <f t="shared" si="4"/>
        <v>10.666666666666666</v>
      </c>
    </row>
    <row r="63" spans="1:30" x14ac:dyDescent="0.35">
      <c r="A63" t="s">
        <v>34</v>
      </c>
      <c r="B63">
        <v>16</v>
      </c>
      <c r="C63" t="s">
        <v>35</v>
      </c>
      <c r="D63" t="s">
        <v>36</v>
      </c>
      <c r="E63" t="s">
        <v>44</v>
      </c>
      <c r="F63" t="s">
        <v>48</v>
      </c>
      <c r="G63" t="s">
        <v>48</v>
      </c>
      <c r="H63">
        <v>1</v>
      </c>
      <c r="I63">
        <v>0</v>
      </c>
      <c r="J63" t="s">
        <v>42</v>
      </c>
      <c r="K63" t="s">
        <v>42</v>
      </c>
      <c r="L63" t="s">
        <v>43</v>
      </c>
      <c r="M63" t="s">
        <v>42</v>
      </c>
      <c r="N63" t="s">
        <v>42</v>
      </c>
      <c r="O63">
        <v>5</v>
      </c>
      <c r="P63">
        <v>5</v>
      </c>
      <c r="Q63">
        <v>5</v>
      </c>
      <c r="R63">
        <v>5</v>
      </c>
      <c r="S63">
        <v>5</v>
      </c>
      <c r="T63">
        <f t="shared" si="0"/>
        <v>10</v>
      </c>
      <c r="U63" t="str" cm="1">
        <f t="array" ref="U63">_xlfn.IFS(T63&lt;3, "low", AND(T63&gt;=3, T63&lt;5), "med", T63&gt;=5, "high")</f>
        <v>high</v>
      </c>
      <c r="V63">
        <v>6</v>
      </c>
      <c r="W63" t="str" cm="1">
        <f t="array" ref="W63">_xlfn.IFS(V63&lt;5, "low", AND(V63&gt;=5, V63&lt;10), "med", V63&gt;=10, "high")</f>
        <v>med</v>
      </c>
      <c r="X63">
        <v>10</v>
      </c>
      <c r="Y63">
        <v>8</v>
      </c>
      <c r="Z63">
        <v>11</v>
      </c>
      <c r="AA63">
        <f t="shared" si="1"/>
        <v>1</v>
      </c>
      <c r="AB63">
        <f t="shared" si="2"/>
        <v>0</v>
      </c>
      <c r="AC63">
        <f t="shared" si="3"/>
        <v>1</v>
      </c>
      <c r="AD63" s="1">
        <f t="shared" si="4"/>
        <v>9.6666666666666661</v>
      </c>
    </row>
    <row r="64" spans="1:30" x14ac:dyDescent="0.35">
      <c r="A64" t="s">
        <v>34</v>
      </c>
      <c r="B64">
        <v>16</v>
      </c>
      <c r="C64" t="s">
        <v>35</v>
      </c>
      <c r="D64" t="s">
        <v>47</v>
      </c>
      <c r="E64" t="s">
        <v>44</v>
      </c>
      <c r="F64" t="s">
        <v>45</v>
      </c>
      <c r="G64" t="s">
        <v>48</v>
      </c>
      <c r="H64">
        <v>2</v>
      </c>
      <c r="I64">
        <v>0</v>
      </c>
      <c r="J64" t="s">
        <v>42</v>
      </c>
      <c r="K64" t="s">
        <v>43</v>
      </c>
      <c r="L64" t="s">
        <v>43</v>
      </c>
      <c r="M64" t="s">
        <v>42</v>
      </c>
      <c r="N64" t="s">
        <v>43</v>
      </c>
      <c r="O64">
        <v>4</v>
      </c>
      <c r="P64">
        <v>4</v>
      </c>
      <c r="Q64">
        <v>3</v>
      </c>
      <c r="R64">
        <v>1</v>
      </c>
      <c r="S64">
        <v>1</v>
      </c>
      <c r="T64">
        <f t="shared" si="0"/>
        <v>2</v>
      </c>
      <c r="U64" t="str" cm="1">
        <f t="array" ref="U64">_xlfn.IFS(T64&lt;3, "low", AND(T64&gt;=3, T64&lt;5), "med", T64&gt;=5, "high")</f>
        <v>low</v>
      </c>
      <c r="V64">
        <v>4</v>
      </c>
      <c r="W64" t="str" cm="1">
        <f t="array" ref="W64">_xlfn.IFS(V64&lt;5, "low", AND(V64&gt;=5, V64&lt;10), "med", V64&gt;=10, "high")</f>
        <v>low</v>
      </c>
      <c r="X64">
        <v>8</v>
      </c>
      <c r="Y64">
        <v>10</v>
      </c>
      <c r="Z64">
        <v>9</v>
      </c>
      <c r="AA64">
        <f t="shared" si="1"/>
        <v>0</v>
      </c>
      <c r="AB64">
        <f t="shared" si="2"/>
        <v>1</v>
      </c>
      <c r="AC64">
        <f t="shared" si="3"/>
        <v>1</v>
      </c>
      <c r="AD64" s="1">
        <f t="shared" si="4"/>
        <v>9</v>
      </c>
    </row>
    <row r="65" spans="1:30" x14ac:dyDescent="0.35">
      <c r="A65" t="s">
        <v>34</v>
      </c>
      <c r="B65">
        <v>16</v>
      </c>
      <c r="C65" t="s">
        <v>35</v>
      </c>
      <c r="D65" t="s">
        <v>36</v>
      </c>
      <c r="E65" t="s">
        <v>44</v>
      </c>
      <c r="F65" t="s">
        <v>39</v>
      </c>
      <c r="G65" t="s">
        <v>28</v>
      </c>
      <c r="H65">
        <v>3</v>
      </c>
      <c r="I65">
        <v>0</v>
      </c>
      <c r="J65" t="s">
        <v>42</v>
      </c>
      <c r="K65" t="s">
        <v>42</v>
      </c>
      <c r="L65" t="s">
        <v>42</v>
      </c>
      <c r="M65" t="s">
        <v>42</v>
      </c>
      <c r="N65" t="s">
        <v>43</v>
      </c>
      <c r="O65">
        <v>3</v>
      </c>
      <c r="P65">
        <v>4</v>
      </c>
      <c r="Q65">
        <v>4</v>
      </c>
      <c r="R65">
        <v>2</v>
      </c>
      <c r="S65">
        <v>4</v>
      </c>
      <c r="T65">
        <f t="shared" si="0"/>
        <v>6</v>
      </c>
      <c r="U65" t="str" cm="1">
        <f t="array" ref="U65">_xlfn.IFS(T65&lt;3, "low", AND(T65&gt;=3, T65&lt;5), "med", T65&gt;=5, "high")</f>
        <v>high</v>
      </c>
      <c r="V65">
        <v>2</v>
      </c>
      <c r="W65" t="str" cm="1">
        <f t="array" ref="W65">_xlfn.IFS(V65&lt;5, "low", AND(V65&gt;=5, V65&lt;10), "med", V65&gt;=10, "high")</f>
        <v>low</v>
      </c>
      <c r="X65">
        <v>10</v>
      </c>
      <c r="Y65">
        <v>9</v>
      </c>
      <c r="Z65">
        <v>9</v>
      </c>
      <c r="AA65">
        <f t="shared" si="1"/>
        <v>1</v>
      </c>
      <c r="AB65">
        <f t="shared" si="2"/>
        <v>0</v>
      </c>
      <c r="AC65">
        <f t="shared" si="3"/>
        <v>1</v>
      </c>
      <c r="AD65" s="1">
        <f t="shared" si="4"/>
        <v>9.3333333333333339</v>
      </c>
    </row>
    <row r="66" spans="1:30" x14ac:dyDescent="0.35">
      <c r="A66" t="s">
        <v>34</v>
      </c>
      <c r="B66">
        <v>15</v>
      </c>
      <c r="C66" t="s">
        <v>35</v>
      </c>
      <c r="D66" t="s">
        <v>47</v>
      </c>
      <c r="E66" t="s">
        <v>44</v>
      </c>
      <c r="F66" t="s">
        <v>48</v>
      </c>
      <c r="G66" t="s">
        <v>48</v>
      </c>
      <c r="H66">
        <v>2</v>
      </c>
      <c r="I66">
        <v>0</v>
      </c>
      <c r="J66" t="s">
        <v>42</v>
      </c>
      <c r="K66" t="s">
        <v>43</v>
      </c>
      <c r="L66" t="s">
        <v>43</v>
      </c>
      <c r="M66" t="s">
        <v>42</v>
      </c>
      <c r="N66" t="s">
        <v>42</v>
      </c>
      <c r="O66">
        <v>4</v>
      </c>
      <c r="P66">
        <v>4</v>
      </c>
      <c r="Q66">
        <v>4</v>
      </c>
      <c r="R66">
        <v>2</v>
      </c>
      <c r="S66">
        <v>4</v>
      </c>
      <c r="T66">
        <f t="shared" si="0"/>
        <v>6</v>
      </c>
      <c r="U66" t="str" cm="1">
        <f t="array" ref="U66">_xlfn.IFS(T66&lt;3, "low", AND(T66&gt;=3, T66&lt;5), "med", T66&gt;=5, "high")</f>
        <v>high</v>
      </c>
      <c r="V66">
        <v>0</v>
      </c>
      <c r="W66" t="str" cm="1">
        <f t="array" ref="W66">_xlfn.IFS(V66&lt;5, "low", AND(V66&gt;=5, V66&lt;10), "med", V66&gt;=10, "high")</f>
        <v>low</v>
      </c>
      <c r="X66">
        <v>10</v>
      </c>
      <c r="Y66">
        <v>10</v>
      </c>
      <c r="Z66">
        <v>10</v>
      </c>
      <c r="AA66">
        <f t="shared" si="1"/>
        <v>0</v>
      </c>
      <c r="AB66">
        <f t="shared" si="2"/>
        <v>0</v>
      </c>
      <c r="AC66">
        <f t="shared" si="3"/>
        <v>0</v>
      </c>
      <c r="AD66" s="1">
        <f t="shared" si="4"/>
        <v>10</v>
      </c>
    </row>
    <row r="67" spans="1:30" x14ac:dyDescent="0.35">
      <c r="A67" t="s">
        <v>34</v>
      </c>
      <c r="B67">
        <v>16</v>
      </c>
      <c r="C67" t="s">
        <v>35</v>
      </c>
      <c r="D67" t="s">
        <v>47</v>
      </c>
      <c r="E67" t="s">
        <v>44</v>
      </c>
      <c r="F67" t="s">
        <v>39</v>
      </c>
      <c r="G67" t="s">
        <v>48</v>
      </c>
      <c r="H67">
        <v>2</v>
      </c>
      <c r="I67">
        <v>0</v>
      </c>
      <c r="J67" t="s">
        <v>43</v>
      </c>
      <c r="K67" t="s">
        <v>42</v>
      </c>
      <c r="L67" t="s">
        <v>43</v>
      </c>
      <c r="M67" t="s">
        <v>42</v>
      </c>
      <c r="N67" t="s">
        <v>43</v>
      </c>
      <c r="O67">
        <v>5</v>
      </c>
      <c r="P67">
        <v>4</v>
      </c>
      <c r="Q67">
        <v>3</v>
      </c>
      <c r="R67">
        <v>1</v>
      </c>
      <c r="S67">
        <v>2</v>
      </c>
      <c r="T67">
        <f t="shared" ref="T67:T130" si="5">R67+S67</f>
        <v>3</v>
      </c>
      <c r="U67" t="str" cm="1">
        <f t="array" ref="U67">_xlfn.IFS(T67&lt;3, "low", AND(T67&gt;=3, T67&lt;5), "med", T67&gt;=5, "high")</f>
        <v>med</v>
      </c>
      <c r="V67">
        <v>2</v>
      </c>
      <c r="W67" t="str" cm="1">
        <f t="array" ref="W67">_xlfn.IFS(V67&lt;5, "low", AND(V67&gt;=5, V67&lt;10), "med", V67&gt;=10, "high")</f>
        <v>low</v>
      </c>
      <c r="X67">
        <v>16</v>
      </c>
      <c r="Y67">
        <v>15</v>
      </c>
      <c r="Z67">
        <v>15</v>
      </c>
      <c r="AA67">
        <f t="shared" ref="AA67:AA130" si="6">IF(Y67&lt;X67,1,0)</f>
        <v>1</v>
      </c>
      <c r="AB67">
        <f t="shared" ref="AB67:AB130" si="7">IF(Z67&lt;Y67,1,0)</f>
        <v>0</v>
      </c>
      <c r="AC67">
        <f t="shared" ref="AC67:AC130" si="8">SUM(AA67:AB67)</f>
        <v>1</v>
      </c>
      <c r="AD67" s="1">
        <f t="shared" ref="AD67:AD130" si="9">AVERAGE(X67:Z67)</f>
        <v>15.333333333333334</v>
      </c>
    </row>
    <row r="68" spans="1:30" x14ac:dyDescent="0.35">
      <c r="A68" t="s">
        <v>50</v>
      </c>
      <c r="B68">
        <v>15</v>
      </c>
      <c r="C68" t="s">
        <v>35</v>
      </c>
      <c r="D68" t="s">
        <v>36</v>
      </c>
      <c r="E68" t="s">
        <v>37</v>
      </c>
      <c r="F68" t="s">
        <v>45</v>
      </c>
      <c r="G68" t="s">
        <v>48</v>
      </c>
      <c r="H68">
        <v>4</v>
      </c>
      <c r="I68">
        <v>0</v>
      </c>
      <c r="J68" t="s">
        <v>43</v>
      </c>
      <c r="K68" t="s">
        <v>42</v>
      </c>
      <c r="L68" t="s">
        <v>43</v>
      </c>
      <c r="M68" t="s">
        <v>42</v>
      </c>
      <c r="N68" t="s">
        <v>42</v>
      </c>
      <c r="O68">
        <v>1</v>
      </c>
      <c r="P68">
        <v>3</v>
      </c>
      <c r="Q68">
        <v>3</v>
      </c>
      <c r="R68">
        <v>5</v>
      </c>
      <c r="S68">
        <v>5</v>
      </c>
      <c r="T68">
        <f t="shared" si="5"/>
        <v>10</v>
      </c>
      <c r="U68" t="str" cm="1">
        <f t="array" ref="U68">_xlfn.IFS(T68&lt;3, "low", AND(T68&gt;=3, T68&lt;5), "med", T68&gt;=5, "high")</f>
        <v>high</v>
      </c>
      <c r="V68">
        <v>4</v>
      </c>
      <c r="W68" t="str" cm="1">
        <f t="array" ref="W68">_xlfn.IFS(V68&lt;5, "low", AND(V68&gt;=5, V68&lt;10), "med", V68&gt;=10, "high")</f>
        <v>low</v>
      </c>
      <c r="X68">
        <v>13</v>
      </c>
      <c r="Y68">
        <v>13</v>
      </c>
      <c r="Z68">
        <v>12</v>
      </c>
      <c r="AA68">
        <f t="shared" si="6"/>
        <v>0</v>
      </c>
      <c r="AB68">
        <f t="shared" si="7"/>
        <v>1</v>
      </c>
      <c r="AC68">
        <f t="shared" si="8"/>
        <v>1</v>
      </c>
      <c r="AD68" s="1">
        <f t="shared" si="9"/>
        <v>12.666666666666666</v>
      </c>
    </row>
    <row r="69" spans="1:30" x14ac:dyDescent="0.35">
      <c r="A69" t="s">
        <v>34</v>
      </c>
      <c r="B69">
        <v>16</v>
      </c>
      <c r="C69" t="s">
        <v>35</v>
      </c>
      <c r="D69" t="s">
        <v>36</v>
      </c>
      <c r="E69" t="s">
        <v>44</v>
      </c>
      <c r="F69" t="s">
        <v>48</v>
      </c>
      <c r="G69" t="s">
        <v>45</v>
      </c>
      <c r="H69">
        <v>4</v>
      </c>
      <c r="I69">
        <v>0</v>
      </c>
      <c r="J69" t="s">
        <v>42</v>
      </c>
      <c r="K69" t="s">
        <v>42</v>
      </c>
      <c r="L69" t="s">
        <v>42</v>
      </c>
      <c r="M69" t="s">
        <v>43</v>
      </c>
      <c r="N69" t="s">
        <v>43</v>
      </c>
      <c r="O69">
        <v>4</v>
      </c>
      <c r="P69">
        <v>3</v>
      </c>
      <c r="Q69">
        <v>3</v>
      </c>
      <c r="R69">
        <v>1</v>
      </c>
      <c r="S69">
        <v>2</v>
      </c>
      <c r="T69">
        <f t="shared" si="5"/>
        <v>3</v>
      </c>
      <c r="U69" t="str" cm="1">
        <f t="array" ref="U69">_xlfn.IFS(T69&lt;3, "low", AND(T69&gt;=3, T69&lt;5), "med", T69&gt;=5, "high")</f>
        <v>med</v>
      </c>
      <c r="V69">
        <v>4</v>
      </c>
      <c r="W69" t="str" cm="1">
        <f t="array" ref="W69">_xlfn.IFS(V69&lt;5, "low", AND(V69&gt;=5, V69&lt;10), "med", V69&gt;=10, "high")</f>
        <v>low</v>
      </c>
      <c r="X69">
        <v>7</v>
      </c>
      <c r="Y69">
        <v>7</v>
      </c>
      <c r="Z69">
        <v>6</v>
      </c>
      <c r="AA69">
        <f t="shared" si="6"/>
        <v>0</v>
      </c>
      <c r="AB69">
        <f t="shared" si="7"/>
        <v>1</v>
      </c>
      <c r="AC69">
        <f t="shared" si="8"/>
        <v>1</v>
      </c>
      <c r="AD69" s="1">
        <f t="shared" si="9"/>
        <v>6.666666666666667</v>
      </c>
    </row>
    <row r="70" spans="1:30" x14ac:dyDescent="0.35">
      <c r="A70" t="s">
        <v>34</v>
      </c>
      <c r="B70">
        <v>15</v>
      </c>
      <c r="C70" t="s">
        <v>52</v>
      </c>
      <c r="D70" t="s">
        <v>47</v>
      </c>
      <c r="E70" t="s">
        <v>44</v>
      </c>
      <c r="F70" t="s">
        <v>28</v>
      </c>
      <c r="G70" t="s">
        <v>48</v>
      </c>
      <c r="H70">
        <v>2</v>
      </c>
      <c r="I70">
        <v>0</v>
      </c>
      <c r="J70" t="s">
        <v>42</v>
      </c>
      <c r="K70" t="s">
        <v>42</v>
      </c>
      <c r="L70" t="s">
        <v>42</v>
      </c>
      <c r="M70" t="s">
        <v>43</v>
      </c>
      <c r="N70" t="s">
        <v>43</v>
      </c>
      <c r="O70">
        <v>4</v>
      </c>
      <c r="P70">
        <v>1</v>
      </c>
      <c r="Q70">
        <v>3</v>
      </c>
      <c r="R70">
        <v>1</v>
      </c>
      <c r="S70">
        <v>3</v>
      </c>
      <c r="T70">
        <f t="shared" si="5"/>
        <v>4</v>
      </c>
      <c r="U70" t="str" cm="1">
        <f t="array" ref="U70">_xlfn.IFS(T70&lt;3, "low", AND(T70&gt;=3, T70&lt;5), "med", T70&gt;=5, "high")</f>
        <v>med</v>
      </c>
      <c r="V70">
        <v>2</v>
      </c>
      <c r="W70" t="str" cm="1">
        <f t="array" ref="W70">_xlfn.IFS(V70&lt;5, "low", AND(V70&gt;=5, V70&lt;10), "med", V70&gt;=10, "high")</f>
        <v>low</v>
      </c>
      <c r="X70">
        <v>8</v>
      </c>
      <c r="Y70">
        <v>9</v>
      </c>
      <c r="Z70">
        <v>8</v>
      </c>
      <c r="AA70">
        <f t="shared" si="6"/>
        <v>0</v>
      </c>
      <c r="AB70">
        <f t="shared" si="7"/>
        <v>1</v>
      </c>
      <c r="AC70">
        <f t="shared" si="8"/>
        <v>1</v>
      </c>
      <c r="AD70" s="1">
        <f t="shared" si="9"/>
        <v>8.3333333333333339</v>
      </c>
    </row>
    <row r="71" spans="1:30" x14ac:dyDescent="0.35">
      <c r="A71" t="s">
        <v>34</v>
      </c>
      <c r="B71">
        <v>15</v>
      </c>
      <c r="C71" t="s">
        <v>52</v>
      </c>
      <c r="D71" t="s">
        <v>47</v>
      </c>
      <c r="E71" t="s">
        <v>44</v>
      </c>
      <c r="F71" t="s">
        <v>45</v>
      </c>
      <c r="G71" t="s">
        <v>45</v>
      </c>
      <c r="H71">
        <v>4</v>
      </c>
      <c r="I71">
        <v>0</v>
      </c>
      <c r="J71" t="s">
        <v>43</v>
      </c>
      <c r="K71" t="s">
        <v>42</v>
      </c>
      <c r="L71" t="s">
        <v>43</v>
      </c>
      <c r="M71" t="s">
        <v>43</v>
      </c>
      <c r="N71" t="s">
        <v>43</v>
      </c>
      <c r="O71">
        <v>4</v>
      </c>
      <c r="P71">
        <v>4</v>
      </c>
      <c r="Q71">
        <v>2</v>
      </c>
      <c r="R71">
        <v>2</v>
      </c>
      <c r="S71">
        <v>3</v>
      </c>
      <c r="T71">
        <f t="shared" si="5"/>
        <v>5</v>
      </c>
      <c r="U71" t="str" cm="1">
        <f t="array" ref="U71">_xlfn.IFS(T71&lt;3, "low", AND(T71&gt;=3, T71&lt;5), "med", T71&gt;=5, "high")</f>
        <v>high</v>
      </c>
      <c r="V71">
        <v>12</v>
      </c>
      <c r="W71" t="str" cm="1">
        <f t="array" ref="W71">_xlfn.IFS(V71&lt;5, "low", AND(V71&gt;=5, V71&lt;10), "med", V71&gt;=10, "high")</f>
        <v>high</v>
      </c>
      <c r="X71">
        <v>16</v>
      </c>
      <c r="Y71">
        <v>16</v>
      </c>
      <c r="Z71">
        <v>16</v>
      </c>
      <c r="AA71">
        <f t="shared" si="6"/>
        <v>0</v>
      </c>
      <c r="AB71">
        <f t="shared" si="7"/>
        <v>0</v>
      </c>
      <c r="AC71">
        <f t="shared" si="8"/>
        <v>0</v>
      </c>
      <c r="AD71" s="1">
        <f t="shared" si="9"/>
        <v>16</v>
      </c>
    </row>
    <row r="72" spans="1:30" x14ac:dyDescent="0.35">
      <c r="A72" t="s">
        <v>50</v>
      </c>
      <c r="B72">
        <v>16</v>
      </c>
      <c r="C72" t="s">
        <v>35</v>
      </c>
      <c r="D72" t="s">
        <v>36</v>
      </c>
      <c r="E72" t="s">
        <v>44</v>
      </c>
      <c r="F72" t="s">
        <v>45</v>
      </c>
      <c r="G72" t="s">
        <v>45</v>
      </c>
      <c r="H72">
        <v>4</v>
      </c>
      <c r="I72">
        <v>0</v>
      </c>
      <c r="J72" t="s">
        <v>43</v>
      </c>
      <c r="K72" t="s">
        <v>42</v>
      </c>
      <c r="L72" t="s">
        <v>42</v>
      </c>
      <c r="M72" t="s">
        <v>43</v>
      </c>
      <c r="N72" t="s">
        <v>43</v>
      </c>
      <c r="O72">
        <v>4</v>
      </c>
      <c r="P72">
        <v>3</v>
      </c>
      <c r="Q72">
        <v>2</v>
      </c>
      <c r="R72">
        <v>1</v>
      </c>
      <c r="S72">
        <v>1</v>
      </c>
      <c r="T72">
        <f t="shared" si="5"/>
        <v>2</v>
      </c>
      <c r="U72" t="str" cm="1">
        <f t="array" ref="U72">_xlfn.IFS(T72&lt;3, "low", AND(T72&gt;=3, T72&lt;5), "med", T72&gt;=5, "high")</f>
        <v>low</v>
      </c>
      <c r="V72">
        <v>0</v>
      </c>
      <c r="W72" t="str" cm="1">
        <f t="array" ref="W72">_xlfn.IFS(V72&lt;5, "low", AND(V72&gt;=5, V72&lt;10), "med", V72&gt;=10, "high")</f>
        <v>low</v>
      </c>
      <c r="X72">
        <v>13</v>
      </c>
      <c r="Y72">
        <v>15</v>
      </c>
      <c r="Z72">
        <v>15</v>
      </c>
      <c r="AA72">
        <f t="shared" si="6"/>
        <v>0</v>
      </c>
      <c r="AB72">
        <f t="shared" si="7"/>
        <v>0</v>
      </c>
      <c r="AC72">
        <f t="shared" si="8"/>
        <v>0</v>
      </c>
      <c r="AD72" s="1">
        <f t="shared" si="9"/>
        <v>14.333333333333334</v>
      </c>
    </row>
    <row r="73" spans="1:30" x14ac:dyDescent="0.35">
      <c r="A73" t="s">
        <v>50</v>
      </c>
      <c r="B73">
        <v>15</v>
      </c>
      <c r="C73" t="s">
        <v>35</v>
      </c>
      <c r="D73" t="s">
        <v>36</v>
      </c>
      <c r="E73" t="s">
        <v>44</v>
      </c>
      <c r="F73" t="s">
        <v>45</v>
      </c>
      <c r="G73" t="s">
        <v>45</v>
      </c>
      <c r="H73">
        <v>4</v>
      </c>
      <c r="I73">
        <v>0</v>
      </c>
      <c r="J73" t="s">
        <v>43</v>
      </c>
      <c r="K73" t="s">
        <v>43</v>
      </c>
      <c r="L73" t="s">
        <v>43</v>
      </c>
      <c r="M73" t="s">
        <v>43</v>
      </c>
      <c r="N73" t="s">
        <v>43</v>
      </c>
      <c r="O73">
        <v>3</v>
      </c>
      <c r="P73">
        <v>3</v>
      </c>
      <c r="Q73">
        <v>3</v>
      </c>
      <c r="R73">
        <v>1</v>
      </c>
      <c r="S73">
        <v>1</v>
      </c>
      <c r="T73">
        <f t="shared" si="5"/>
        <v>2</v>
      </c>
      <c r="U73" t="str" cm="1">
        <f t="array" ref="U73">_xlfn.IFS(T73&lt;3, "low", AND(T73&gt;=3, T73&lt;5), "med", T73&gt;=5, "high")</f>
        <v>low</v>
      </c>
      <c r="V73">
        <v>0</v>
      </c>
      <c r="W73" t="str" cm="1">
        <f t="array" ref="W73">_xlfn.IFS(V73&lt;5, "low", AND(V73&gt;=5, V73&lt;10), "med", V73&gt;=10, "high")</f>
        <v>low</v>
      </c>
      <c r="X73">
        <v>10</v>
      </c>
      <c r="Y73">
        <v>10</v>
      </c>
      <c r="Z73">
        <v>10</v>
      </c>
      <c r="AA73">
        <f t="shared" si="6"/>
        <v>0</v>
      </c>
      <c r="AB73">
        <f t="shared" si="7"/>
        <v>0</v>
      </c>
      <c r="AC73">
        <f t="shared" si="8"/>
        <v>0</v>
      </c>
      <c r="AD73" s="1">
        <f t="shared" si="9"/>
        <v>10</v>
      </c>
    </row>
    <row r="74" spans="1:30" x14ac:dyDescent="0.35">
      <c r="A74" t="s">
        <v>34</v>
      </c>
      <c r="B74">
        <v>15</v>
      </c>
      <c r="C74" t="s">
        <v>52</v>
      </c>
      <c r="D74" t="s">
        <v>36</v>
      </c>
      <c r="E74" t="s">
        <v>44</v>
      </c>
      <c r="F74" t="s">
        <v>45</v>
      </c>
      <c r="G74" t="s">
        <v>45</v>
      </c>
      <c r="H74">
        <v>2</v>
      </c>
      <c r="I74">
        <v>2</v>
      </c>
      <c r="J74" t="s">
        <v>42</v>
      </c>
      <c r="K74" t="s">
        <v>42</v>
      </c>
      <c r="L74" t="s">
        <v>43</v>
      </c>
      <c r="M74" t="s">
        <v>43</v>
      </c>
      <c r="N74" t="s">
        <v>42</v>
      </c>
      <c r="O74">
        <v>3</v>
      </c>
      <c r="P74">
        <v>3</v>
      </c>
      <c r="Q74">
        <v>4</v>
      </c>
      <c r="R74">
        <v>2</v>
      </c>
      <c r="S74">
        <v>4</v>
      </c>
      <c r="T74">
        <f t="shared" si="5"/>
        <v>6</v>
      </c>
      <c r="U74" t="str" cm="1">
        <f t="array" ref="U74">_xlfn.IFS(T74&lt;3, "low", AND(T74&gt;=3, T74&lt;5), "med", T74&gt;=5, "high")</f>
        <v>high</v>
      </c>
      <c r="V74">
        <v>2</v>
      </c>
      <c r="W74" t="str" cm="1">
        <f t="array" ref="W74">_xlfn.IFS(V74&lt;5, "low", AND(V74&gt;=5, V74&lt;10), "med", V74&gt;=10, "high")</f>
        <v>low</v>
      </c>
      <c r="X74">
        <v>8</v>
      </c>
      <c r="Y74">
        <v>6</v>
      </c>
      <c r="Z74">
        <v>5</v>
      </c>
      <c r="AA74">
        <f t="shared" si="6"/>
        <v>1</v>
      </c>
      <c r="AB74">
        <f t="shared" si="7"/>
        <v>1</v>
      </c>
      <c r="AC74">
        <f t="shared" si="8"/>
        <v>2</v>
      </c>
      <c r="AD74" s="1">
        <f t="shared" si="9"/>
        <v>6.333333333333333</v>
      </c>
    </row>
    <row r="75" spans="1:30" x14ac:dyDescent="0.35">
      <c r="A75" t="s">
        <v>50</v>
      </c>
      <c r="B75">
        <v>16</v>
      </c>
      <c r="C75" t="s">
        <v>35</v>
      </c>
      <c r="D75" t="s">
        <v>36</v>
      </c>
      <c r="E75" t="s">
        <v>44</v>
      </c>
      <c r="F75" t="s">
        <v>45</v>
      </c>
      <c r="G75" t="s">
        <v>45</v>
      </c>
      <c r="H75">
        <v>1</v>
      </c>
      <c r="I75">
        <v>0</v>
      </c>
      <c r="J75" t="s">
        <v>43</v>
      </c>
      <c r="K75" t="s">
        <v>43</v>
      </c>
      <c r="L75" t="s">
        <v>43</v>
      </c>
      <c r="M75" t="s">
        <v>42</v>
      </c>
      <c r="N75" t="s">
        <v>43</v>
      </c>
      <c r="O75">
        <v>5</v>
      </c>
      <c r="P75">
        <v>3</v>
      </c>
      <c r="Q75">
        <v>2</v>
      </c>
      <c r="R75">
        <v>2</v>
      </c>
      <c r="S75">
        <v>2</v>
      </c>
      <c r="T75">
        <f t="shared" si="5"/>
        <v>4</v>
      </c>
      <c r="U75" t="str" cm="1">
        <f t="array" ref="U75">_xlfn.IFS(T75&lt;3, "low", AND(T75&gt;=3, T75&lt;5), "med", T75&gt;=5, "high")</f>
        <v>med</v>
      </c>
      <c r="V75">
        <v>2</v>
      </c>
      <c r="W75" t="str" cm="1">
        <f t="array" ref="W75">_xlfn.IFS(V75&lt;5, "low", AND(V75&gt;=5, V75&lt;10), "med", V75&gt;=10, "high")</f>
        <v>low</v>
      </c>
      <c r="X75">
        <v>12</v>
      </c>
      <c r="Y75">
        <v>12</v>
      </c>
      <c r="Z75">
        <v>14</v>
      </c>
      <c r="AA75">
        <f t="shared" si="6"/>
        <v>0</v>
      </c>
      <c r="AB75">
        <f t="shared" si="7"/>
        <v>0</v>
      </c>
      <c r="AC75">
        <f t="shared" si="8"/>
        <v>0</v>
      </c>
      <c r="AD75" s="1">
        <f t="shared" si="9"/>
        <v>12.666666666666666</v>
      </c>
    </row>
    <row r="76" spans="1:30" x14ac:dyDescent="0.35">
      <c r="A76" t="s">
        <v>34</v>
      </c>
      <c r="B76">
        <v>16</v>
      </c>
      <c r="C76" t="s">
        <v>35</v>
      </c>
      <c r="D76" t="s">
        <v>36</v>
      </c>
      <c r="E76" t="s">
        <v>44</v>
      </c>
      <c r="F76" t="s">
        <v>45</v>
      </c>
      <c r="G76" t="s">
        <v>48</v>
      </c>
      <c r="H76">
        <v>2</v>
      </c>
      <c r="I76">
        <v>0</v>
      </c>
      <c r="J76" t="s">
        <v>42</v>
      </c>
      <c r="K76" t="s">
        <v>42</v>
      </c>
      <c r="L76" t="s">
        <v>42</v>
      </c>
      <c r="M76" t="s">
        <v>42</v>
      </c>
      <c r="N76" t="s">
        <v>43</v>
      </c>
      <c r="O76">
        <v>4</v>
      </c>
      <c r="P76">
        <v>3</v>
      </c>
      <c r="Q76">
        <v>3</v>
      </c>
      <c r="R76">
        <v>2</v>
      </c>
      <c r="S76">
        <v>4</v>
      </c>
      <c r="T76">
        <f t="shared" si="5"/>
        <v>6</v>
      </c>
      <c r="U76" t="str" cm="1">
        <f t="array" ref="U76">_xlfn.IFS(T76&lt;3, "low", AND(T76&gt;=3, T76&lt;5), "med", T76&gt;=5, "high")</f>
        <v>high</v>
      </c>
      <c r="V76">
        <v>54</v>
      </c>
      <c r="W76" t="str" cm="1">
        <f t="array" ref="W76">_xlfn.IFS(V76&lt;5, "low", AND(V76&gt;=5, V76&lt;10), "med", V76&gt;=10, "high")</f>
        <v>high</v>
      </c>
      <c r="X76">
        <v>11</v>
      </c>
      <c r="Y76">
        <v>12</v>
      </c>
      <c r="Z76">
        <v>11</v>
      </c>
      <c r="AA76">
        <f t="shared" si="6"/>
        <v>0</v>
      </c>
      <c r="AB76">
        <f t="shared" si="7"/>
        <v>1</v>
      </c>
      <c r="AC76">
        <f t="shared" si="8"/>
        <v>1</v>
      </c>
      <c r="AD76" s="1">
        <f t="shared" si="9"/>
        <v>11.333333333333334</v>
      </c>
    </row>
    <row r="77" spans="1:30" x14ac:dyDescent="0.35">
      <c r="A77" t="s">
        <v>50</v>
      </c>
      <c r="B77">
        <v>15</v>
      </c>
      <c r="C77" t="s">
        <v>35</v>
      </c>
      <c r="D77" t="s">
        <v>36</v>
      </c>
      <c r="E77" t="s">
        <v>44</v>
      </c>
      <c r="F77" t="s">
        <v>39</v>
      </c>
      <c r="G77" t="s">
        <v>45</v>
      </c>
      <c r="H77">
        <v>2</v>
      </c>
      <c r="I77">
        <v>0</v>
      </c>
      <c r="J77" t="s">
        <v>43</v>
      </c>
      <c r="K77" t="s">
        <v>42</v>
      </c>
      <c r="L77" t="s">
        <v>42</v>
      </c>
      <c r="M77" t="s">
        <v>42</v>
      </c>
      <c r="N77" t="s">
        <v>43</v>
      </c>
      <c r="O77">
        <v>4</v>
      </c>
      <c r="P77">
        <v>3</v>
      </c>
      <c r="Q77">
        <v>3</v>
      </c>
      <c r="R77">
        <v>2</v>
      </c>
      <c r="S77">
        <v>3</v>
      </c>
      <c r="T77">
        <f t="shared" si="5"/>
        <v>5</v>
      </c>
      <c r="U77" t="str" cm="1">
        <f t="array" ref="U77">_xlfn.IFS(T77&lt;3, "low", AND(T77&gt;=3, T77&lt;5), "med", T77&gt;=5, "high")</f>
        <v>high</v>
      </c>
      <c r="V77">
        <v>6</v>
      </c>
      <c r="W77" t="str" cm="1">
        <f t="array" ref="W77">_xlfn.IFS(V77&lt;5, "low", AND(V77&gt;=5, V77&lt;10), "med", V77&gt;=10, "high")</f>
        <v>med</v>
      </c>
      <c r="X77">
        <v>9</v>
      </c>
      <c r="Y77">
        <v>9</v>
      </c>
      <c r="Z77">
        <v>10</v>
      </c>
      <c r="AA77">
        <f t="shared" si="6"/>
        <v>0</v>
      </c>
      <c r="AB77">
        <f t="shared" si="7"/>
        <v>0</v>
      </c>
      <c r="AC77">
        <f t="shared" si="8"/>
        <v>0</v>
      </c>
      <c r="AD77" s="1">
        <f t="shared" si="9"/>
        <v>9.3333333333333339</v>
      </c>
    </row>
    <row r="78" spans="1:30" x14ac:dyDescent="0.35">
      <c r="A78" t="s">
        <v>50</v>
      </c>
      <c r="B78">
        <v>15</v>
      </c>
      <c r="C78" t="s">
        <v>35</v>
      </c>
      <c r="D78" t="s">
        <v>36</v>
      </c>
      <c r="E78" t="s">
        <v>44</v>
      </c>
      <c r="F78" t="s">
        <v>39</v>
      </c>
      <c r="G78" t="s">
        <v>45</v>
      </c>
      <c r="H78">
        <v>4</v>
      </c>
      <c r="I78">
        <v>0</v>
      </c>
      <c r="J78" t="s">
        <v>43</v>
      </c>
      <c r="K78" t="s">
        <v>43</v>
      </c>
      <c r="L78" t="s">
        <v>43</v>
      </c>
      <c r="M78" t="s">
        <v>42</v>
      </c>
      <c r="N78" t="s">
        <v>43</v>
      </c>
      <c r="O78">
        <v>3</v>
      </c>
      <c r="P78">
        <v>4</v>
      </c>
      <c r="Q78">
        <v>3</v>
      </c>
      <c r="R78">
        <v>1</v>
      </c>
      <c r="S78">
        <v>1</v>
      </c>
      <c r="T78">
        <f t="shared" si="5"/>
        <v>2</v>
      </c>
      <c r="U78" t="str" cm="1">
        <f t="array" ref="U78">_xlfn.IFS(T78&lt;3, "low", AND(T78&gt;=3, T78&lt;5), "med", T78&gt;=5, "high")</f>
        <v>low</v>
      </c>
      <c r="V78">
        <v>8</v>
      </c>
      <c r="W78" t="str" cm="1">
        <f t="array" ref="W78">_xlfn.IFS(V78&lt;5, "low", AND(V78&gt;=5, V78&lt;10), "med", V78&gt;=10, "high")</f>
        <v>med</v>
      </c>
      <c r="X78">
        <v>11</v>
      </c>
      <c r="Y78">
        <v>11</v>
      </c>
      <c r="Z78">
        <v>10</v>
      </c>
      <c r="AA78">
        <f t="shared" si="6"/>
        <v>0</v>
      </c>
      <c r="AB78">
        <f t="shared" si="7"/>
        <v>1</v>
      </c>
      <c r="AC78">
        <f t="shared" si="8"/>
        <v>1</v>
      </c>
      <c r="AD78" s="1">
        <f t="shared" si="9"/>
        <v>10.666666666666666</v>
      </c>
    </row>
    <row r="79" spans="1:30" x14ac:dyDescent="0.35">
      <c r="A79" t="s">
        <v>34</v>
      </c>
      <c r="B79">
        <v>16</v>
      </c>
      <c r="C79" t="s">
        <v>35</v>
      </c>
      <c r="D79" t="s">
        <v>36</v>
      </c>
      <c r="E79" t="s">
        <v>44</v>
      </c>
      <c r="F79" t="s">
        <v>45</v>
      </c>
      <c r="G79" t="s">
        <v>45</v>
      </c>
      <c r="H79">
        <v>4</v>
      </c>
      <c r="I79">
        <v>0</v>
      </c>
      <c r="J79" t="s">
        <v>43</v>
      </c>
      <c r="K79" t="s">
        <v>43</v>
      </c>
      <c r="L79" t="s">
        <v>42</v>
      </c>
      <c r="M79" t="s">
        <v>43</v>
      </c>
      <c r="N79" t="s">
        <v>42</v>
      </c>
      <c r="O79">
        <v>5</v>
      </c>
      <c r="P79">
        <v>2</v>
      </c>
      <c r="Q79">
        <v>3</v>
      </c>
      <c r="R79">
        <v>1</v>
      </c>
      <c r="S79">
        <v>3</v>
      </c>
      <c r="T79">
        <f t="shared" si="5"/>
        <v>4</v>
      </c>
      <c r="U79" t="str" cm="1">
        <f t="array" ref="U79">_xlfn.IFS(T79&lt;3, "low", AND(T79&gt;=3, T79&lt;5), "med", T79&gt;=5, "high")</f>
        <v>med</v>
      </c>
      <c r="V79">
        <v>0</v>
      </c>
      <c r="W79" t="str" cm="1">
        <f t="array" ref="W79">_xlfn.IFS(V79&lt;5, "low", AND(V79&gt;=5, V79&lt;10), "med", V79&gt;=10, "high")</f>
        <v>low</v>
      </c>
      <c r="X79">
        <v>11</v>
      </c>
      <c r="Y79">
        <v>11</v>
      </c>
      <c r="Z79">
        <v>11</v>
      </c>
      <c r="AA79">
        <f t="shared" si="6"/>
        <v>0</v>
      </c>
      <c r="AB79">
        <f t="shared" si="7"/>
        <v>0</v>
      </c>
      <c r="AC79">
        <f t="shared" si="8"/>
        <v>0</v>
      </c>
      <c r="AD79" s="1">
        <f t="shared" si="9"/>
        <v>11</v>
      </c>
    </row>
    <row r="80" spans="1:30" x14ac:dyDescent="0.35">
      <c r="A80" t="s">
        <v>50</v>
      </c>
      <c r="B80">
        <v>17</v>
      </c>
      <c r="C80" t="s">
        <v>35</v>
      </c>
      <c r="D80" t="s">
        <v>36</v>
      </c>
      <c r="E80" t="s">
        <v>44</v>
      </c>
      <c r="F80" t="s">
        <v>45</v>
      </c>
      <c r="G80" t="s">
        <v>45</v>
      </c>
      <c r="H80">
        <v>1</v>
      </c>
      <c r="I80">
        <v>3</v>
      </c>
      <c r="J80" t="s">
        <v>42</v>
      </c>
      <c r="K80" t="s">
        <v>42</v>
      </c>
      <c r="L80" t="s">
        <v>43</v>
      </c>
      <c r="M80" t="s">
        <v>42</v>
      </c>
      <c r="N80" t="s">
        <v>43</v>
      </c>
      <c r="O80">
        <v>4</v>
      </c>
      <c r="P80">
        <v>5</v>
      </c>
      <c r="Q80">
        <v>1</v>
      </c>
      <c r="R80">
        <v>1</v>
      </c>
      <c r="S80">
        <v>1</v>
      </c>
      <c r="T80">
        <f t="shared" si="5"/>
        <v>2</v>
      </c>
      <c r="U80" t="str" cm="1">
        <f t="array" ref="U80">_xlfn.IFS(T80&lt;3, "low", AND(T80&gt;=3, T80&lt;5), "med", T80&gt;=5, "high")</f>
        <v>low</v>
      </c>
      <c r="V80">
        <v>2</v>
      </c>
      <c r="W80" t="str" cm="1">
        <f t="array" ref="W80">_xlfn.IFS(V80&lt;5, "low", AND(V80&gt;=5, V80&lt;10), "med", V80&gt;=10, "high")</f>
        <v>low</v>
      </c>
      <c r="X80">
        <v>8</v>
      </c>
      <c r="Y80">
        <v>8</v>
      </c>
      <c r="Z80">
        <v>10</v>
      </c>
      <c r="AA80">
        <f t="shared" si="6"/>
        <v>0</v>
      </c>
      <c r="AB80">
        <f t="shared" si="7"/>
        <v>0</v>
      </c>
      <c r="AC80">
        <f t="shared" si="8"/>
        <v>0</v>
      </c>
      <c r="AD80" s="1">
        <f t="shared" si="9"/>
        <v>8.6666666666666661</v>
      </c>
    </row>
    <row r="81" spans="1:30" x14ac:dyDescent="0.35">
      <c r="A81" t="s">
        <v>34</v>
      </c>
      <c r="B81">
        <v>16</v>
      </c>
      <c r="C81" t="s">
        <v>35</v>
      </c>
      <c r="D81" t="s">
        <v>36</v>
      </c>
      <c r="E81" t="s">
        <v>44</v>
      </c>
      <c r="F81" t="s">
        <v>38</v>
      </c>
      <c r="G81" t="s">
        <v>45</v>
      </c>
      <c r="H81">
        <v>2</v>
      </c>
      <c r="I81">
        <v>0</v>
      </c>
      <c r="J81" t="s">
        <v>43</v>
      </c>
      <c r="K81" t="s">
        <v>42</v>
      </c>
      <c r="L81" t="s">
        <v>43</v>
      </c>
      <c r="M81" t="s">
        <v>43</v>
      </c>
      <c r="N81" t="s">
        <v>43</v>
      </c>
      <c r="O81">
        <v>2</v>
      </c>
      <c r="P81">
        <v>4</v>
      </c>
      <c r="Q81">
        <v>3</v>
      </c>
      <c r="R81">
        <v>1</v>
      </c>
      <c r="S81">
        <v>2</v>
      </c>
      <c r="T81">
        <f t="shared" si="5"/>
        <v>3</v>
      </c>
      <c r="U81" t="str" cm="1">
        <f t="array" ref="U81">_xlfn.IFS(T81&lt;3, "low", AND(T81&gt;=3, T81&lt;5), "med", T81&gt;=5, "high")</f>
        <v>med</v>
      </c>
      <c r="V81">
        <v>12</v>
      </c>
      <c r="W81" t="str" cm="1">
        <f t="array" ref="W81">_xlfn.IFS(V81&lt;5, "low", AND(V81&gt;=5, V81&lt;10), "med", V81&gt;=10, "high")</f>
        <v>high</v>
      </c>
      <c r="X81">
        <v>5</v>
      </c>
      <c r="Y81">
        <v>5</v>
      </c>
      <c r="Z81">
        <v>5</v>
      </c>
      <c r="AA81">
        <f t="shared" si="6"/>
        <v>0</v>
      </c>
      <c r="AB81">
        <f t="shared" si="7"/>
        <v>0</v>
      </c>
      <c r="AC81">
        <f t="shared" si="8"/>
        <v>0</v>
      </c>
      <c r="AD81" s="1">
        <f t="shared" si="9"/>
        <v>5</v>
      </c>
    </row>
    <row r="82" spans="1:30" x14ac:dyDescent="0.35">
      <c r="A82" t="s">
        <v>50</v>
      </c>
      <c r="B82">
        <v>15</v>
      </c>
      <c r="C82" t="s">
        <v>35</v>
      </c>
      <c r="D82" t="s">
        <v>36</v>
      </c>
      <c r="E82" t="s">
        <v>44</v>
      </c>
      <c r="F82" t="s">
        <v>45</v>
      </c>
      <c r="G82" t="s">
        <v>48</v>
      </c>
      <c r="H82">
        <v>1</v>
      </c>
      <c r="I82">
        <v>0</v>
      </c>
      <c r="J82" t="s">
        <v>42</v>
      </c>
      <c r="K82" t="s">
        <v>42</v>
      </c>
      <c r="L82" t="s">
        <v>42</v>
      </c>
      <c r="M82" t="s">
        <v>42</v>
      </c>
      <c r="N82" t="s">
        <v>42</v>
      </c>
      <c r="O82">
        <v>3</v>
      </c>
      <c r="P82">
        <v>2</v>
      </c>
      <c r="Q82">
        <v>2</v>
      </c>
      <c r="R82">
        <v>1</v>
      </c>
      <c r="S82">
        <v>3</v>
      </c>
      <c r="T82">
        <f t="shared" si="5"/>
        <v>4</v>
      </c>
      <c r="U82" t="str" cm="1">
        <f t="array" ref="U82">_xlfn.IFS(T82&lt;3, "low", AND(T82&gt;=3, T82&lt;5), "med", T82&gt;=5, "high")</f>
        <v>med</v>
      </c>
      <c r="V82">
        <v>2</v>
      </c>
      <c r="W82" t="str" cm="1">
        <f t="array" ref="W82">_xlfn.IFS(V82&lt;5, "low", AND(V82&gt;=5, V82&lt;10), "med", V82&gt;=10, "high")</f>
        <v>low</v>
      </c>
      <c r="X82">
        <v>10</v>
      </c>
      <c r="Y82">
        <v>12</v>
      </c>
      <c r="Z82">
        <v>12</v>
      </c>
      <c r="AA82">
        <f t="shared" si="6"/>
        <v>0</v>
      </c>
      <c r="AB82">
        <f t="shared" si="7"/>
        <v>0</v>
      </c>
      <c r="AC82">
        <f t="shared" si="8"/>
        <v>0</v>
      </c>
      <c r="AD82" s="1">
        <f t="shared" si="9"/>
        <v>11.333333333333334</v>
      </c>
    </row>
    <row r="83" spans="1:30" x14ac:dyDescent="0.35">
      <c r="A83" t="s">
        <v>50</v>
      </c>
      <c r="B83">
        <v>15</v>
      </c>
      <c r="C83" t="s">
        <v>35</v>
      </c>
      <c r="D83" t="s">
        <v>36</v>
      </c>
      <c r="E83" t="s">
        <v>44</v>
      </c>
      <c r="F83" t="s">
        <v>45</v>
      </c>
      <c r="G83" t="s">
        <v>45</v>
      </c>
      <c r="H83">
        <v>3</v>
      </c>
      <c r="I83">
        <v>0</v>
      </c>
      <c r="J83" t="s">
        <v>42</v>
      </c>
      <c r="K83" t="s">
        <v>43</v>
      </c>
      <c r="L83" t="s">
        <v>42</v>
      </c>
      <c r="M83" t="s">
        <v>43</v>
      </c>
      <c r="N83" t="s">
        <v>43</v>
      </c>
      <c r="O83">
        <v>5</v>
      </c>
      <c r="P83">
        <v>3</v>
      </c>
      <c r="Q83">
        <v>2</v>
      </c>
      <c r="R83">
        <v>1</v>
      </c>
      <c r="S83">
        <v>2</v>
      </c>
      <c r="T83">
        <f t="shared" si="5"/>
        <v>3</v>
      </c>
      <c r="U83" t="str" cm="1">
        <f t="array" ref="U83">_xlfn.IFS(T83&lt;3, "low", AND(T83&gt;=3, T83&lt;5), "med", T83&gt;=5, "high")</f>
        <v>med</v>
      </c>
      <c r="V83">
        <v>4</v>
      </c>
      <c r="W83" t="str" cm="1">
        <f t="array" ref="W83">_xlfn.IFS(V83&lt;5, "low", AND(V83&gt;=5, V83&lt;10), "med", V83&gt;=10, "high")</f>
        <v>low</v>
      </c>
      <c r="X83">
        <v>11</v>
      </c>
      <c r="Y83">
        <v>10</v>
      </c>
      <c r="Z83">
        <v>11</v>
      </c>
      <c r="AA83">
        <f t="shared" si="6"/>
        <v>1</v>
      </c>
      <c r="AB83">
        <f t="shared" si="7"/>
        <v>0</v>
      </c>
      <c r="AC83">
        <f t="shared" si="8"/>
        <v>1</v>
      </c>
      <c r="AD83" s="1">
        <f t="shared" si="9"/>
        <v>10.666666666666666</v>
      </c>
    </row>
    <row r="84" spans="1:30" x14ac:dyDescent="0.35">
      <c r="A84" t="s">
        <v>34</v>
      </c>
      <c r="B84">
        <v>15</v>
      </c>
      <c r="C84" t="s">
        <v>35</v>
      </c>
      <c r="D84" t="s">
        <v>47</v>
      </c>
      <c r="E84" t="s">
        <v>44</v>
      </c>
      <c r="F84" t="s">
        <v>48</v>
      </c>
      <c r="G84" t="s">
        <v>45</v>
      </c>
      <c r="H84">
        <v>2</v>
      </c>
      <c r="I84">
        <v>0</v>
      </c>
      <c r="J84" t="s">
        <v>43</v>
      </c>
      <c r="K84" t="s">
        <v>42</v>
      </c>
      <c r="L84" t="s">
        <v>42</v>
      </c>
      <c r="M84" t="s">
        <v>43</v>
      </c>
      <c r="N84" t="s">
        <v>43</v>
      </c>
      <c r="O84">
        <v>4</v>
      </c>
      <c r="P84">
        <v>4</v>
      </c>
      <c r="Q84">
        <v>4</v>
      </c>
      <c r="R84">
        <v>1</v>
      </c>
      <c r="S84">
        <v>1</v>
      </c>
      <c r="T84">
        <f t="shared" si="5"/>
        <v>2</v>
      </c>
      <c r="U84" t="str" cm="1">
        <f t="array" ref="U84">_xlfn.IFS(T84&lt;3, "low", AND(T84&gt;=3, T84&lt;5), "med", T84&gt;=5, "high")</f>
        <v>low</v>
      </c>
      <c r="V84">
        <v>10</v>
      </c>
      <c r="W84" t="str" cm="1">
        <f t="array" ref="W84">_xlfn.IFS(V84&lt;5, "low", AND(V84&gt;=5, V84&lt;10), "med", V84&gt;=10, "high")</f>
        <v>high</v>
      </c>
      <c r="X84">
        <v>7</v>
      </c>
      <c r="Y84">
        <v>6</v>
      </c>
      <c r="Z84">
        <v>6</v>
      </c>
      <c r="AA84">
        <f t="shared" si="6"/>
        <v>1</v>
      </c>
      <c r="AB84">
        <f t="shared" si="7"/>
        <v>0</v>
      </c>
      <c r="AC84">
        <f t="shared" si="8"/>
        <v>1</v>
      </c>
      <c r="AD84" s="1">
        <f t="shared" si="9"/>
        <v>6.333333333333333</v>
      </c>
    </row>
    <row r="85" spans="1:30" x14ac:dyDescent="0.35">
      <c r="A85" t="s">
        <v>50</v>
      </c>
      <c r="B85">
        <v>15</v>
      </c>
      <c r="C85" t="s">
        <v>35</v>
      </c>
      <c r="D85" t="s">
        <v>47</v>
      </c>
      <c r="E85" t="s">
        <v>44</v>
      </c>
      <c r="F85" t="s">
        <v>48</v>
      </c>
      <c r="G85" t="s">
        <v>48</v>
      </c>
      <c r="H85">
        <v>2</v>
      </c>
      <c r="I85">
        <v>0</v>
      </c>
      <c r="J85" t="s">
        <v>43</v>
      </c>
      <c r="K85" t="s">
        <v>43</v>
      </c>
      <c r="L85" t="s">
        <v>42</v>
      </c>
      <c r="M85" t="s">
        <v>42</v>
      </c>
      <c r="N85" t="s">
        <v>43</v>
      </c>
      <c r="O85">
        <v>5</v>
      </c>
      <c r="P85">
        <v>3</v>
      </c>
      <c r="Q85">
        <v>3</v>
      </c>
      <c r="R85">
        <v>1</v>
      </c>
      <c r="S85">
        <v>3</v>
      </c>
      <c r="T85">
        <f t="shared" si="5"/>
        <v>4</v>
      </c>
      <c r="U85" t="str" cm="1">
        <f t="array" ref="U85">_xlfn.IFS(T85&lt;3, "low", AND(T85&gt;=3, T85&lt;5), "med", T85&gt;=5, "high")</f>
        <v>med</v>
      </c>
      <c r="V85">
        <v>4</v>
      </c>
      <c r="W85" t="str" cm="1">
        <f t="array" ref="W85">_xlfn.IFS(V85&lt;5, "low", AND(V85&gt;=5, V85&lt;10), "med", V85&gt;=10, "high")</f>
        <v>low</v>
      </c>
      <c r="X85">
        <v>15</v>
      </c>
      <c r="Y85">
        <v>15</v>
      </c>
      <c r="Z85">
        <v>15</v>
      </c>
      <c r="AA85">
        <f t="shared" si="6"/>
        <v>0</v>
      </c>
      <c r="AB85">
        <f t="shared" si="7"/>
        <v>0</v>
      </c>
      <c r="AC85">
        <f t="shared" si="8"/>
        <v>0</v>
      </c>
      <c r="AD85" s="1">
        <f t="shared" si="9"/>
        <v>15</v>
      </c>
    </row>
    <row r="86" spans="1:30" x14ac:dyDescent="0.35">
      <c r="A86" t="s">
        <v>34</v>
      </c>
      <c r="B86">
        <v>15</v>
      </c>
      <c r="C86" t="s">
        <v>35</v>
      </c>
      <c r="D86" t="s">
        <v>36</v>
      </c>
      <c r="E86" t="s">
        <v>44</v>
      </c>
      <c r="F86" t="s">
        <v>45</v>
      </c>
      <c r="G86" t="s">
        <v>45</v>
      </c>
      <c r="H86">
        <v>2</v>
      </c>
      <c r="I86">
        <v>0</v>
      </c>
      <c r="J86" t="s">
        <v>43</v>
      </c>
      <c r="K86" t="s">
        <v>42</v>
      </c>
      <c r="L86" t="s">
        <v>43</v>
      </c>
      <c r="M86" t="s">
        <v>42</v>
      </c>
      <c r="N86" t="s">
        <v>43</v>
      </c>
      <c r="O86">
        <v>4</v>
      </c>
      <c r="P86">
        <v>3</v>
      </c>
      <c r="Q86">
        <v>2</v>
      </c>
      <c r="R86">
        <v>2</v>
      </c>
      <c r="S86">
        <v>3</v>
      </c>
      <c r="T86">
        <f t="shared" si="5"/>
        <v>5</v>
      </c>
      <c r="U86" t="str" cm="1">
        <f t="array" ref="U86">_xlfn.IFS(T86&lt;3, "low", AND(T86&gt;=3, T86&lt;5), "med", T86&gt;=5, "high")</f>
        <v>high</v>
      </c>
      <c r="V86">
        <v>2</v>
      </c>
      <c r="W86" t="str" cm="1">
        <f t="array" ref="W86">_xlfn.IFS(V86&lt;5, "low", AND(V86&gt;=5, V86&lt;10), "med", V86&gt;=10, "high")</f>
        <v>low</v>
      </c>
      <c r="X86">
        <v>9</v>
      </c>
      <c r="Y86">
        <v>10</v>
      </c>
      <c r="Z86">
        <v>10</v>
      </c>
      <c r="AA86">
        <f t="shared" si="6"/>
        <v>0</v>
      </c>
      <c r="AB86">
        <f t="shared" si="7"/>
        <v>0</v>
      </c>
      <c r="AC86">
        <f t="shared" si="8"/>
        <v>0</v>
      </c>
      <c r="AD86" s="1">
        <f t="shared" si="9"/>
        <v>9.6666666666666661</v>
      </c>
    </row>
    <row r="87" spans="1:30" x14ac:dyDescent="0.35">
      <c r="A87" t="s">
        <v>34</v>
      </c>
      <c r="B87">
        <v>15</v>
      </c>
      <c r="C87" t="s">
        <v>35</v>
      </c>
      <c r="D87" t="s">
        <v>36</v>
      </c>
      <c r="E87" t="s">
        <v>44</v>
      </c>
      <c r="F87" t="s">
        <v>48</v>
      </c>
      <c r="G87" t="s">
        <v>48</v>
      </c>
      <c r="H87">
        <v>2</v>
      </c>
      <c r="I87">
        <v>2</v>
      </c>
      <c r="J87" t="s">
        <v>43</v>
      </c>
      <c r="K87" t="s">
        <v>43</v>
      </c>
      <c r="L87" t="s">
        <v>42</v>
      </c>
      <c r="M87" t="s">
        <v>43</v>
      </c>
      <c r="N87" t="s">
        <v>42</v>
      </c>
      <c r="O87">
        <v>4</v>
      </c>
      <c r="P87">
        <v>4</v>
      </c>
      <c r="Q87">
        <v>4</v>
      </c>
      <c r="R87">
        <v>2</v>
      </c>
      <c r="S87">
        <v>3</v>
      </c>
      <c r="T87">
        <f t="shared" si="5"/>
        <v>5</v>
      </c>
      <c r="U87" t="str" cm="1">
        <f t="array" ref="U87">_xlfn.IFS(T87&lt;3, "low", AND(T87&gt;=3, T87&lt;5), "med", T87&gt;=5, "high")</f>
        <v>high</v>
      </c>
      <c r="V87">
        <v>6</v>
      </c>
      <c r="W87" t="str" cm="1">
        <f t="array" ref="W87">_xlfn.IFS(V87&lt;5, "low", AND(V87&gt;=5, V87&lt;10), "med", V87&gt;=10, "high")</f>
        <v>med</v>
      </c>
      <c r="X87">
        <v>7</v>
      </c>
      <c r="Y87">
        <v>9</v>
      </c>
      <c r="Z87">
        <v>8</v>
      </c>
      <c r="AA87">
        <f t="shared" si="6"/>
        <v>0</v>
      </c>
      <c r="AB87">
        <f t="shared" si="7"/>
        <v>1</v>
      </c>
      <c r="AC87">
        <f t="shared" si="8"/>
        <v>1</v>
      </c>
      <c r="AD87" s="1">
        <f t="shared" si="9"/>
        <v>8</v>
      </c>
    </row>
    <row r="88" spans="1:30" x14ac:dyDescent="0.35">
      <c r="A88" t="s">
        <v>34</v>
      </c>
      <c r="B88">
        <v>16</v>
      </c>
      <c r="C88" t="s">
        <v>35</v>
      </c>
      <c r="D88" t="s">
        <v>47</v>
      </c>
      <c r="E88" t="s">
        <v>44</v>
      </c>
      <c r="F88" t="s">
        <v>38</v>
      </c>
      <c r="G88" t="s">
        <v>45</v>
      </c>
      <c r="H88">
        <v>2</v>
      </c>
      <c r="I88">
        <v>0</v>
      </c>
      <c r="J88" t="s">
        <v>43</v>
      </c>
      <c r="K88" t="s">
        <v>42</v>
      </c>
      <c r="L88" t="s">
        <v>43</v>
      </c>
      <c r="M88" t="s">
        <v>43</v>
      </c>
      <c r="N88" t="s">
        <v>43</v>
      </c>
      <c r="O88">
        <v>4</v>
      </c>
      <c r="P88">
        <v>3</v>
      </c>
      <c r="Q88">
        <v>4</v>
      </c>
      <c r="R88">
        <v>1</v>
      </c>
      <c r="S88">
        <v>2</v>
      </c>
      <c r="T88">
        <f t="shared" si="5"/>
        <v>3</v>
      </c>
      <c r="U88" t="str" cm="1">
        <f t="array" ref="U88">_xlfn.IFS(T88&lt;3, "low", AND(T88&gt;=3, T88&lt;5), "med", T88&gt;=5, "high")</f>
        <v>med</v>
      </c>
      <c r="V88">
        <v>4</v>
      </c>
      <c r="W88" t="str" cm="1">
        <f t="array" ref="W88">_xlfn.IFS(V88&lt;5, "low", AND(V88&gt;=5, V88&lt;10), "med", V88&gt;=10, "high")</f>
        <v>low</v>
      </c>
      <c r="X88">
        <v>8</v>
      </c>
      <c r="Y88">
        <v>7</v>
      </c>
      <c r="Z88">
        <v>6</v>
      </c>
      <c r="AA88">
        <f t="shared" si="6"/>
        <v>1</v>
      </c>
      <c r="AB88">
        <f t="shared" si="7"/>
        <v>1</v>
      </c>
      <c r="AC88">
        <f t="shared" si="8"/>
        <v>2</v>
      </c>
      <c r="AD88" s="1">
        <f t="shared" si="9"/>
        <v>7</v>
      </c>
    </row>
    <row r="89" spans="1:30" x14ac:dyDescent="0.35">
      <c r="A89" t="s">
        <v>34</v>
      </c>
      <c r="B89">
        <v>15</v>
      </c>
      <c r="C89" t="s">
        <v>35</v>
      </c>
      <c r="D89" t="s">
        <v>36</v>
      </c>
      <c r="E89" t="s">
        <v>44</v>
      </c>
      <c r="F89" t="s">
        <v>45</v>
      </c>
      <c r="G89" t="s">
        <v>45</v>
      </c>
      <c r="H89">
        <v>3</v>
      </c>
      <c r="I89">
        <v>0</v>
      </c>
      <c r="J89" t="s">
        <v>43</v>
      </c>
      <c r="K89" t="s">
        <v>42</v>
      </c>
      <c r="L89" t="s">
        <v>43</v>
      </c>
      <c r="M89" t="s">
        <v>42</v>
      </c>
      <c r="N89" t="s">
        <v>43</v>
      </c>
      <c r="O89">
        <v>5</v>
      </c>
      <c r="P89">
        <v>3</v>
      </c>
      <c r="Q89">
        <v>3</v>
      </c>
      <c r="R89">
        <v>1</v>
      </c>
      <c r="S89">
        <v>3</v>
      </c>
      <c r="T89">
        <f t="shared" si="5"/>
        <v>4</v>
      </c>
      <c r="U89" t="str" cm="1">
        <f t="array" ref="U89">_xlfn.IFS(T89&lt;3, "low", AND(T89&gt;=3, T89&lt;5), "med", T89&gt;=5, "high")</f>
        <v>med</v>
      </c>
      <c r="V89">
        <v>4</v>
      </c>
      <c r="W89" t="str" cm="1">
        <f t="array" ref="W89">_xlfn.IFS(V89&lt;5, "low", AND(V89&gt;=5, V89&lt;10), "med", V89&gt;=10, "high")</f>
        <v>low</v>
      </c>
      <c r="X89">
        <v>13</v>
      </c>
      <c r="Y89">
        <v>14</v>
      </c>
      <c r="Z89">
        <v>14</v>
      </c>
      <c r="AA89">
        <f t="shared" si="6"/>
        <v>0</v>
      </c>
      <c r="AB89">
        <f t="shared" si="7"/>
        <v>0</v>
      </c>
      <c r="AC89">
        <f t="shared" si="8"/>
        <v>0</v>
      </c>
      <c r="AD89" s="1">
        <f t="shared" si="9"/>
        <v>13.666666666666666</v>
      </c>
    </row>
    <row r="90" spans="1:30" x14ac:dyDescent="0.35">
      <c r="A90" t="s">
        <v>50</v>
      </c>
      <c r="B90">
        <v>16</v>
      </c>
      <c r="C90" t="s">
        <v>35</v>
      </c>
      <c r="D90" t="s">
        <v>36</v>
      </c>
      <c r="E90" t="s">
        <v>44</v>
      </c>
      <c r="F90" t="s">
        <v>48</v>
      </c>
      <c r="G90" t="s">
        <v>45</v>
      </c>
      <c r="H90">
        <v>2</v>
      </c>
      <c r="I90">
        <v>1</v>
      </c>
      <c r="J90" t="s">
        <v>43</v>
      </c>
      <c r="K90" t="s">
        <v>43</v>
      </c>
      <c r="L90" t="s">
        <v>42</v>
      </c>
      <c r="M90" t="s">
        <v>42</v>
      </c>
      <c r="N90" t="s">
        <v>43</v>
      </c>
      <c r="O90">
        <v>4</v>
      </c>
      <c r="P90">
        <v>4</v>
      </c>
      <c r="Q90">
        <v>2</v>
      </c>
      <c r="R90">
        <v>1</v>
      </c>
      <c r="S90">
        <v>1</v>
      </c>
      <c r="T90">
        <f t="shared" si="5"/>
        <v>2</v>
      </c>
      <c r="U90" t="str" cm="1">
        <f t="array" ref="U90">_xlfn.IFS(T90&lt;3, "low", AND(T90&gt;=3, T90&lt;5), "med", T90&gt;=5, "high")</f>
        <v>low</v>
      </c>
      <c r="V90">
        <v>12</v>
      </c>
      <c r="W90" t="str" cm="1">
        <f t="array" ref="W90">_xlfn.IFS(V90&lt;5, "low", AND(V90&gt;=5, V90&lt;10), "med", V90&gt;=10, "high")</f>
        <v>high</v>
      </c>
      <c r="X90">
        <v>11</v>
      </c>
      <c r="Y90">
        <v>10</v>
      </c>
      <c r="Z90">
        <v>10</v>
      </c>
      <c r="AA90">
        <f t="shared" si="6"/>
        <v>1</v>
      </c>
      <c r="AB90">
        <f t="shared" si="7"/>
        <v>0</v>
      </c>
      <c r="AC90">
        <f t="shared" si="8"/>
        <v>1</v>
      </c>
      <c r="AD90" s="1">
        <f t="shared" si="9"/>
        <v>10.333333333333334</v>
      </c>
    </row>
    <row r="91" spans="1:30" x14ac:dyDescent="0.35">
      <c r="A91" t="s">
        <v>50</v>
      </c>
      <c r="B91">
        <v>16</v>
      </c>
      <c r="C91" t="s">
        <v>35</v>
      </c>
      <c r="D91" t="s">
        <v>47</v>
      </c>
      <c r="E91" t="s">
        <v>37</v>
      </c>
      <c r="F91" t="s">
        <v>39</v>
      </c>
      <c r="G91" t="s">
        <v>28</v>
      </c>
      <c r="H91">
        <v>2</v>
      </c>
      <c r="I91">
        <v>0</v>
      </c>
      <c r="J91" t="s">
        <v>43</v>
      </c>
      <c r="K91" t="s">
        <v>42</v>
      </c>
      <c r="L91" t="s">
        <v>43</v>
      </c>
      <c r="M91" t="s">
        <v>43</v>
      </c>
      <c r="N91" t="s">
        <v>43</v>
      </c>
      <c r="O91">
        <v>4</v>
      </c>
      <c r="P91">
        <v>1</v>
      </c>
      <c r="Q91">
        <v>3</v>
      </c>
      <c r="R91">
        <v>3</v>
      </c>
      <c r="S91">
        <v>5</v>
      </c>
      <c r="T91">
        <f t="shared" si="5"/>
        <v>8</v>
      </c>
      <c r="U91" t="str" cm="1">
        <f t="array" ref="U91">_xlfn.IFS(T91&lt;3, "low", AND(T91&gt;=3, T91&lt;5), "med", T91&gt;=5, "high")</f>
        <v>high</v>
      </c>
      <c r="V91">
        <v>18</v>
      </c>
      <c r="W91" t="str" cm="1">
        <f t="array" ref="W91">_xlfn.IFS(V91&lt;5, "low", AND(V91&gt;=5, V91&lt;10), "med", V91&gt;=10, "high")</f>
        <v>high</v>
      </c>
      <c r="X91">
        <v>8</v>
      </c>
      <c r="Y91">
        <v>6</v>
      </c>
      <c r="Z91">
        <v>7</v>
      </c>
      <c r="AA91">
        <f t="shared" si="6"/>
        <v>1</v>
      </c>
      <c r="AB91">
        <f t="shared" si="7"/>
        <v>0</v>
      </c>
      <c r="AC91">
        <f t="shared" si="8"/>
        <v>1</v>
      </c>
      <c r="AD91" s="1">
        <f t="shared" si="9"/>
        <v>7</v>
      </c>
    </row>
    <row r="92" spans="1:30" x14ac:dyDescent="0.35">
      <c r="A92" t="s">
        <v>34</v>
      </c>
      <c r="B92">
        <v>16</v>
      </c>
      <c r="C92" t="s">
        <v>35</v>
      </c>
      <c r="D92" t="s">
        <v>36</v>
      </c>
      <c r="E92" t="s">
        <v>44</v>
      </c>
      <c r="F92" t="s">
        <v>45</v>
      </c>
      <c r="G92" t="s">
        <v>45</v>
      </c>
      <c r="H92">
        <v>3</v>
      </c>
      <c r="I92">
        <v>0</v>
      </c>
      <c r="J92" t="s">
        <v>43</v>
      </c>
      <c r="K92" t="s">
        <v>42</v>
      </c>
      <c r="L92" t="s">
        <v>42</v>
      </c>
      <c r="M92" t="s">
        <v>43</v>
      </c>
      <c r="N92" t="s">
        <v>42</v>
      </c>
      <c r="O92">
        <v>4</v>
      </c>
      <c r="P92">
        <v>3</v>
      </c>
      <c r="Q92">
        <v>3</v>
      </c>
      <c r="R92">
        <v>1</v>
      </c>
      <c r="S92">
        <v>3</v>
      </c>
      <c r="T92">
        <f t="shared" si="5"/>
        <v>4</v>
      </c>
      <c r="U92" t="str" cm="1">
        <f t="array" ref="U92">_xlfn.IFS(T92&lt;3, "low", AND(T92&gt;=3, T92&lt;5), "med", T92&gt;=5, "high")</f>
        <v>med</v>
      </c>
      <c r="V92">
        <v>0</v>
      </c>
      <c r="W92" t="str" cm="1">
        <f t="array" ref="W92">_xlfn.IFS(V92&lt;5, "low", AND(V92&gt;=5, V92&lt;10), "med", V92&gt;=10, "high")</f>
        <v>low</v>
      </c>
      <c r="X92">
        <v>7</v>
      </c>
      <c r="Y92">
        <v>7</v>
      </c>
      <c r="Z92">
        <v>8</v>
      </c>
      <c r="AA92">
        <f t="shared" si="6"/>
        <v>0</v>
      </c>
      <c r="AB92">
        <f t="shared" si="7"/>
        <v>0</v>
      </c>
      <c r="AC92">
        <f t="shared" si="8"/>
        <v>0</v>
      </c>
      <c r="AD92" s="1">
        <f t="shared" si="9"/>
        <v>7.333333333333333</v>
      </c>
    </row>
    <row r="93" spans="1:30" x14ac:dyDescent="0.35">
      <c r="A93" t="s">
        <v>34</v>
      </c>
      <c r="B93">
        <v>15</v>
      </c>
      <c r="C93" t="s">
        <v>35</v>
      </c>
      <c r="D93" t="s">
        <v>36</v>
      </c>
      <c r="E93" t="s">
        <v>44</v>
      </c>
      <c r="F93" t="s">
        <v>48</v>
      </c>
      <c r="G93" t="s">
        <v>45</v>
      </c>
      <c r="H93">
        <v>1</v>
      </c>
      <c r="I93">
        <v>0</v>
      </c>
      <c r="J93" t="s">
        <v>43</v>
      </c>
      <c r="K93" t="s">
        <v>43</v>
      </c>
      <c r="L93" t="s">
        <v>42</v>
      </c>
      <c r="M93" t="s">
        <v>42</v>
      </c>
      <c r="N93" t="s">
        <v>43</v>
      </c>
      <c r="O93">
        <v>4</v>
      </c>
      <c r="P93">
        <v>5</v>
      </c>
      <c r="Q93">
        <v>5</v>
      </c>
      <c r="R93">
        <v>1</v>
      </c>
      <c r="S93">
        <v>3</v>
      </c>
      <c r="T93">
        <f t="shared" si="5"/>
        <v>4</v>
      </c>
      <c r="U93" t="str" cm="1">
        <f t="array" ref="U93">_xlfn.IFS(T93&lt;3, "low", AND(T93&gt;=3, T93&lt;5), "med", T93&gt;=5, "high")</f>
        <v>med</v>
      </c>
      <c r="V93">
        <v>4</v>
      </c>
      <c r="W93" t="str" cm="1">
        <f t="array" ref="W93">_xlfn.IFS(V93&lt;5, "low", AND(V93&gt;=5, V93&lt;10), "med", V93&gt;=10, "high")</f>
        <v>low</v>
      </c>
      <c r="X93">
        <v>16</v>
      </c>
      <c r="Y93">
        <v>17</v>
      </c>
      <c r="Z93">
        <v>18</v>
      </c>
      <c r="AA93">
        <f t="shared" si="6"/>
        <v>0</v>
      </c>
      <c r="AB93">
        <f t="shared" si="7"/>
        <v>0</v>
      </c>
      <c r="AC93">
        <f t="shared" si="8"/>
        <v>0</v>
      </c>
      <c r="AD93" s="1">
        <f t="shared" si="9"/>
        <v>17</v>
      </c>
    </row>
    <row r="94" spans="1:30" x14ac:dyDescent="0.35">
      <c r="A94" t="s">
        <v>34</v>
      </c>
      <c r="B94">
        <v>16</v>
      </c>
      <c r="C94" t="s">
        <v>35</v>
      </c>
      <c r="D94" t="s">
        <v>47</v>
      </c>
      <c r="E94" t="s">
        <v>44</v>
      </c>
      <c r="F94" t="s">
        <v>45</v>
      </c>
      <c r="G94" t="s">
        <v>45</v>
      </c>
      <c r="H94">
        <v>2</v>
      </c>
      <c r="I94">
        <v>0</v>
      </c>
      <c r="J94" t="s">
        <v>42</v>
      </c>
      <c r="K94" t="s">
        <v>42</v>
      </c>
      <c r="L94" t="s">
        <v>43</v>
      </c>
      <c r="M94" t="s">
        <v>43</v>
      </c>
      <c r="N94" t="s">
        <v>43</v>
      </c>
      <c r="O94">
        <v>3</v>
      </c>
      <c r="P94">
        <v>3</v>
      </c>
      <c r="Q94">
        <v>3</v>
      </c>
      <c r="R94">
        <v>2</v>
      </c>
      <c r="S94">
        <v>3</v>
      </c>
      <c r="T94">
        <f t="shared" si="5"/>
        <v>5</v>
      </c>
      <c r="U94" t="str" cm="1">
        <f t="array" ref="U94">_xlfn.IFS(T94&lt;3, "low", AND(T94&gt;=3, T94&lt;5), "med", T94&gt;=5, "high")</f>
        <v>high</v>
      </c>
      <c r="V94">
        <v>4</v>
      </c>
      <c r="W94" t="str" cm="1">
        <f t="array" ref="W94">_xlfn.IFS(V94&lt;5, "low", AND(V94&gt;=5, V94&lt;10), "med", V94&gt;=10, "high")</f>
        <v>low</v>
      </c>
      <c r="X94">
        <v>7</v>
      </c>
      <c r="Y94">
        <v>6</v>
      </c>
      <c r="Z94">
        <v>6</v>
      </c>
      <c r="AA94">
        <f t="shared" si="6"/>
        <v>1</v>
      </c>
      <c r="AB94">
        <f t="shared" si="7"/>
        <v>0</v>
      </c>
      <c r="AC94">
        <f t="shared" si="8"/>
        <v>1</v>
      </c>
      <c r="AD94" s="1">
        <f t="shared" si="9"/>
        <v>6.333333333333333</v>
      </c>
    </row>
    <row r="95" spans="1:30" x14ac:dyDescent="0.35">
      <c r="A95" t="s">
        <v>34</v>
      </c>
      <c r="B95">
        <v>16</v>
      </c>
      <c r="C95" t="s">
        <v>35</v>
      </c>
      <c r="D95" t="s">
        <v>36</v>
      </c>
      <c r="E95" t="s">
        <v>44</v>
      </c>
      <c r="F95" t="s">
        <v>39</v>
      </c>
      <c r="G95" t="s">
        <v>48</v>
      </c>
      <c r="H95">
        <v>2</v>
      </c>
      <c r="I95">
        <v>0</v>
      </c>
      <c r="J95" t="s">
        <v>43</v>
      </c>
      <c r="K95" t="s">
        <v>42</v>
      </c>
      <c r="L95" t="s">
        <v>42</v>
      </c>
      <c r="M95" t="s">
        <v>42</v>
      </c>
      <c r="N95" t="s">
        <v>43</v>
      </c>
      <c r="O95">
        <v>5</v>
      </c>
      <c r="P95">
        <v>3</v>
      </c>
      <c r="Q95">
        <v>3</v>
      </c>
      <c r="R95">
        <v>1</v>
      </c>
      <c r="S95">
        <v>1</v>
      </c>
      <c r="T95">
        <f t="shared" si="5"/>
        <v>2</v>
      </c>
      <c r="U95" t="str" cm="1">
        <f t="array" ref="U95">_xlfn.IFS(T95&lt;3, "low", AND(T95&gt;=3, T95&lt;5), "med", T95&gt;=5, "high")</f>
        <v>low</v>
      </c>
      <c r="V95">
        <v>0</v>
      </c>
      <c r="W95" t="str" cm="1">
        <f t="array" ref="W95">_xlfn.IFS(V95&lt;5, "low", AND(V95&gt;=5, V95&lt;10), "med", V95&gt;=10, "high")</f>
        <v>low</v>
      </c>
      <c r="X95">
        <v>11</v>
      </c>
      <c r="Y95">
        <v>10</v>
      </c>
      <c r="Z95">
        <v>10</v>
      </c>
      <c r="AA95">
        <f t="shared" si="6"/>
        <v>1</v>
      </c>
      <c r="AB95">
        <f t="shared" si="7"/>
        <v>0</v>
      </c>
      <c r="AC95">
        <f t="shared" si="8"/>
        <v>1</v>
      </c>
      <c r="AD95" s="1">
        <f t="shared" si="9"/>
        <v>10.333333333333334</v>
      </c>
    </row>
    <row r="96" spans="1:30" x14ac:dyDescent="0.35">
      <c r="A96" t="s">
        <v>50</v>
      </c>
      <c r="B96">
        <v>15</v>
      </c>
      <c r="C96" t="s">
        <v>35</v>
      </c>
      <c r="D96" t="s">
        <v>47</v>
      </c>
      <c r="E96" t="s">
        <v>44</v>
      </c>
      <c r="F96" t="s">
        <v>48</v>
      </c>
      <c r="G96" t="s">
        <v>28</v>
      </c>
      <c r="H96">
        <v>4</v>
      </c>
      <c r="I96">
        <v>0</v>
      </c>
      <c r="J96" t="s">
        <v>43</v>
      </c>
      <c r="K96" t="s">
        <v>42</v>
      </c>
      <c r="L96" t="s">
        <v>43</v>
      </c>
      <c r="M96" t="s">
        <v>42</v>
      </c>
      <c r="N96" t="s">
        <v>43</v>
      </c>
      <c r="O96">
        <v>4</v>
      </c>
      <c r="P96">
        <v>3</v>
      </c>
      <c r="Q96">
        <v>4</v>
      </c>
      <c r="R96">
        <v>1</v>
      </c>
      <c r="S96">
        <v>1</v>
      </c>
      <c r="T96">
        <f t="shared" si="5"/>
        <v>2</v>
      </c>
      <c r="U96" t="str" cm="1">
        <f t="array" ref="U96">_xlfn.IFS(T96&lt;3, "low", AND(T96&gt;=3, T96&lt;5), "med", T96&gt;=5, "high")</f>
        <v>low</v>
      </c>
      <c r="V96">
        <v>6</v>
      </c>
      <c r="W96" t="str" cm="1">
        <f t="array" ref="W96">_xlfn.IFS(V96&lt;5, "low", AND(V96&gt;=5, V96&lt;10), "med", V96&gt;=10, "high")</f>
        <v>med</v>
      </c>
      <c r="X96">
        <v>11</v>
      </c>
      <c r="Y96">
        <v>13</v>
      </c>
      <c r="Z96">
        <v>14</v>
      </c>
      <c r="AA96">
        <f t="shared" si="6"/>
        <v>0</v>
      </c>
      <c r="AB96">
        <f t="shared" si="7"/>
        <v>0</v>
      </c>
      <c r="AC96">
        <f t="shared" si="8"/>
        <v>0</v>
      </c>
      <c r="AD96" s="1">
        <f t="shared" si="9"/>
        <v>12.666666666666666</v>
      </c>
    </row>
    <row r="97" spans="1:30" x14ac:dyDescent="0.35">
      <c r="A97" t="s">
        <v>34</v>
      </c>
      <c r="B97">
        <v>15</v>
      </c>
      <c r="C97" t="s">
        <v>52</v>
      </c>
      <c r="D97" t="s">
        <v>36</v>
      </c>
      <c r="E97" t="s">
        <v>44</v>
      </c>
      <c r="F97" t="s">
        <v>38</v>
      </c>
      <c r="G97" t="s">
        <v>45</v>
      </c>
      <c r="H97">
        <v>4</v>
      </c>
      <c r="I97">
        <v>1</v>
      </c>
      <c r="J97" t="s">
        <v>42</v>
      </c>
      <c r="K97" t="s">
        <v>42</v>
      </c>
      <c r="L97" t="s">
        <v>42</v>
      </c>
      <c r="M97" t="s">
        <v>42</v>
      </c>
      <c r="N97" t="s">
        <v>43</v>
      </c>
      <c r="O97">
        <v>3</v>
      </c>
      <c r="P97">
        <v>1</v>
      </c>
      <c r="Q97">
        <v>2</v>
      </c>
      <c r="R97">
        <v>1</v>
      </c>
      <c r="S97">
        <v>1</v>
      </c>
      <c r="T97">
        <f t="shared" si="5"/>
        <v>2</v>
      </c>
      <c r="U97" t="str" cm="1">
        <f t="array" ref="U97">_xlfn.IFS(T97&lt;3, "low", AND(T97&gt;=3, T97&lt;5), "med", T97&gt;=5, "high")</f>
        <v>low</v>
      </c>
      <c r="V97">
        <v>2</v>
      </c>
      <c r="W97" t="str" cm="1">
        <f t="array" ref="W97">_xlfn.IFS(V97&lt;5, "low", AND(V97&gt;=5, V97&lt;10), "med", V97&gt;=10, "high")</f>
        <v>low</v>
      </c>
      <c r="X97">
        <v>7</v>
      </c>
      <c r="Y97">
        <v>10</v>
      </c>
      <c r="Z97">
        <v>10</v>
      </c>
      <c r="AA97">
        <f t="shared" si="6"/>
        <v>0</v>
      </c>
      <c r="AB97">
        <f t="shared" si="7"/>
        <v>0</v>
      </c>
      <c r="AC97">
        <f t="shared" si="8"/>
        <v>0</v>
      </c>
      <c r="AD97" s="1">
        <f t="shared" si="9"/>
        <v>9</v>
      </c>
    </row>
    <row r="98" spans="1:30" x14ac:dyDescent="0.35">
      <c r="A98" t="s">
        <v>50</v>
      </c>
      <c r="B98">
        <v>16</v>
      </c>
      <c r="C98" t="s">
        <v>52</v>
      </c>
      <c r="D98" t="s">
        <v>36</v>
      </c>
      <c r="E98" t="s">
        <v>44</v>
      </c>
      <c r="F98" t="s">
        <v>48</v>
      </c>
      <c r="G98" t="s">
        <v>45</v>
      </c>
      <c r="H98">
        <v>1</v>
      </c>
      <c r="I98">
        <v>0</v>
      </c>
      <c r="J98" t="s">
        <v>42</v>
      </c>
      <c r="K98" t="s">
        <v>42</v>
      </c>
      <c r="L98" t="s">
        <v>43</v>
      </c>
      <c r="M98" t="s">
        <v>42</v>
      </c>
      <c r="N98" t="s">
        <v>43</v>
      </c>
      <c r="O98">
        <v>3</v>
      </c>
      <c r="P98">
        <v>3</v>
      </c>
      <c r="Q98">
        <v>3</v>
      </c>
      <c r="R98">
        <v>1</v>
      </c>
      <c r="S98">
        <v>1</v>
      </c>
      <c r="T98">
        <f t="shared" si="5"/>
        <v>2</v>
      </c>
      <c r="U98" t="str" cm="1">
        <f t="array" ref="U98">_xlfn.IFS(T98&lt;3, "low", AND(T98&gt;=3, T98&lt;5), "med", T98&gt;=5, "high")</f>
        <v>low</v>
      </c>
      <c r="V98">
        <v>2</v>
      </c>
      <c r="W98" t="str" cm="1">
        <f t="array" ref="W98">_xlfn.IFS(V98&lt;5, "low", AND(V98&gt;=5, V98&lt;10), "med", V98&gt;=10, "high")</f>
        <v>low</v>
      </c>
      <c r="X98">
        <v>11</v>
      </c>
      <c r="Y98">
        <v>15</v>
      </c>
      <c r="Z98">
        <v>15</v>
      </c>
      <c r="AA98">
        <f t="shared" si="6"/>
        <v>0</v>
      </c>
      <c r="AB98">
        <f t="shared" si="7"/>
        <v>0</v>
      </c>
      <c r="AC98">
        <f t="shared" si="8"/>
        <v>0</v>
      </c>
      <c r="AD98" s="1">
        <f t="shared" si="9"/>
        <v>13.666666666666666</v>
      </c>
    </row>
    <row r="99" spans="1:30" x14ac:dyDescent="0.35">
      <c r="A99" t="s">
        <v>34</v>
      </c>
      <c r="B99">
        <v>16</v>
      </c>
      <c r="C99" t="s">
        <v>35</v>
      </c>
      <c r="D99" t="s">
        <v>36</v>
      </c>
      <c r="E99" t="s">
        <v>44</v>
      </c>
      <c r="F99" t="s">
        <v>45</v>
      </c>
      <c r="G99" t="s">
        <v>45</v>
      </c>
      <c r="H99">
        <v>2</v>
      </c>
      <c r="I99">
        <v>0</v>
      </c>
      <c r="J99" t="s">
        <v>43</v>
      </c>
      <c r="K99" t="s">
        <v>42</v>
      </c>
      <c r="L99" t="s">
        <v>42</v>
      </c>
      <c r="M99" t="s">
        <v>43</v>
      </c>
      <c r="N99" t="s">
        <v>42</v>
      </c>
      <c r="O99">
        <v>4</v>
      </c>
      <c r="P99">
        <v>3</v>
      </c>
      <c r="Q99">
        <v>5</v>
      </c>
      <c r="R99">
        <v>1</v>
      </c>
      <c r="S99">
        <v>1</v>
      </c>
      <c r="T99">
        <f t="shared" si="5"/>
        <v>2</v>
      </c>
      <c r="U99" t="str" cm="1">
        <f t="array" ref="U99">_xlfn.IFS(T99&lt;3, "low", AND(T99&gt;=3, T99&lt;5), "med", T99&gt;=5, "high")</f>
        <v>low</v>
      </c>
      <c r="V99">
        <v>2</v>
      </c>
      <c r="W99" t="str" cm="1">
        <f t="array" ref="W99">_xlfn.IFS(V99&lt;5, "low", AND(V99&gt;=5, V99&lt;10), "med", V99&gt;=10, "high")</f>
        <v>low</v>
      </c>
      <c r="X99">
        <v>8</v>
      </c>
      <c r="Y99">
        <v>9</v>
      </c>
      <c r="Z99">
        <v>10</v>
      </c>
      <c r="AA99">
        <f t="shared" si="6"/>
        <v>0</v>
      </c>
      <c r="AB99">
        <f t="shared" si="7"/>
        <v>0</v>
      </c>
      <c r="AC99">
        <f t="shared" si="8"/>
        <v>0</v>
      </c>
      <c r="AD99" s="1">
        <f t="shared" si="9"/>
        <v>9</v>
      </c>
    </row>
    <row r="100" spans="1:30" x14ac:dyDescent="0.35">
      <c r="A100" t="s">
        <v>34</v>
      </c>
      <c r="B100">
        <v>16</v>
      </c>
      <c r="C100" t="s">
        <v>35</v>
      </c>
      <c r="D100" t="s">
        <v>36</v>
      </c>
      <c r="E100" t="s">
        <v>44</v>
      </c>
      <c r="F100" t="s">
        <v>45</v>
      </c>
      <c r="G100" t="s">
        <v>45</v>
      </c>
      <c r="H100">
        <v>1</v>
      </c>
      <c r="I100">
        <v>0</v>
      </c>
      <c r="J100" t="s">
        <v>43</v>
      </c>
      <c r="K100" t="s">
        <v>43</v>
      </c>
      <c r="L100" t="s">
        <v>43</v>
      </c>
      <c r="M100" t="s">
        <v>42</v>
      </c>
      <c r="N100" t="s">
        <v>43</v>
      </c>
      <c r="O100">
        <v>5</v>
      </c>
      <c r="P100">
        <v>3</v>
      </c>
      <c r="Q100">
        <v>4</v>
      </c>
      <c r="R100">
        <v>1</v>
      </c>
      <c r="S100">
        <v>2</v>
      </c>
      <c r="T100">
        <f t="shared" si="5"/>
        <v>3</v>
      </c>
      <c r="U100" t="str" cm="1">
        <f t="array" ref="U100">_xlfn.IFS(T100&lt;3, "low", AND(T100&gt;=3, T100&lt;5), "med", T100&gt;=5, "high")</f>
        <v>med</v>
      </c>
      <c r="V100">
        <v>6</v>
      </c>
      <c r="W100" t="str" cm="1">
        <f t="array" ref="W100">_xlfn.IFS(V100&lt;5, "low", AND(V100&gt;=5, V100&lt;10), "med", V100&gt;=10, "high")</f>
        <v>med</v>
      </c>
      <c r="X100">
        <v>11</v>
      </c>
      <c r="Y100">
        <v>14</v>
      </c>
      <c r="Z100">
        <v>14</v>
      </c>
      <c r="AA100">
        <f t="shared" si="6"/>
        <v>0</v>
      </c>
      <c r="AB100">
        <f t="shared" si="7"/>
        <v>0</v>
      </c>
      <c r="AC100">
        <f t="shared" si="8"/>
        <v>0</v>
      </c>
      <c r="AD100" s="1">
        <f t="shared" si="9"/>
        <v>13</v>
      </c>
    </row>
    <row r="101" spans="1:30" x14ac:dyDescent="0.35">
      <c r="A101" t="s">
        <v>34</v>
      </c>
      <c r="B101">
        <v>16</v>
      </c>
      <c r="C101" t="s">
        <v>35</v>
      </c>
      <c r="D101" t="s">
        <v>36</v>
      </c>
      <c r="E101" t="s">
        <v>44</v>
      </c>
      <c r="F101" t="s">
        <v>45</v>
      </c>
      <c r="G101" t="s">
        <v>38</v>
      </c>
      <c r="H101">
        <v>3</v>
      </c>
      <c r="I101">
        <v>0</v>
      </c>
      <c r="J101" t="s">
        <v>42</v>
      </c>
      <c r="K101" t="s">
        <v>42</v>
      </c>
      <c r="L101" t="s">
        <v>42</v>
      </c>
      <c r="M101" t="s">
        <v>43</v>
      </c>
      <c r="N101" t="s">
        <v>43</v>
      </c>
      <c r="O101">
        <v>5</v>
      </c>
      <c r="P101">
        <v>3</v>
      </c>
      <c r="Q101">
        <v>5</v>
      </c>
      <c r="R101">
        <v>1</v>
      </c>
      <c r="S101">
        <v>1</v>
      </c>
      <c r="T101">
        <f t="shared" si="5"/>
        <v>2</v>
      </c>
      <c r="U101" t="str" cm="1">
        <f t="array" ref="U101">_xlfn.IFS(T101&lt;3, "low", AND(T101&gt;=3, T101&lt;5), "med", T101&gt;=5, "high")</f>
        <v>low</v>
      </c>
      <c r="V101">
        <v>0</v>
      </c>
      <c r="W101" t="str" cm="1">
        <f t="array" ref="W101">_xlfn.IFS(V101&lt;5, "low", AND(V101&gt;=5, V101&lt;10), "med", V101&gt;=10, "high")</f>
        <v>low</v>
      </c>
      <c r="X101">
        <v>7</v>
      </c>
      <c r="Y101">
        <v>9</v>
      </c>
      <c r="Z101">
        <v>8</v>
      </c>
      <c r="AA101">
        <f t="shared" si="6"/>
        <v>0</v>
      </c>
      <c r="AB101">
        <f t="shared" si="7"/>
        <v>1</v>
      </c>
      <c r="AC101">
        <f t="shared" si="8"/>
        <v>1</v>
      </c>
      <c r="AD101" s="1">
        <f t="shared" si="9"/>
        <v>8</v>
      </c>
    </row>
    <row r="102" spans="1:30" x14ac:dyDescent="0.35">
      <c r="A102" t="s">
        <v>50</v>
      </c>
      <c r="B102">
        <v>16</v>
      </c>
      <c r="C102" t="s">
        <v>35</v>
      </c>
      <c r="D102" t="s">
        <v>36</v>
      </c>
      <c r="E102" t="s">
        <v>44</v>
      </c>
      <c r="F102" t="s">
        <v>48</v>
      </c>
      <c r="G102" t="s">
        <v>48</v>
      </c>
      <c r="H102">
        <v>1</v>
      </c>
      <c r="I102">
        <v>0</v>
      </c>
      <c r="J102" t="s">
        <v>42</v>
      </c>
      <c r="K102" t="s">
        <v>42</v>
      </c>
      <c r="L102" t="s">
        <v>42</v>
      </c>
      <c r="M102" t="s">
        <v>42</v>
      </c>
      <c r="N102" t="s">
        <v>43</v>
      </c>
      <c r="O102">
        <v>4</v>
      </c>
      <c r="P102">
        <v>5</v>
      </c>
      <c r="Q102">
        <v>5</v>
      </c>
      <c r="R102">
        <v>5</v>
      </c>
      <c r="S102">
        <v>5</v>
      </c>
      <c r="T102">
        <f t="shared" si="5"/>
        <v>10</v>
      </c>
      <c r="U102" t="str" cm="1">
        <f t="array" ref="U102">_xlfn.IFS(T102&lt;3, "low", AND(T102&gt;=3, T102&lt;5), "med", T102&gt;=5, "high")</f>
        <v>high</v>
      </c>
      <c r="V102">
        <v>14</v>
      </c>
      <c r="W102" t="str" cm="1">
        <f t="array" ref="W102">_xlfn.IFS(V102&lt;5, "low", AND(V102&gt;=5, V102&lt;10), "med", V102&gt;=10, "high")</f>
        <v>high</v>
      </c>
      <c r="X102">
        <v>7</v>
      </c>
      <c r="Y102">
        <v>7</v>
      </c>
      <c r="Z102">
        <v>5</v>
      </c>
      <c r="AA102">
        <f t="shared" si="6"/>
        <v>0</v>
      </c>
      <c r="AB102">
        <f t="shared" si="7"/>
        <v>1</v>
      </c>
      <c r="AC102">
        <f t="shared" si="8"/>
        <v>1</v>
      </c>
      <c r="AD102" s="1">
        <f t="shared" si="9"/>
        <v>6.333333333333333</v>
      </c>
    </row>
    <row r="103" spans="1:30" x14ac:dyDescent="0.35">
      <c r="A103" t="s">
        <v>50</v>
      </c>
      <c r="B103">
        <v>16</v>
      </c>
      <c r="C103" t="s">
        <v>35</v>
      </c>
      <c r="D103" t="s">
        <v>36</v>
      </c>
      <c r="E103" t="s">
        <v>44</v>
      </c>
      <c r="F103" t="s">
        <v>48</v>
      </c>
      <c r="G103" t="s">
        <v>39</v>
      </c>
      <c r="H103">
        <v>3</v>
      </c>
      <c r="I103">
        <v>0</v>
      </c>
      <c r="J103" t="s">
        <v>43</v>
      </c>
      <c r="K103" t="s">
        <v>42</v>
      </c>
      <c r="L103" t="s">
        <v>43</v>
      </c>
      <c r="M103" t="s">
        <v>42</v>
      </c>
      <c r="N103" t="s">
        <v>42</v>
      </c>
      <c r="O103">
        <v>4</v>
      </c>
      <c r="P103">
        <v>4</v>
      </c>
      <c r="Q103">
        <v>3</v>
      </c>
      <c r="R103">
        <v>1</v>
      </c>
      <c r="S103">
        <v>1</v>
      </c>
      <c r="T103">
        <f t="shared" si="5"/>
        <v>2</v>
      </c>
      <c r="U103" t="str" cm="1">
        <f t="array" ref="U103">_xlfn.IFS(T103&lt;3, "low", AND(T103&gt;=3, T103&lt;5), "med", T103&gt;=5, "high")</f>
        <v>low</v>
      </c>
      <c r="V103">
        <v>0</v>
      </c>
      <c r="W103" t="str" cm="1">
        <f t="array" ref="W103">_xlfn.IFS(V103&lt;5, "low", AND(V103&gt;=5, V103&lt;10), "med", V103&gt;=10, "high")</f>
        <v>low</v>
      </c>
      <c r="X103">
        <v>16</v>
      </c>
      <c r="Y103">
        <v>17</v>
      </c>
      <c r="Z103">
        <v>17</v>
      </c>
      <c r="AA103">
        <f t="shared" si="6"/>
        <v>0</v>
      </c>
      <c r="AB103">
        <f t="shared" si="7"/>
        <v>0</v>
      </c>
      <c r="AC103">
        <f t="shared" si="8"/>
        <v>0</v>
      </c>
      <c r="AD103" s="1">
        <f t="shared" si="9"/>
        <v>16.666666666666668</v>
      </c>
    </row>
    <row r="104" spans="1:30" x14ac:dyDescent="0.35">
      <c r="A104" t="s">
        <v>50</v>
      </c>
      <c r="B104">
        <v>15</v>
      </c>
      <c r="C104" t="s">
        <v>35</v>
      </c>
      <c r="D104" t="s">
        <v>36</v>
      </c>
      <c r="E104" t="s">
        <v>44</v>
      </c>
      <c r="F104" t="s">
        <v>48</v>
      </c>
      <c r="G104" t="s">
        <v>45</v>
      </c>
      <c r="H104">
        <v>1</v>
      </c>
      <c r="I104">
        <v>0</v>
      </c>
      <c r="J104" t="s">
        <v>43</v>
      </c>
      <c r="K104" t="s">
        <v>42</v>
      </c>
      <c r="L104" t="s">
        <v>43</v>
      </c>
      <c r="M104" t="s">
        <v>42</v>
      </c>
      <c r="N104" t="s">
        <v>43</v>
      </c>
      <c r="O104">
        <v>5</v>
      </c>
      <c r="P104">
        <v>3</v>
      </c>
      <c r="Q104">
        <v>3</v>
      </c>
      <c r="R104">
        <v>1</v>
      </c>
      <c r="S104">
        <v>1</v>
      </c>
      <c r="T104">
        <f t="shared" si="5"/>
        <v>2</v>
      </c>
      <c r="U104" t="str" cm="1">
        <f t="array" ref="U104">_xlfn.IFS(T104&lt;3, "low", AND(T104&gt;=3, T104&lt;5), "med", T104&gt;=5, "high")</f>
        <v>low</v>
      </c>
      <c r="V104">
        <v>4</v>
      </c>
      <c r="W104" t="str" cm="1">
        <f t="array" ref="W104">_xlfn.IFS(V104&lt;5, "low", AND(V104&gt;=5, V104&lt;10), "med", V104&gt;=10, "high")</f>
        <v>low</v>
      </c>
      <c r="X104">
        <v>10</v>
      </c>
      <c r="Y104">
        <v>13</v>
      </c>
      <c r="Z104">
        <v>14</v>
      </c>
      <c r="AA104">
        <f t="shared" si="6"/>
        <v>0</v>
      </c>
      <c r="AB104">
        <f t="shared" si="7"/>
        <v>0</v>
      </c>
      <c r="AC104">
        <f t="shared" si="8"/>
        <v>0</v>
      </c>
      <c r="AD104" s="1">
        <f t="shared" si="9"/>
        <v>12.333333333333334</v>
      </c>
    </row>
    <row r="105" spans="1:30" x14ac:dyDescent="0.35">
      <c r="A105" t="s">
        <v>34</v>
      </c>
      <c r="B105">
        <v>15</v>
      </c>
      <c r="C105" t="s">
        <v>35</v>
      </c>
      <c r="D105" t="s">
        <v>36</v>
      </c>
      <c r="E105" t="s">
        <v>44</v>
      </c>
      <c r="F105" t="s">
        <v>48</v>
      </c>
      <c r="G105" t="s">
        <v>45</v>
      </c>
      <c r="H105">
        <v>2</v>
      </c>
      <c r="I105">
        <v>0</v>
      </c>
      <c r="J105" t="s">
        <v>42</v>
      </c>
      <c r="K105" t="s">
        <v>42</v>
      </c>
      <c r="L105" t="s">
        <v>42</v>
      </c>
      <c r="M105" t="s">
        <v>43</v>
      </c>
      <c r="N105" t="s">
        <v>43</v>
      </c>
      <c r="O105">
        <v>4</v>
      </c>
      <c r="P105">
        <v>3</v>
      </c>
      <c r="Q105">
        <v>5</v>
      </c>
      <c r="R105">
        <v>1</v>
      </c>
      <c r="S105">
        <v>1</v>
      </c>
      <c r="T105">
        <f t="shared" si="5"/>
        <v>2</v>
      </c>
      <c r="U105" t="str" cm="1">
        <f t="array" ref="U105">_xlfn.IFS(T105&lt;3, "low", AND(T105&gt;=3, T105&lt;5), "med", T105&gt;=5, "high")</f>
        <v>low</v>
      </c>
      <c r="V105">
        <v>26</v>
      </c>
      <c r="W105" t="str" cm="1">
        <f t="array" ref="W105">_xlfn.IFS(V105&lt;5, "low", AND(V105&gt;=5, V105&lt;10), "med", V105&gt;=10, "high")</f>
        <v>high</v>
      </c>
      <c r="X105">
        <v>7</v>
      </c>
      <c r="Y105">
        <v>6</v>
      </c>
      <c r="Z105">
        <v>6</v>
      </c>
      <c r="AA105">
        <f t="shared" si="6"/>
        <v>1</v>
      </c>
      <c r="AB105">
        <f t="shared" si="7"/>
        <v>0</v>
      </c>
      <c r="AC105">
        <f t="shared" si="8"/>
        <v>1</v>
      </c>
      <c r="AD105" s="1">
        <f t="shared" si="9"/>
        <v>6.333333333333333</v>
      </c>
    </row>
    <row r="106" spans="1:30" x14ac:dyDescent="0.35">
      <c r="A106" t="s">
        <v>50</v>
      </c>
      <c r="B106">
        <v>15</v>
      </c>
      <c r="C106" t="s">
        <v>35</v>
      </c>
      <c r="D106" t="s">
        <v>36</v>
      </c>
      <c r="E106" t="s">
        <v>37</v>
      </c>
      <c r="F106" t="s">
        <v>48</v>
      </c>
      <c r="G106" t="s">
        <v>45</v>
      </c>
      <c r="H106">
        <v>2</v>
      </c>
      <c r="I106">
        <v>0</v>
      </c>
      <c r="J106" t="s">
        <v>43</v>
      </c>
      <c r="K106" t="s">
        <v>42</v>
      </c>
      <c r="L106" t="s">
        <v>42</v>
      </c>
      <c r="M106" t="s">
        <v>42</v>
      </c>
      <c r="N106" t="s">
        <v>43</v>
      </c>
      <c r="O106">
        <v>5</v>
      </c>
      <c r="P106">
        <v>4</v>
      </c>
      <c r="Q106">
        <v>4</v>
      </c>
      <c r="R106">
        <v>1</v>
      </c>
      <c r="S106">
        <v>1</v>
      </c>
      <c r="T106">
        <f t="shared" si="5"/>
        <v>2</v>
      </c>
      <c r="U106" t="str" cm="1">
        <f t="array" ref="U106">_xlfn.IFS(T106&lt;3, "low", AND(T106&gt;=3, T106&lt;5), "med", T106&gt;=5, "high")</f>
        <v>low</v>
      </c>
      <c r="V106">
        <v>0</v>
      </c>
      <c r="W106" t="str" cm="1">
        <f t="array" ref="W106">_xlfn.IFS(V106&lt;5, "low", AND(V106&gt;=5, V106&lt;10), "med", V106&gt;=10, "high")</f>
        <v>low</v>
      </c>
      <c r="X106">
        <v>16</v>
      </c>
      <c r="Y106">
        <v>18</v>
      </c>
      <c r="Z106">
        <v>18</v>
      </c>
      <c r="AA106">
        <f t="shared" si="6"/>
        <v>0</v>
      </c>
      <c r="AB106">
        <f t="shared" si="7"/>
        <v>0</v>
      </c>
      <c r="AC106">
        <f t="shared" si="8"/>
        <v>0</v>
      </c>
      <c r="AD106" s="1">
        <f t="shared" si="9"/>
        <v>17.333333333333332</v>
      </c>
    </row>
    <row r="107" spans="1:30" x14ac:dyDescent="0.35">
      <c r="A107" t="s">
        <v>34</v>
      </c>
      <c r="B107">
        <v>15</v>
      </c>
      <c r="C107" t="s">
        <v>35</v>
      </c>
      <c r="D107" t="s">
        <v>36</v>
      </c>
      <c r="E107" t="s">
        <v>37</v>
      </c>
      <c r="F107" t="s">
        <v>45</v>
      </c>
      <c r="G107" t="s">
        <v>28</v>
      </c>
      <c r="H107">
        <v>4</v>
      </c>
      <c r="I107">
        <v>0</v>
      </c>
      <c r="J107" t="s">
        <v>42</v>
      </c>
      <c r="K107" t="s">
        <v>43</v>
      </c>
      <c r="L107" t="s">
        <v>43</v>
      </c>
      <c r="M107" t="s">
        <v>43</v>
      </c>
      <c r="N107" t="s">
        <v>43</v>
      </c>
      <c r="O107">
        <v>4</v>
      </c>
      <c r="P107">
        <v>3</v>
      </c>
      <c r="Q107">
        <v>3</v>
      </c>
      <c r="R107">
        <v>1</v>
      </c>
      <c r="S107">
        <v>1</v>
      </c>
      <c r="T107">
        <f t="shared" si="5"/>
        <v>2</v>
      </c>
      <c r="U107" t="str" cm="1">
        <f t="array" ref="U107">_xlfn.IFS(T107&lt;3, "low", AND(T107&gt;=3, T107&lt;5), "med", T107&gt;=5, "high")</f>
        <v>low</v>
      </c>
      <c r="V107">
        <v>10</v>
      </c>
      <c r="W107" t="str" cm="1">
        <f t="array" ref="W107">_xlfn.IFS(V107&lt;5, "low", AND(V107&gt;=5, V107&lt;10), "med", V107&gt;=10, "high")</f>
        <v>high</v>
      </c>
      <c r="X107">
        <v>10</v>
      </c>
      <c r="Y107">
        <v>11</v>
      </c>
      <c r="Z107">
        <v>11</v>
      </c>
      <c r="AA107">
        <f t="shared" si="6"/>
        <v>0</v>
      </c>
      <c r="AB107">
        <f t="shared" si="7"/>
        <v>0</v>
      </c>
      <c r="AC107">
        <f t="shared" si="8"/>
        <v>0</v>
      </c>
      <c r="AD107" s="1">
        <f t="shared" si="9"/>
        <v>10.666666666666666</v>
      </c>
    </row>
    <row r="108" spans="1:30" x14ac:dyDescent="0.35">
      <c r="A108" t="s">
        <v>34</v>
      </c>
      <c r="B108">
        <v>15</v>
      </c>
      <c r="C108" t="s">
        <v>35</v>
      </c>
      <c r="D108" t="s">
        <v>36</v>
      </c>
      <c r="E108" t="s">
        <v>44</v>
      </c>
      <c r="F108" t="s">
        <v>45</v>
      </c>
      <c r="G108" t="s">
        <v>45</v>
      </c>
      <c r="H108">
        <v>4</v>
      </c>
      <c r="I108">
        <v>0</v>
      </c>
      <c r="J108" t="s">
        <v>42</v>
      </c>
      <c r="K108" t="s">
        <v>42</v>
      </c>
      <c r="L108" t="s">
        <v>42</v>
      </c>
      <c r="M108" t="s">
        <v>43</v>
      </c>
      <c r="N108" t="s">
        <v>43</v>
      </c>
      <c r="O108">
        <v>5</v>
      </c>
      <c r="P108">
        <v>1</v>
      </c>
      <c r="Q108">
        <v>2</v>
      </c>
      <c r="R108">
        <v>1</v>
      </c>
      <c r="S108">
        <v>1</v>
      </c>
      <c r="T108">
        <f t="shared" si="5"/>
        <v>2</v>
      </c>
      <c r="U108" t="str" cm="1">
        <f t="array" ref="U108">_xlfn.IFS(T108&lt;3, "low", AND(T108&gt;=3, T108&lt;5), "med", T108&gt;=5, "high")</f>
        <v>low</v>
      </c>
      <c r="V108">
        <v>8</v>
      </c>
      <c r="W108" t="str" cm="1">
        <f t="array" ref="W108">_xlfn.IFS(V108&lt;5, "low", AND(V108&gt;=5, V108&lt;10), "med", V108&gt;=10, "high")</f>
        <v>med</v>
      </c>
      <c r="X108">
        <v>7</v>
      </c>
      <c r="Y108">
        <v>8</v>
      </c>
      <c r="Z108">
        <v>8</v>
      </c>
      <c r="AA108">
        <f t="shared" si="6"/>
        <v>0</v>
      </c>
      <c r="AB108">
        <f t="shared" si="7"/>
        <v>0</v>
      </c>
      <c r="AC108">
        <f t="shared" si="8"/>
        <v>0</v>
      </c>
      <c r="AD108" s="1">
        <f t="shared" si="9"/>
        <v>7.666666666666667</v>
      </c>
    </row>
    <row r="109" spans="1:30" x14ac:dyDescent="0.35">
      <c r="A109" t="s">
        <v>50</v>
      </c>
      <c r="B109">
        <v>16</v>
      </c>
      <c r="C109" t="s">
        <v>35</v>
      </c>
      <c r="D109" t="s">
        <v>36</v>
      </c>
      <c r="E109" t="s">
        <v>44</v>
      </c>
      <c r="F109" t="s">
        <v>48</v>
      </c>
      <c r="G109" t="s">
        <v>45</v>
      </c>
      <c r="H109">
        <v>3</v>
      </c>
      <c r="I109">
        <v>0</v>
      </c>
      <c r="J109" t="s">
        <v>43</v>
      </c>
      <c r="K109" t="s">
        <v>42</v>
      </c>
      <c r="L109" t="s">
        <v>43</v>
      </c>
      <c r="M109" t="s">
        <v>42</v>
      </c>
      <c r="N109" t="s">
        <v>43</v>
      </c>
      <c r="O109">
        <v>5</v>
      </c>
      <c r="P109">
        <v>3</v>
      </c>
      <c r="Q109">
        <v>3</v>
      </c>
      <c r="R109">
        <v>1</v>
      </c>
      <c r="S109">
        <v>1</v>
      </c>
      <c r="T109">
        <f t="shared" si="5"/>
        <v>2</v>
      </c>
      <c r="U109" t="str" cm="1">
        <f t="array" ref="U109">_xlfn.IFS(T109&lt;3, "low", AND(T109&gt;=3, T109&lt;5), "med", T109&gt;=5, "high")</f>
        <v>low</v>
      </c>
      <c r="V109">
        <v>2</v>
      </c>
      <c r="W109" t="str" cm="1">
        <f t="array" ref="W109">_xlfn.IFS(V109&lt;5, "low", AND(V109&gt;=5, V109&lt;10), "med", V109&gt;=10, "high")</f>
        <v>low</v>
      </c>
      <c r="X109">
        <v>16</v>
      </c>
      <c r="Y109">
        <v>18</v>
      </c>
      <c r="Z109">
        <v>18</v>
      </c>
      <c r="AA109">
        <f t="shared" si="6"/>
        <v>0</v>
      </c>
      <c r="AB109">
        <f t="shared" si="7"/>
        <v>0</v>
      </c>
      <c r="AC109">
        <f t="shared" si="8"/>
        <v>0</v>
      </c>
      <c r="AD109" s="1">
        <f t="shared" si="9"/>
        <v>17.333333333333332</v>
      </c>
    </row>
    <row r="110" spans="1:30" x14ac:dyDescent="0.35">
      <c r="A110" t="s">
        <v>50</v>
      </c>
      <c r="B110">
        <v>15</v>
      </c>
      <c r="C110" t="s">
        <v>52</v>
      </c>
      <c r="D110" t="s">
        <v>36</v>
      </c>
      <c r="E110" t="s">
        <v>44</v>
      </c>
      <c r="F110" t="s">
        <v>45</v>
      </c>
      <c r="G110" t="s">
        <v>45</v>
      </c>
      <c r="H110">
        <v>4</v>
      </c>
      <c r="I110">
        <v>0</v>
      </c>
      <c r="J110" t="s">
        <v>43</v>
      </c>
      <c r="K110" t="s">
        <v>42</v>
      </c>
      <c r="L110" t="s">
        <v>42</v>
      </c>
      <c r="M110" t="s">
        <v>42</v>
      </c>
      <c r="N110" t="s">
        <v>42</v>
      </c>
      <c r="O110">
        <v>1</v>
      </c>
      <c r="P110">
        <v>3</v>
      </c>
      <c r="Q110">
        <v>5</v>
      </c>
      <c r="R110">
        <v>3</v>
      </c>
      <c r="S110">
        <v>5</v>
      </c>
      <c r="T110">
        <f t="shared" si="5"/>
        <v>8</v>
      </c>
      <c r="U110" t="str" cm="1">
        <f t="array" ref="U110">_xlfn.IFS(T110&lt;3, "low", AND(T110&gt;=3, T110&lt;5), "med", T110&gt;=5, "high")</f>
        <v>high</v>
      </c>
      <c r="V110">
        <v>6</v>
      </c>
      <c r="W110" t="str" cm="1">
        <f t="array" ref="W110">_xlfn.IFS(V110&lt;5, "low", AND(V110&gt;=5, V110&lt;10), "med", V110&gt;=10, "high")</f>
        <v>med</v>
      </c>
      <c r="X110">
        <v>10</v>
      </c>
      <c r="Y110">
        <v>13</v>
      </c>
      <c r="Z110">
        <v>13</v>
      </c>
      <c r="AA110">
        <f t="shared" si="6"/>
        <v>0</v>
      </c>
      <c r="AB110">
        <f t="shared" si="7"/>
        <v>0</v>
      </c>
      <c r="AC110">
        <f t="shared" si="8"/>
        <v>0</v>
      </c>
      <c r="AD110" s="1">
        <f t="shared" si="9"/>
        <v>12</v>
      </c>
    </row>
    <row r="111" spans="1:30" x14ac:dyDescent="0.35">
      <c r="A111" t="s">
        <v>34</v>
      </c>
      <c r="B111">
        <v>16</v>
      </c>
      <c r="C111" t="s">
        <v>35</v>
      </c>
      <c r="D111" t="s">
        <v>47</v>
      </c>
      <c r="E111" t="s">
        <v>44</v>
      </c>
      <c r="F111" t="s">
        <v>28</v>
      </c>
      <c r="G111" t="s">
        <v>28</v>
      </c>
      <c r="H111">
        <v>3</v>
      </c>
      <c r="I111">
        <v>0</v>
      </c>
      <c r="J111" t="s">
        <v>43</v>
      </c>
      <c r="K111" t="s">
        <v>42</v>
      </c>
      <c r="L111" t="s">
        <v>42</v>
      </c>
      <c r="M111" t="s">
        <v>42</v>
      </c>
      <c r="N111" t="s">
        <v>42</v>
      </c>
      <c r="O111">
        <v>5</v>
      </c>
      <c r="P111">
        <v>4</v>
      </c>
      <c r="Q111">
        <v>5</v>
      </c>
      <c r="R111">
        <v>1</v>
      </c>
      <c r="S111">
        <v>1</v>
      </c>
      <c r="T111">
        <f t="shared" si="5"/>
        <v>2</v>
      </c>
      <c r="U111" t="str" cm="1">
        <f t="array" ref="U111">_xlfn.IFS(T111&lt;3, "low", AND(T111&gt;=3, T111&lt;5), "med", T111&gt;=5, "high")</f>
        <v>low</v>
      </c>
      <c r="V111">
        <v>4</v>
      </c>
      <c r="W111" t="str" cm="1">
        <f t="array" ref="W111">_xlfn.IFS(V111&lt;5, "low", AND(V111&gt;=5, V111&lt;10), "med", V111&gt;=10, "high")</f>
        <v>low</v>
      </c>
      <c r="X111">
        <v>14</v>
      </c>
      <c r="Y111">
        <v>15</v>
      </c>
      <c r="Z111">
        <v>16</v>
      </c>
      <c r="AA111">
        <f t="shared" si="6"/>
        <v>0</v>
      </c>
      <c r="AB111">
        <f t="shared" si="7"/>
        <v>0</v>
      </c>
      <c r="AC111">
        <f t="shared" si="8"/>
        <v>0</v>
      </c>
      <c r="AD111" s="1">
        <f t="shared" si="9"/>
        <v>15</v>
      </c>
    </row>
    <row r="112" spans="1:30" x14ac:dyDescent="0.35">
      <c r="A112" t="s">
        <v>50</v>
      </c>
      <c r="B112">
        <v>15</v>
      </c>
      <c r="C112" t="s">
        <v>35</v>
      </c>
      <c r="D112" t="s">
        <v>47</v>
      </c>
      <c r="E112" t="s">
        <v>37</v>
      </c>
      <c r="F112" t="s">
        <v>39</v>
      </c>
      <c r="G112" t="s">
        <v>39</v>
      </c>
      <c r="H112">
        <v>1</v>
      </c>
      <c r="I112">
        <v>0</v>
      </c>
      <c r="J112" t="s">
        <v>43</v>
      </c>
      <c r="K112" t="s">
        <v>43</v>
      </c>
      <c r="L112" t="s">
        <v>43</v>
      </c>
      <c r="M112" t="s">
        <v>42</v>
      </c>
      <c r="N112" t="s">
        <v>43</v>
      </c>
      <c r="O112">
        <v>5</v>
      </c>
      <c r="P112">
        <v>5</v>
      </c>
      <c r="Q112">
        <v>3</v>
      </c>
      <c r="R112">
        <v>1</v>
      </c>
      <c r="S112">
        <v>1</v>
      </c>
      <c r="T112">
        <f t="shared" si="5"/>
        <v>2</v>
      </c>
      <c r="U112" t="str" cm="1">
        <f t="array" ref="U112">_xlfn.IFS(T112&lt;3, "low", AND(T112&gt;=3, T112&lt;5), "med", T112&gt;=5, "high")</f>
        <v>low</v>
      </c>
      <c r="V112">
        <v>6</v>
      </c>
      <c r="W112" t="str" cm="1">
        <f t="array" ref="W112">_xlfn.IFS(V112&lt;5, "low", AND(V112&gt;=5, V112&lt;10), "med", V112&gt;=10, "high")</f>
        <v>med</v>
      </c>
      <c r="X112">
        <v>18</v>
      </c>
      <c r="Y112">
        <v>19</v>
      </c>
      <c r="Z112">
        <v>19</v>
      </c>
      <c r="AA112">
        <f t="shared" si="6"/>
        <v>0</v>
      </c>
      <c r="AB112">
        <f t="shared" si="7"/>
        <v>0</v>
      </c>
      <c r="AC112">
        <f t="shared" si="8"/>
        <v>0</v>
      </c>
      <c r="AD112" s="1">
        <f t="shared" si="9"/>
        <v>18.666666666666668</v>
      </c>
    </row>
    <row r="113" spans="1:30" x14ac:dyDescent="0.35">
      <c r="A113" t="s">
        <v>34</v>
      </c>
      <c r="B113">
        <v>16</v>
      </c>
      <c r="C113" t="s">
        <v>52</v>
      </c>
      <c r="D113" t="s">
        <v>36</v>
      </c>
      <c r="E113" t="s">
        <v>44</v>
      </c>
      <c r="F113" t="s">
        <v>48</v>
      </c>
      <c r="G113" t="s">
        <v>45</v>
      </c>
      <c r="H113">
        <v>3</v>
      </c>
      <c r="I113">
        <v>1</v>
      </c>
      <c r="J113" t="s">
        <v>42</v>
      </c>
      <c r="K113" t="s">
        <v>42</v>
      </c>
      <c r="L113" t="s">
        <v>43</v>
      </c>
      <c r="M113" t="s">
        <v>42</v>
      </c>
      <c r="N113" t="s">
        <v>43</v>
      </c>
      <c r="O113">
        <v>4</v>
      </c>
      <c r="P113">
        <v>1</v>
      </c>
      <c r="Q113">
        <v>2</v>
      </c>
      <c r="R113">
        <v>1</v>
      </c>
      <c r="S113">
        <v>1</v>
      </c>
      <c r="T113">
        <f t="shared" si="5"/>
        <v>2</v>
      </c>
      <c r="U113" t="str" cm="1">
        <f t="array" ref="U113">_xlfn.IFS(T113&lt;3, "low", AND(T113&gt;=3, T113&lt;5), "med", T113&gt;=5, "high")</f>
        <v>low</v>
      </c>
      <c r="V113">
        <v>0</v>
      </c>
      <c r="W113" t="str" cm="1">
        <f t="array" ref="W113">_xlfn.IFS(V113&lt;5, "low", AND(V113&gt;=5, V113&lt;10), "med", V113&gt;=10, "high")</f>
        <v>low</v>
      </c>
      <c r="X113">
        <v>7</v>
      </c>
      <c r="Y113">
        <v>10</v>
      </c>
      <c r="Z113">
        <v>10</v>
      </c>
      <c r="AA113">
        <f t="shared" si="6"/>
        <v>0</v>
      </c>
      <c r="AB113">
        <f t="shared" si="7"/>
        <v>0</v>
      </c>
      <c r="AC113">
        <f t="shared" si="8"/>
        <v>0</v>
      </c>
      <c r="AD113" s="1">
        <f t="shared" si="9"/>
        <v>9</v>
      </c>
    </row>
    <row r="114" spans="1:30" x14ac:dyDescent="0.35">
      <c r="A114" t="s">
        <v>34</v>
      </c>
      <c r="B114">
        <v>16</v>
      </c>
      <c r="C114" t="s">
        <v>35</v>
      </c>
      <c r="D114" t="s">
        <v>36</v>
      </c>
      <c r="E114" t="s">
        <v>44</v>
      </c>
      <c r="F114" t="s">
        <v>38</v>
      </c>
      <c r="G114" t="s">
        <v>45</v>
      </c>
      <c r="H114">
        <v>2</v>
      </c>
      <c r="I114">
        <v>1</v>
      </c>
      <c r="J114" t="s">
        <v>42</v>
      </c>
      <c r="K114" t="s">
        <v>43</v>
      </c>
      <c r="L114" t="s">
        <v>43</v>
      </c>
      <c r="M114" t="s">
        <v>42</v>
      </c>
      <c r="N114" t="s">
        <v>43</v>
      </c>
      <c r="O114">
        <v>3</v>
      </c>
      <c r="P114">
        <v>1</v>
      </c>
      <c r="Q114">
        <v>2</v>
      </c>
      <c r="R114">
        <v>1</v>
      </c>
      <c r="S114">
        <v>1</v>
      </c>
      <c r="T114">
        <f t="shared" si="5"/>
        <v>2</v>
      </c>
      <c r="U114" t="str" cm="1">
        <f t="array" ref="U114">_xlfn.IFS(T114&lt;3, "low", AND(T114&gt;=3, T114&lt;5), "med", T114&gt;=5, "high")</f>
        <v>low</v>
      </c>
      <c r="V114">
        <v>6</v>
      </c>
      <c r="W114" t="str" cm="1">
        <f t="array" ref="W114">_xlfn.IFS(V114&lt;5, "low", AND(V114&gt;=5, V114&lt;10), "med", V114&gt;=10, "high")</f>
        <v>med</v>
      </c>
      <c r="X114">
        <v>10</v>
      </c>
      <c r="Y114">
        <v>13</v>
      </c>
      <c r="Z114">
        <v>13</v>
      </c>
      <c r="AA114">
        <f t="shared" si="6"/>
        <v>0</v>
      </c>
      <c r="AB114">
        <f t="shared" si="7"/>
        <v>0</v>
      </c>
      <c r="AC114">
        <f t="shared" si="8"/>
        <v>0</v>
      </c>
      <c r="AD114" s="1">
        <f t="shared" si="9"/>
        <v>12</v>
      </c>
    </row>
    <row r="115" spans="1:30" x14ac:dyDescent="0.35">
      <c r="A115" t="s">
        <v>50</v>
      </c>
      <c r="B115">
        <v>15</v>
      </c>
      <c r="C115" t="s">
        <v>35</v>
      </c>
      <c r="D115" t="s">
        <v>47</v>
      </c>
      <c r="E115" t="s">
        <v>44</v>
      </c>
      <c r="F115" t="s">
        <v>39</v>
      </c>
      <c r="G115" t="s">
        <v>45</v>
      </c>
      <c r="H115">
        <v>1</v>
      </c>
      <c r="I115">
        <v>0</v>
      </c>
      <c r="J115" t="s">
        <v>43</v>
      </c>
      <c r="K115" t="s">
        <v>43</v>
      </c>
      <c r="L115" t="s">
        <v>43</v>
      </c>
      <c r="M115" t="s">
        <v>43</v>
      </c>
      <c r="N115" t="s">
        <v>43</v>
      </c>
      <c r="O115">
        <v>3</v>
      </c>
      <c r="P115">
        <v>5</v>
      </c>
      <c r="Q115">
        <v>2</v>
      </c>
      <c r="R115">
        <v>1</v>
      </c>
      <c r="S115">
        <v>1</v>
      </c>
      <c r="T115">
        <f t="shared" si="5"/>
        <v>2</v>
      </c>
      <c r="U115" t="str" cm="1">
        <f t="array" ref="U115">_xlfn.IFS(T115&lt;3, "low", AND(T115&gt;=3, T115&lt;5), "med", T115&gt;=5, "high")</f>
        <v>low</v>
      </c>
      <c r="V115">
        <v>10</v>
      </c>
      <c r="W115" t="str" cm="1">
        <f t="array" ref="W115">_xlfn.IFS(V115&lt;5, "low", AND(V115&gt;=5, V115&lt;10), "med", V115&gt;=10, "high")</f>
        <v>high</v>
      </c>
      <c r="X115">
        <v>18</v>
      </c>
      <c r="Y115">
        <v>19</v>
      </c>
      <c r="Z115">
        <v>19</v>
      </c>
      <c r="AA115">
        <f t="shared" si="6"/>
        <v>0</v>
      </c>
      <c r="AB115">
        <f t="shared" si="7"/>
        <v>0</v>
      </c>
      <c r="AC115">
        <f t="shared" si="8"/>
        <v>0</v>
      </c>
      <c r="AD115" s="1">
        <f t="shared" si="9"/>
        <v>18.666666666666668</v>
      </c>
    </row>
    <row r="116" spans="1:30" x14ac:dyDescent="0.35">
      <c r="A116" t="s">
        <v>50</v>
      </c>
      <c r="B116">
        <v>15</v>
      </c>
      <c r="C116" t="s">
        <v>52</v>
      </c>
      <c r="D116" t="s">
        <v>36</v>
      </c>
      <c r="E116" t="s">
        <v>44</v>
      </c>
      <c r="F116" t="s">
        <v>28</v>
      </c>
      <c r="G116" t="s">
        <v>48</v>
      </c>
      <c r="H116">
        <v>2</v>
      </c>
      <c r="I116">
        <v>0</v>
      </c>
      <c r="J116" t="s">
        <v>43</v>
      </c>
      <c r="K116" t="s">
        <v>43</v>
      </c>
      <c r="L116" t="s">
        <v>43</v>
      </c>
      <c r="M116" t="s">
        <v>42</v>
      </c>
      <c r="N116" t="s">
        <v>42</v>
      </c>
      <c r="O116">
        <v>5</v>
      </c>
      <c r="P116">
        <v>4</v>
      </c>
      <c r="Q116">
        <v>2</v>
      </c>
      <c r="R116">
        <v>1</v>
      </c>
      <c r="S116">
        <v>1</v>
      </c>
      <c r="T116">
        <f t="shared" si="5"/>
        <v>2</v>
      </c>
      <c r="U116" t="str" cm="1">
        <f t="array" ref="U116">_xlfn.IFS(T116&lt;3, "low", AND(T116&gt;=3, T116&lt;5), "med", T116&gt;=5, "high")</f>
        <v>low</v>
      </c>
      <c r="V116">
        <v>8</v>
      </c>
      <c r="W116" t="str" cm="1">
        <f t="array" ref="W116">_xlfn.IFS(V116&lt;5, "low", AND(V116&gt;=5, V116&lt;10), "med", V116&gt;=10, "high")</f>
        <v>med</v>
      </c>
      <c r="X116">
        <v>9</v>
      </c>
      <c r="Y116">
        <v>9</v>
      </c>
      <c r="Z116">
        <v>9</v>
      </c>
      <c r="AA116">
        <f t="shared" si="6"/>
        <v>0</v>
      </c>
      <c r="AB116">
        <f t="shared" si="7"/>
        <v>0</v>
      </c>
      <c r="AC116">
        <f t="shared" si="8"/>
        <v>0</v>
      </c>
      <c r="AD116" s="1">
        <f t="shared" si="9"/>
        <v>9</v>
      </c>
    </row>
    <row r="117" spans="1:30" x14ac:dyDescent="0.35">
      <c r="A117" t="s">
        <v>50</v>
      </c>
      <c r="B117">
        <v>16</v>
      </c>
      <c r="C117" t="s">
        <v>35</v>
      </c>
      <c r="D117" t="s">
        <v>36</v>
      </c>
      <c r="E117" t="s">
        <v>44</v>
      </c>
      <c r="F117" t="s">
        <v>39</v>
      </c>
      <c r="G117" t="s">
        <v>39</v>
      </c>
      <c r="H117">
        <v>2</v>
      </c>
      <c r="I117">
        <v>0</v>
      </c>
      <c r="J117" t="s">
        <v>43</v>
      </c>
      <c r="K117" t="s">
        <v>42</v>
      </c>
      <c r="L117" t="s">
        <v>43</v>
      </c>
      <c r="M117" t="s">
        <v>42</v>
      </c>
      <c r="N117" t="s">
        <v>43</v>
      </c>
      <c r="O117">
        <v>5</v>
      </c>
      <c r="P117">
        <v>4</v>
      </c>
      <c r="Q117">
        <v>4</v>
      </c>
      <c r="R117">
        <v>1</v>
      </c>
      <c r="S117">
        <v>2</v>
      </c>
      <c r="T117">
        <f t="shared" si="5"/>
        <v>3</v>
      </c>
      <c r="U117" t="str" cm="1">
        <f t="array" ref="U117">_xlfn.IFS(T117&lt;3, "low", AND(T117&gt;=3, T117&lt;5), "med", T117&gt;=5, "high")</f>
        <v>med</v>
      </c>
      <c r="V117">
        <v>2</v>
      </c>
      <c r="W117" t="str" cm="1">
        <f t="array" ref="W117">_xlfn.IFS(V117&lt;5, "low", AND(V117&gt;=5, V117&lt;10), "med", V117&gt;=10, "high")</f>
        <v>low</v>
      </c>
      <c r="X117">
        <v>15</v>
      </c>
      <c r="Y117">
        <v>15</v>
      </c>
      <c r="Z117">
        <v>16</v>
      </c>
      <c r="AA117">
        <f t="shared" si="6"/>
        <v>0</v>
      </c>
      <c r="AB117">
        <f t="shared" si="7"/>
        <v>0</v>
      </c>
      <c r="AC117">
        <f t="shared" si="8"/>
        <v>0</v>
      </c>
      <c r="AD117" s="1">
        <f t="shared" si="9"/>
        <v>15.333333333333334</v>
      </c>
    </row>
    <row r="118" spans="1:30" x14ac:dyDescent="0.35">
      <c r="A118" t="s">
        <v>50</v>
      </c>
      <c r="B118">
        <v>15</v>
      </c>
      <c r="C118" t="s">
        <v>35</v>
      </c>
      <c r="D118" t="s">
        <v>36</v>
      </c>
      <c r="E118" t="s">
        <v>44</v>
      </c>
      <c r="F118" t="s">
        <v>45</v>
      </c>
      <c r="G118" t="s">
        <v>39</v>
      </c>
      <c r="H118">
        <v>2</v>
      </c>
      <c r="I118">
        <v>0</v>
      </c>
      <c r="J118" t="s">
        <v>43</v>
      </c>
      <c r="K118" t="s">
        <v>42</v>
      </c>
      <c r="L118" t="s">
        <v>43</v>
      </c>
      <c r="M118" t="s">
        <v>42</v>
      </c>
      <c r="N118" t="s">
        <v>43</v>
      </c>
      <c r="O118">
        <v>4</v>
      </c>
      <c r="P118">
        <v>4</v>
      </c>
      <c r="Q118">
        <v>3</v>
      </c>
      <c r="R118">
        <v>1</v>
      </c>
      <c r="S118">
        <v>1</v>
      </c>
      <c r="T118">
        <f t="shared" si="5"/>
        <v>2</v>
      </c>
      <c r="U118" t="str" cm="1">
        <f t="array" ref="U118">_xlfn.IFS(T118&lt;3, "low", AND(T118&gt;=3, T118&lt;5), "med", T118&gt;=5, "high")</f>
        <v>low</v>
      </c>
      <c r="V118">
        <v>2</v>
      </c>
      <c r="W118" t="str" cm="1">
        <f t="array" ref="W118">_xlfn.IFS(V118&lt;5, "low", AND(V118&gt;=5, V118&lt;10), "med", V118&gt;=10, "high")</f>
        <v>low</v>
      </c>
      <c r="X118">
        <v>11</v>
      </c>
      <c r="Y118">
        <v>13</v>
      </c>
      <c r="Z118">
        <v>14</v>
      </c>
      <c r="AA118">
        <f t="shared" si="6"/>
        <v>0</v>
      </c>
      <c r="AB118">
        <f t="shared" si="7"/>
        <v>0</v>
      </c>
      <c r="AC118">
        <f t="shared" si="8"/>
        <v>0</v>
      </c>
      <c r="AD118" s="1">
        <f t="shared" si="9"/>
        <v>12.666666666666666</v>
      </c>
    </row>
    <row r="119" spans="1:30" x14ac:dyDescent="0.35">
      <c r="A119" t="s">
        <v>50</v>
      </c>
      <c r="B119">
        <v>16</v>
      </c>
      <c r="C119" t="s">
        <v>35</v>
      </c>
      <c r="D119" t="s">
        <v>36</v>
      </c>
      <c r="E119" t="s">
        <v>44</v>
      </c>
      <c r="F119" t="s">
        <v>45</v>
      </c>
      <c r="G119" t="s">
        <v>48</v>
      </c>
      <c r="H119">
        <v>1</v>
      </c>
      <c r="I119">
        <v>0</v>
      </c>
      <c r="J119" t="s">
        <v>43</v>
      </c>
      <c r="K119" t="s">
        <v>43</v>
      </c>
      <c r="L119" t="s">
        <v>43</v>
      </c>
      <c r="M119" t="s">
        <v>42</v>
      </c>
      <c r="N119" t="s">
        <v>43</v>
      </c>
      <c r="O119">
        <v>5</v>
      </c>
      <c r="P119">
        <v>4</v>
      </c>
      <c r="Q119">
        <v>2</v>
      </c>
      <c r="R119">
        <v>1</v>
      </c>
      <c r="S119">
        <v>1</v>
      </c>
      <c r="T119">
        <f t="shared" si="5"/>
        <v>2</v>
      </c>
      <c r="U119" t="str" cm="1">
        <f t="array" ref="U119">_xlfn.IFS(T119&lt;3, "low", AND(T119&gt;=3, T119&lt;5), "med", T119&gt;=5, "high")</f>
        <v>low</v>
      </c>
      <c r="V119">
        <v>0</v>
      </c>
      <c r="W119" t="str" cm="1">
        <f t="array" ref="W119">_xlfn.IFS(V119&lt;5, "low", AND(V119&gt;=5, V119&lt;10), "med", V119&gt;=10, "high")</f>
        <v>low</v>
      </c>
      <c r="X119">
        <v>13</v>
      </c>
      <c r="Y119">
        <v>14</v>
      </c>
      <c r="Z119">
        <v>13</v>
      </c>
      <c r="AA119">
        <f t="shared" si="6"/>
        <v>0</v>
      </c>
      <c r="AB119">
        <f t="shared" si="7"/>
        <v>1</v>
      </c>
      <c r="AC119">
        <f t="shared" si="8"/>
        <v>1</v>
      </c>
      <c r="AD119" s="1">
        <f t="shared" si="9"/>
        <v>13.333333333333334</v>
      </c>
    </row>
    <row r="120" spans="1:30" x14ac:dyDescent="0.35">
      <c r="A120" t="s">
        <v>50</v>
      </c>
      <c r="B120">
        <v>17</v>
      </c>
      <c r="C120" t="s">
        <v>52</v>
      </c>
      <c r="D120" t="s">
        <v>36</v>
      </c>
      <c r="E120" t="s">
        <v>44</v>
      </c>
      <c r="F120" t="s">
        <v>45</v>
      </c>
      <c r="G120" t="s">
        <v>45</v>
      </c>
      <c r="H120">
        <v>2</v>
      </c>
      <c r="I120">
        <v>1</v>
      </c>
      <c r="J120" t="s">
        <v>43</v>
      </c>
      <c r="K120" t="s">
        <v>42</v>
      </c>
      <c r="L120" t="s">
        <v>43</v>
      </c>
      <c r="M120" t="s">
        <v>42</v>
      </c>
      <c r="N120" t="s">
        <v>43</v>
      </c>
      <c r="O120">
        <v>5</v>
      </c>
      <c r="P120">
        <v>2</v>
      </c>
      <c r="Q120">
        <v>4</v>
      </c>
      <c r="R120">
        <v>1</v>
      </c>
      <c r="S120">
        <v>4</v>
      </c>
      <c r="T120">
        <f t="shared" si="5"/>
        <v>5</v>
      </c>
      <c r="U120" t="str" cm="1">
        <f t="array" ref="U120">_xlfn.IFS(T120&lt;3, "low", AND(T120&gt;=3, T120&lt;5), "med", T120&gt;=5, "high")</f>
        <v>high</v>
      </c>
      <c r="V120">
        <v>20</v>
      </c>
      <c r="W120" t="str" cm="1">
        <f t="array" ref="W120">_xlfn.IFS(V120&lt;5, "low", AND(V120&gt;=5, V120&lt;10), "med", V120&gt;=10, "high")</f>
        <v>high</v>
      </c>
      <c r="X120">
        <v>9</v>
      </c>
      <c r="Y120">
        <v>7</v>
      </c>
      <c r="Z120">
        <v>8</v>
      </c>
      <c r="AA120">
        <f t="shared" si="6"/>
        <v>1</v>
      </c>
      <c r="AB120">
        <f t="shared" si="7"/>
        <v>0</v>
      </c>
      <c r="AC120">
        <f t="shared" si="8"/>
        <v>1</v>
      </c>
      <c r="AD120" s="1">
        <f t="shared" si="9"/>
        <v>8</v>
      </c>
    </row>
    <row r="121" spans="1:30" x14ac:dyDescent="0.35">
      <c r="A121" t="s">
        <v>50</v>
      </c>
      <c r="B121">
        <v>15</v>
      </c>
      <c r="C121" t="s">
        <v>35</v>
      </c>
      <c r="D121" t="s">
        <v>36</v>
      </c>
      <c r="E121" t="s">
        <v>44</v>
      </c>
      <c r="F121" t="s">
        <v>45</v>
      </c>
      <c r="G121" t="s">
        <v>45</v>
      </c>
      <c r="H121">
        <v>1</v>
      </c>
      <c r="I121">
        <v>0</v>
      </c>
      <c r="J121" t="s">
        <v>43</v>
      </c>
      <c r="K121" t="s">
        <v>43</v>
      </c>
      <c r="L121" t="s">
        <v>43</v>
      </c>
      <c r="M121" t="s">
        <v>43</v>
      </c>
      <c r="N121" t="s">
        <v>43</v>
      </c>
      <c r="O121">
        <v>3</v>
      </c>
      <c r="P121">
        <v>4</v>
      </c>
      <c r="Q121">
        <v>3</v>
      </c>
      <c r="R121">
        <v>1</v>
      </c>
      <c r="S121">
        <v>2</v>
      </c>
      <c r="T121">
        <f t="shared" si="5"/>
        <v>3</v>
      </c>
      <c r="U121" t="str" cm="1">
        <f t="array" ref="U121">_xlfn.IFS(T121&lt;3, "low", AND(T121&gt;=3, T121&lt;5), "med", T121&gt;=5, "high")</f>
        <v>med</v>
      </c>
      <c r="V121">
        <v>6</v>
      </c>
      <c r="W121" t="str" cm="1">
        <f t="array" ref="W121">_xlfn.IFS(V121&lt;5, "low", AND(V121&gt;=5, V121&lt;10), "med", V121&gt;=10, "high")</f>
        <v>med</v>
      </c>
      <c r="X121">
        <v>14</v>
      </c>
      <c r="Y121">
        <v>13</v>
      </c>
      <c r="Z121">
        <v>13</v>
      </c>
      <c r="AA121">
        <f t="shared" si="6"/>
        <v>1</v>
      </c>
      <c r="AB121">
        <f t="shared" si="7"/>
        <v>0</v>
      </c>
      <c r="AC121">
        <f t="shared" si="8"/>
        <v>1</v>
      </c>
      <c r="AD121" s="1">
        <f t="shared" si="9"/>
        <v>13.333333333333334</v>
      </c>
    </row>
    <row r="122" spans="1:30" x14ac:dyDescent="0.35">
      <c r="A122" t="s">
        <v>34</v>
      </c>
      <c r="B122">
        <v>15</v>
      </c>
      <c r="C122" t="s">
        <v>35</v>
      </c>
      <c r="D122" t="s">
        <v>36</v>
      </c>
      <c r="E122" t="s">
        <v>44</v>
      </c>
      <c r="F122" t="s">
        <v>38</v>
      </c>
      <c r="G122" t="s">
        <v>48</v>
      </c>
      <c r="H122">
        <v>2</v>
      </c>
      <c r="I122">
        <v>0</v>
      </c>
      <c r="J122" t="s">
        <v>43</v>
      </c>
      <c r="K122" t="s">
        <v>43</v>
      </c>
      <c r="L122" t="s">
        <v>43</v>
      </c>
      <c r="M122" t="s">
        <v>43</v>
      </c>
      <c r="N122" t="s">
        <v>43</v>
      </c>
      <c r="O122">
        <v>3</v>
      </c>
      <c r="P122">
        <v>2</v>
      </c>
      <c r="Q122">
        <v>3</v>
      </c>
      <c r="R122">
        <v>1</v>
      </c>
      <c r="S122">
        <v>2</v>
      </c>
      <c r="T122">
        <f t="shared" si="5"/>
        <v>3</v>
      </c>
      <c r="U122" t="str" cm="1">
        <f t="array" ref="U122">_xlfn.IFS(T122&lt;3, "low", AND(T122&gt;=3, T122&lt;5), "med", T122&gt;=5, "high")</f>
        <v>med</v>
      </c>
      <c r="V122">
        <v>2</v>
      </c>
      <c r="W122" t="str" cm="1">
        <f t="array" ref="W122">_xlfn.IFS(V122&lt;5, "low", AND(V122&gt;=5, V122&lt;10), "med", V122&gt;=10, "high")</f>
        <v>low</v>
      </c>
      <c r="X122">
        <v>16</v>
      </c>
      <c r="Y122">
        <v>15</v>
      </c>
      <c r="Z122">
        <v>15</v>
      </c>
      <c r="AA122">
        <f t="shared" si="6"/>
        <v>1</v>
      </c>
      <c r="AB122">
        <f t="shared" si="7"/>
        <v>0</v>
      </c>
      <c r="AC122">
        <f t="shared" si="8"/>
        <v>1</v>
      </c>
      <c r="AD122" s="1">
        <f t="shared" si="9"/>
        <v>15.333333333333334</v>
      </c>
    </row>
    <row r="123" spans="1:30" x14ac:dyDescent="0.35">
      <c r="A123" t="s">
        <v>50</v>
      </c>
      <c r="B123">
        <v>15</v>
      </c>
      <c r="C123" t="s">
        <v>35</v>
      </c>
      <c r="D123" t="s">
        <v>36</v>
      </c>
      <c r="E123" t="s">
        <v>44</v>
      </c>
      <c r="F123" t="s">
        <v>48</v>
      </c>
      <c r="G123" t="s">
        <v>48</v>
      </c>
      <c r="H123">
        <v>4</v>
      </c>
      <c r="I123">
        <v>0</v>
      </c>
      <c r="J123" t="s">
        <v>43</v>
      </c>
      <c r="K123" t="s">
        <v>42</v>
      </c>
      <c r="L123" t="s">
        <v>42</v>
      </c>
      <c r="M123" t="s">
        <v>42</v>
      </c>
      <c r="N123" t="s">
        <v>43</v>
      </c>
      <c r="O123">
        <v>5</v>
      </c>
      <c r="P123">
        <v>5</v>
      </c>
      <c r="Q123">
        <v>4</v>
      </c>
      <c r="R123">
        <v>1</v>
      </c>
      <c r="S123">
        <v>2</v>
      </c>
      <c r="T123">
        <f t="shared" si="5"/>
        <v>3</v>
      </c>
      <c r="U123" t="str" cm="1">
        <f t="array" ref="U123">_xlfn.IFS(T123&lt;3, "low", AND(T123&gt;=3, T123&lt;5), "med", T123&gt;=5, "high")</f>
        <v>med</v>
      </c>
      <c r="V123">
        <v>6</v>
      </c>
      <c r="W123" t="str" cm="1">
        <f t="array" ref="W123">_xlfn.IFS(V123&lt;5, "low", AND(V123&gt;=5, V123&lt;10), "med", V123&gt;=10, "high")</f>
        <v>med</v>
      </c>
      <c r="X123">
        <v>16</v>
      </c>
      <c r="Y123">
        <v>14</v>
      </c>
      <c r="Z123">
        <v>15</v>
      </c>
      <c r="AA123">
        <f t="shared" si="6"/>
        <v>1</v>
      </c>
      <c r="AB123">
        <f t="shared" si="7"/>
        <v>0</v>
      </c>
      <c r="AC123">
        <f t="shared" si="8"/>
        <v>1</v>
      </c>
      <c r="AD123" s="1">
        <f t="shared" si="9"/>
        <v>15</v>
      </c>
    </row>
    <row r="124" spans="1:30" x14ac:dyDescent="0.35">
      <c r="A124" t="s">
        <v>34</v>
      </c>
      <c r="B124">
        <v>16</v>
      </c>
      <c r="C124" t="s">
        <v>35</v>
      </c>
      <c r="D124" t="s">
        <v>47</v>
      </c>
      <c r="E124" t="s">
        <v>44</v>
      </c>
      <c r="F124" t="s">
        <v>45</v>
      </c>
      <c r="G124" t="s">
        <v>28</v>
      </c>
      <c r="H124">
        <v>2</v>
      </c>
      <c r="I124">
        <v>0</v>
      </c>
      <c r="J124" t="s">
        <v>43</v>
      </c>
      <c r="K124" t="s">
        <v>42</v>
      </c>
      <c r="L124" t="s">
        <v>42</v>
      </c>
      <c r="M124" t="s">
        <v>42</v>
      </c>
      <c r="N124" t="s">
        <v>42</v>
      </c>
      <c r="O124">
        <v>4</v>
      </c>
      <c r="P124">
        <v>2</v>
      </c>
      <c r="Q124">
        <v>2</v>
      </c>
      <c r="R124">
        <v>1</v>
      </c>
      <c r="S124">
        <v>2</v>
      </c>
      <c r="T124">
        <f t="shared" si="5"/>
        <v>3</v>
      </c>
      <c r="U124" t="str" cm="1">
        <f t="array" ref="U124">_xlfn.IFS(T124&lt;3, "low", AND(T124&gt;=3, T124&lt;5), "med", T124&gt;=5, "high")</f>
        <v>med</v>
      </c>
      <c r="V124">
        <v>2</v>
      </c>
      <c r="W124" t="str" cm="1">
        <f t="array" ref="W124">_xlfn.IFS(V124&lt;5, "low", AND(V124&gt;=5, V124&lt;10), "med", V124&gt;=10, "high")</f>
        <v>low</v>
      </c>
      <c r="X124">
        <v>13</v>
      </c>
      <c r="Y124">
        <v>13</v>
      </c>
      <c r="Z124">
        <v>13</v>
      </c>
      <c r="AA124">
        <f t="shared" si="6"/>
        <v>0</v>
      </c>
      <c r="AB124">
        <f t="shared" si="7"/>
        <v>0</v>
      </c>
      <c r="AC124">
        <f t="shared" si="8"/>
        <v>0</v>
      </c>
      <c r="AD124" s="1">
        <f t="shared" si="9"/>
        <v>13</v>
      </c>
    </row>
    <row r="125" spans="1:30" x14ac:dyDescent="0.35">
      <c r="A125" t="s">
        <v>50</v>
      </c>
      <c r="B125">
        <v>16</v>
      </c>
      <c r="C125" t="s">
        <v>35</v>
      </c>
      <c r="D125" t="s">
        <v>36</v>
      </c>
      <c r="E125" t="s">
        <v>44</v>
      </c>
      <c r="F125" t="s">
        <v>28</v>
      </c>
      <c r="G125" t="s">
        <v>45</v>
      </c>
      <c r="H125">
        <v>1</v>
      </c>
      <c r="I125">
        <v>0</v>
      </c>
      <c r="J125" t="s">
        <v>43</v>
      </c>
      <c r="K125" t="s">
        <v>42</v>
      </c>
      <c r="L125" t="s">
        <v>43</v>
      </c>
      <c r="M125" t="s">
        <v>42</v>
      </c>
      <c r="N125" t="s">
        <v>43</v>
      </c>
      <c r="O125">
        <v>3</v>
      </c>
      <c r="P125">
        <v>4</v>
      </c>
      <c r="Q125">
        <v>4</v>
      </c>
      <c r="R125">
        <v>1</v>
      </c>
      <c r="S125">
        <v>4</v>
      </c>
      <c r="T125">
        <f t="shared" si="5"/>
        <v>5</v>
      </c>
      <c r="U125" t="str" cm="1">
        <f t="array" ref="U125">_xlfn.IFS(T125&lt;3, "low", AND(T125&gt;=3, T125&lt;5), "med", T125&gt;=5, "high")</f>
        <v>high</v>
      </c>
      <c r="V125">
        <v>18</v>
      </c>
      <c r="W125" t="str" cm="1">
        <f t="array" ref="W125">_xlfn.IFS(V125&lt;5, "low", AND(V125&gt;=5, V125&lt;10), "med", V125&gt;=10, "high")</f>
        <v>high</v>
      </c>
      <c r="X125">
        <v>14</v>
      </c>
      <c r="Y125">
        <v>11</v>
      </c>
      <c r="Z125">
        <v>13</v>
      </c>
      <c r="AA125">
        <f t="shared" si="6"/>
        <v>1</v>
      </c>
      <c r="AB125">
        <f t="shared" si="7"/>
        <v>0</v>
      </c>
      <c r="AC125">
        <f t="shared" si="8"/>
        <v>1</v>
      </c>
      <c r="AD125" s="1">
        <f t="shared" si="9"/>
        <v>12.666666666666666</v>
      </c>
    </row>
    <row r="126" spans="1:30" x14ac:dyDescent="0.35">
      <c r="A126" t="s">
        <v>34</v>
      </c>
      <c r="B126">
        <v>16</v>
      </c>
      <c r="C126" t="s">
        <v>35</v>
      </c>
      <c r="D126" t="s">
        <v>36</v>
      </c>
      <c r="E126" t="s">
        <v>44</v>
      </c>
      <c r="F126" t="s">
        <v>45</v>
      </c>
      <c r="G126" t="s">
        <v>45</v>
      </c>
      <c r="H126">
        <v>2</v>
      </c>
      <c r="I126">
        <v>0</v>
      </c>
      <c r="J126" t="s">
        <v>43</v>
      </c>
      <c r="K126" t="s">
        <v>43</v>
      </c>
      <c r="L126" t="s">
        <v>42</v>
      </c>
      <c r="M126" t="s">
        <v>43</v>
      </c>
      <c r="N126" t="s">
        <v>42</v>
      </c>
      <c r="O126">
        <v>5</v>
      </c>
      <c r="P126">
        <v>4</v>
      </c>
      <c r="Q126">
        <v>4</v>
      </c>
      <c r="R126">
        <v>1</v>
      </c>
      <c r="S126">
        <v>1</v>
      </c>
      <c r="T126">
        <f t="shared" si="5"/>
        <v>2</v>
      </c>
      <c r="U126" t="str" cm="1">
        <f t="array" ref="U126">_xlfn.IFS(T126&lt;3, "low", AND(T126&gt;=3, T126&lt;5), "med", T126&gt;=5, "high")</f>
        <v>low</v>
      </c>
      <c r="V126">
        <v>0</v>
      </c>
      <c r="W126" t="str" cm="1">
        <f t="array" ref="W126">_xlfn.IFS(V126&lt;5, "low", AND(V126&gt;=5, V126&lt;10), "med", V126&gt;=10, "high")</f>
        <v>low</v>
      </c>
      <c r="X126">
        <v>8</v>
      </c>
      <c r="Y126">
        <v>7</v>
      </c>
      <c r="Z126">
        <v>8</v>
      </c>
      <c r="AA126">
        <f t="shared" si="6"/>
        <v>1</v>
      </c>
      <c r="AB126">
        <f t="shared" si="7"/>
        <v>0</v>
      </c>
      <c r="AC126">
        <f t="shared" si="8"/>
        <v>1</v>
      </c>
      <c r="AD126" s="1">
        <f t="shared" si="9"/>
        <v>7.666666666666667</v>
      </c>
    </row>
    <row r="127" spans="1:30" x14ac:dyDescent="0.35">
      <c r="A127" t="s">
        <v>50</v>
      </c>
      <c r="B127">
        <v>15</v>
      </c>
      <c r="C127" t="s">
        <v>35</v>
      </c>
      <c r="D127" t="s">
        <v>36</v>
      </c>
      <c r="E127" t="s">
        <v>44</v>
      </c>
      <c r="F127" t="s">
        <v>48</v>
      </c>
      <c r="G127" t="s">
        <v>48</v>
      </c>
      <c r="H127">
        <v>1</v>
      </c>
      <c r="I127">
        <v>0</v>
      </c>
      <c r="J127" t="s">
        <v>42</v>
      </c>
      <c r="K127" t="s">
        <v>43</v>
      </c>
      <c r="L127" t="s">
        <v>43</v>
      </c>
      <c r="M127" t="s">
        <v>43</v>
      </c>
      <c r="N127" t="s">
        <v>43</v>
      </c>
      <c r="O127">
        <v>5</v>
      </c>
      <c r="P127">
        <v>5</v>
      </c>
      <c r="Q127">
        <v>5</v>
      </c>
      <c r="R127">
        <v>3</v>
      </c>
      <c r="S127">
        <v>2</v>
      </c>
      <c r="T127">
        <f t="shared" si="5"/>
        <v>5</v>
      </c>
      <c r="U127" t="str" cm="1">
        <f t="array" ref="U127">_xlfn.IFS(T127&lt;3, "low", AND(T127&gt;=3, T127&lt;5), "med", T127&gt;=5, "high")</f>
        <v>high</v>
      </c>
      <c r="V127">
        <v>0</v>
      </c>
      <c r="W127" t="str" cm="1">
        <f t="array" ref="W127">_xlfn.IFS(V127&lt;5, "low", AND(V127&gt;=5, V127&lt;10), "med", V127&gt;=10, "high")</f>
        <v>low</v>
      </c>
      <c r="X127">
        <v>13</v>
      </c>
      <c r="Y127">
        <v>13</v>
      </c>
      <c r="Z127">
        <v>12</v>
      </c>
      <c r="AA127">
        <f t="shared" si="6"/>
        <v>0</v>
      </c>
      <c r="AB127">
        <f t="shared" si="7"/>
        <v>1</v>
      </c>
      <c r="AC127">
        <f t="shared" si="8"/>
        <v>1</v>
      </c>
      <c r="AD127" s="1">
        <f t="shared" si="9"/>
        <v>12.666666666666666</v>
      </c>
    </row>
    <row r="128" spans="1:30" x14ac:dyDescent="0.35">
      <c r="A128" t="s">
        <v>34</v>
      </c>
      <c r="B128">
        <v>15</v>
      </c>
      <c r="C128" t="s">
        <v>35</v>
      </c>
      <c r="D128" t="s">
        <v>47</v>
      </c>
      <c r="E128" t="s">
        <v>37</v>
      </c>
      <c r="F128" t="s">
        <v>45</v>
      </c>
      <c r="G128" t="s">
        <v>45</v>
      </c>
      <c r="H128">
        <v>2</v>
      </c>
      <c r="I128">
        <v>0</v>
      </c>
      <c r="J128" t="s">
        <v>42</v>
      </c>
      <c r="K128" t="s">
        <v>43</v>
      </c>
      <c r="L128" t="s">
        <v>43</v>
      </c>
      <c r="M128" t="s">
        <v>42</v>
      </c>
      <c r="N128" t="s">
        <v>42</v>
      </c>
      <c r="O128">
        <v>5</v>
      </c>
      <c r="P128">
        <v>3</v>
      </c>
      <c r="Q128">
        <v>2</v>
      </c>
      <c r="R128">
        <v>1</v>
      </c>
      <c r="S128">
        <v>1</v>
      </c>
      <c r="T128">
        <f t="shared" si="5"/>
        <v>2</v>
      </c>
      <c r="U128" t="str" cm="1">
        <f t="array" ref="U128">_xlfn.IFS(T128&lt;3, "low", AND(T128&gt;=3, T128&lt;5), "med", T128&gt;=5, "high")</f>
        <v>low</v>
      </c>
      <c r="V128">
        <v>0</v>
      </c>
      <c r="W128" t="str" cm="1">
        <f t="array" ref="W128">_xlfn.IFS(V128&lt;5, "low", AND(V128&gt;=5, V128&lt;10), "med", V128&gt;=10, "high")</f>
        <v>low</v>
      </c>
      <c r="X128">
        <v>7</v>
      </c>
      <c r="Y128">
        <v>10</v>
      </c>
      <c r="Z128">
        <v>11</v>
      </c>
      <c r="AA128">
        <f t="shared" si="6"/>
        <v>0</v>
      </c>
      <c r="AB128">
        <f t="shared" si="7"/>
        <v>0</v>
      </c>
      <c r="AC128">
        <f t="shared" si="8"/>
        <v>0</v>
      </c>
      <c r="AD128" s="1">
        <f t="shared" si="9"/>
        <v>9.3333333333333339</v>
      </c>
    </row>
    <row r="129" spans="1:30" x14ac:dyDescent="0.35">
      <c r="A129" t="s">
        <v>34</v>
      </c>
      <c r="B129">
        <v>19</v>
      </c>
      <c r="C129" t="s">
        <v>35</v>
      </c>
      <c r="D129" t="s">
        <v>36</v>
      </c>
      <c r="E129" t="s">
        <v>44</v>
      </c>
      <c r="F129" t="s">
        <v>38</v>
      </c>
      <c r="G129" t="s">
        <v>45</v>
      </c>
      <c r="H129">
        <v>2</v>
      </c>
      <c r="I129">
        <v>3</v>
      </c>
      <c r="J129" t="s">
        <v>43</v>
      </c>
      <c r="K129" t="s">
        <v>42</v>
      </c>
      <c r="L129" t="s">
        <v>43</v>
      </c>
      <c r="M129" t="s">
        <v>43</v>
      </c>
      <c r="N129" t="s">
        <v>43</v>
      </c>
      <c r="O129">
        <v>3</v>
      </c>
      <c r="P129">
        <v>4</v>
      </c>
      <c r="Q129">
        <v>2</v>
      </c>
      <c r="R129">
        <v>1</v>
      </c>
      <c r="S129">
        <v>1</v>
      </c>
      <c r="T129">
        <f t="shared" si="5"/>
        <v>2</v>
      </c>
      <c r="U129" t="str" cm="1">
        <f t="array" ref="U129">_xlfn.IFS(T129&lt;3, "low", AND(T129&gt;=3, T129&lt;5), "med", T129&gt;=5, "high")</f>
        <v>low</v>
      </c>
      <c r="V129">
        <v>2</v>
      </c>
      <c r="W129" t="str" cm="1">
        <f t="array" ref="W129">_xlfn.IFS(V129&lt;5, "low", AND(V129&gt;=5, V129&lt;10), "med", V129&gt;=10, "high")</f>
        <v>low</v>
      </c>
      <c r="X129">
        <v>7</v>
      </c>
      <c r="Y129">
        <v>8</v>
      </c>
      <c r="Z129">
        <v>9</v>
      </c>
      <c r="AA129">
        <f t="shared" si="6"/>
        <v>0</v>
      </c>
      <c r="AB129">
        <f t="shared" si="7"/>
        <v>0</v>
      </c>
      <c r="AC129">
        <f t="shared" si="8"/>
        <v>0</v>
      </c>
      <c r="AD129" s="1">
        <f t="shared" si="9"/>
        <v>8</v>
      </c>
    </row>
    <row r="130" spans="1:30" x14ac:dyDescent="0.35">
      <c r="A130" t="s">
        <v>50</v>
      </c>
      <c r="B130">
        <v>18</v>
      </c>
      <c r="C130" t="s">
        <v>52</v>
      </c>
      <c r="D130" t="s">
        <v>36</v>
      </c>
      <c r="E130" t="s">
        <v>44</v>
      </c>
      <c r="F130" t="s">
        <v>48</v>
      </c>
      <c r="G130" t="s">
        <v>45</v>
      </c>
      <c r="H130">
        <v>1</v>
      </c>
      <c r="I130">
        <v>2</v>
      </c>
      <c r="J130" t="s">
        <v>43</v>
      </c>
      <c r="K130" t="s">
        <v>42</v>
      </c>
      <c r="L130" t="s">
        <v>43</v>
      </c>
      <c r="M130" t="s">
        <v>42</v>
      </c>
      <c r="N130" t="s">
        <v>43</v>
      </c>
      <c r="O130">
        <v>3</v>
      </c>
      <c r="P130">
        <v>3</v>
      </c>
      <c r="Q130">
        <v>3</v>
      </c>
      <c r="R130">
        <v>1</v>
      </c>
      <c r="S130">
        <v>2</v>
      </c>
      <c r="T130">
        <f t="shared" si="5"/>
        <v>3</v>
      </c>
      <c r="U130" t="str" cm="1">
        <f t="array" ref="U130">_xlfn.IFS(T130&lt;3, "low", AND(T130&gt;=3, T130&lt;5), "med", T130&gt;=5, "high")</f>
        <v>med</v>
      </c>
      <c r="V130">
        <v>0</v>
      </c>
      <c r="W130" t="str" cm="1">
        <f t="array" ref="W130">_xlfn.IFS(V130&lt;5, "low", AND(V130&gt;=5, V130&lt;10), "med", V130&gt;=10, "high")</f>
        <v>low</v>
      </c>
      <c r="X130">
        <v>7</v>
      </c>
      <c r="Y130">
        <v>4</v>
      </c>
      <c r="Z130">
        <v>0</v>
      </c>
      <c r="AA130">
        <f t="shared" si="6"/>
        <v>1</v>
      </c>
      <c r="AB130">
        <f t="shared" si="7"/>
        <v>1</v>
      </c>
      <c r="AC130">
        <f t="shared" si="8"/>
        <v>2</v>
      </c>
      <c r="AD130" s="1">
        <f t="shared" si="9"/>
        <v>3.6666666666666665</v>
      </c>
    </row>
    <row r="131" spans="1:30" x14ac:dyDescent="0.35">
      <c r="A131" t="s">
        <v>50</v>
      </c>
      <c r="B131">
        <v>16</v>
      </c>
      <c r="C131" t="s">
        <v>52</v>
      </c>
      <c r="D131" t="s">
        <v>36</v>
      </c>
      <c r="E131" t="s">
        <v>44</v>
      </c>
      <c r="F131" t="s">
        <v>39</v>
      </c>
      <c r="G131" t="s">
        <v>39</v>
      </c>
      <c r="H131">
        <v>1</v>
      </c>
      <c r="I131">
        <v>0</v>
      </c>
      <c r="J131" t="s">
        <v>43</v>
      </c>
      <c r="K131" t="s">
        <v>43</v>
      </c>
      <c r="L131" t="s">
        <v>42</v>
      </c>
      <c r="M131" t="s">
        <v>42</v>
      </c>
      <c r="N131" t="s">
        <v>43</v>
      </c>
      <c r="O131">
        <v>3</v>
      </c>
      <c r="P131">
        <v>5</v>
      </c>
      <c r="Q131">
        <v>5</v>
      </c>
      <c r="R131">
        <v>2</v>
      </c>
      <c r="S131">
        <v>5</v>
      </c>
      <c r="T131">
        <f t="shared" ref="T131:T194" si="10">R131+S131</f>
        <v>7</v>
      </c>
      <c r="U131" t="str" cm="1">
        <f t="array" ref="U131">_xlfn.IFS(T131&lt;3, "low", AND(T131&gt;=3, T131&lt;5), "med", T131&gt;=5, "high")</f>
        <v>high</v>
      </c>
      <c r="V131">
        <v>8</v>
      </c>
      <c r="W131" t="str" cm="1">
        <f t="array" ref="W131">_xlfn.IFS(V131&lt;5, "low", AND(V131&gt;=5, V131&lt;10), "med", V131&gt;=10, "high")</f>
        <v>med</v>
      </c>
      <c r="X131">
        <v>18</v>
      </c>
      <c r="Y131">
        <v>18</v>
      </c>
      <c r="Z131">
        <v>18</v>
      </c>
      <c r="AA131">
        <f t="shared" ref="AA131:AA194" si="11">IF(Y131&lt;X131,1,0)</f>
        <v>0</v>
      </c>
      <c r="AB131">
        <f t="shared" ref="AB131:AB194" si="12">IF(Z131&lt;Y131,1,0)</f>
        <v>0</v>
      </c>
      <c r="AC131">
        <f t="shared" ref="AC131:AC194" si="13">SUM(AA131:AB131)</f>
        <v>0</v>
      </c>
      <c r="AD131" s="1">
        <f t="shared" ref="AD131:AD194" si="14">AVERAGE(X131:Z131)</f>
        <v>18</v>
      </c>
    </row>
    <row r="132" spans="1:30" x14ac:dyDescent="0.35">
      <c r="A132" t="s">
        <v>34</v>
      </c>
      <c r="B132">
        <v>15</v>
      </c>
      <c r="C132" t="s">
        <v>52</v>
      </c>
      <c r="D132" t="s">
        <v>36</v>
      </c>
      <c r="E132" t="s">
        <v>44</v>
      </c>
      <c r="F132" t="s">
        <v>48</v>
      </c>
      <c r="G132" t="s">
        <v>39</v>
      </c>
      <c r="H132">
        <v>3</v>
      </c>
      <c r="I132">
        <v>2</v>
      </c>
      <c r="J132" t="s">
        <v>43</v>
      </c>
      <c r="K132" t="s">
        <v>42</v>
      </c>
      <c r="L132" t="s">
        <v>43</v>
      </c>
      <c r="M132" t="s">
        <v>43</v>
      </c>
      <c r="N132" t="s">
        <v>42</v>
      </c>
      <c r="O132">
        <v>4</v>
      </c>
      <c r="P132">
        <v>2</v>
      </c>
      <c r="Q132">
        <v>2</v>
      </c>
      <c r="R132">
        <v>2</v>
      </c>
      <c r="S132">
        <v>2</v>
      </c>
      <c r="T132">
        <f t="shared" si="10"/>
        <v>4</v>
      </c>
      <c r="U132" t="str" cm="1">
        <f t="array" ref="U132">_xlfn.IFS(T132&lt;3, "low", AND(T132&gt;=3, T132&lt;5), "med", T132&gt;=5, "high")</f>
        <v>med</v>
      </c>
      <c r="V132">
        <v>0</v>
      </c>
      <c r="W132" t="str" cm="1">
        <f t="array" ref="W132">_xlfn.IFS(V132&lt;5, "low", AND(V132&gt;=5, V132&lt;10), "med", V132&gt;=10, "high")</f>
        <v>low</v>
      </c>
      <c r="X132">
        <v>12</v>
      </c>
      <c r="Y132">
        <v>0</v>
      </c>
      <c r="Z132">
        <v>0</v>
      </c>
      <c r="AA132">
        <f t="shared" si="11"/>
        <v>1</v>
      </c>
      <c r="AB132">
        <f t="shared" si="12"/>
        <v>0</v>
      </c>
      <c r="AC132">
        <f t="shared" si="13"/>
        <v>1</v>
      </c>
      <c r="AD132" s="1">
        <f t="shared" si="14"/>
        <v>4</v>
      </c>
    </row>
    <row r="133" spans="1:30" x14ac:dyDescent="0.35">
      <c r="A133" t="s">
        <v>34</v>
      </c>
      <c r="B133">
        <v>15</v>
      </c>
      <c r="C133" t="s">
        <v>35</v>
      </c>
      <c r="D133" t="s">
        <v>36</v>
      </c>
      <c r="E133" t="s">
        <v>44</v>
      </c>
      <c r="F133" t="s">
        <v>38</v>
      </c>
      <c r="G133" t="s">
        <v>45</v>
      </c>
      <c r="H133">
        <v>1</v>
      </c>
      <c r="I133">
        <v>0</v>
      </c>
      <c r="J133" t="s">
        <v>43</v>
      </c>
      <c r="K133" t="s">
        <v>42</v>
      </c>
      <c r="L133" t="s">
        <v>43</v>
      </c>
      <c r="M133" t="s">
        <v>42</v>
      </c>
      <c r="N133" t="s">
        <v>42</v>
      </c>
      <c r="O133">
        <v>4</v>
      </c>
      <c r="P133">
        <v>3</v>
      </c>
      <c r="Q133">
        <v>3</v>
      </c>
      <c r="R133">
        <v>1</v>
      </c>
      <c r="S133">
        <v>2</v>
      </c>
      <c r="T133">
        <f t="shared" si="10"/>
        <v>3</v>
      </c>
      <c r="U133" t="str" cm="1">
        <f t="array" ref="U133">_xlfn.IFS(T133&lt;3, "low", AND(T133&gt;=3, T133&lt;5), "med", T133&gt;=5, "high")</f>
        <v>med</v>
      </c>
      <c r="V133">
        <v>0</v>
      </c>
      <c r="W133" t="str" cm="1">
        <f t="array" ref="W133">_xlfn.IFS(V133&lt;5, "low", AND(V133&gt;=5, V133&lt;10), "med", V133&gt;=10, "high")</f>
        <v>low</v>
      </c>
      <c r="X133">
        <v>8</v>
      </c>
      <c r="Y133">
        <v>0</v>
      </c>
      <c r="Z133">
        <v>0</v>
      </c>
      <c r="AA133">
        <f t="shared" si="11"/>
        <v>1</v>
      </c>
      <c r="AB133">
        <f t="shared" si="12"/>
        <v>0</v>
      </c>
      <c r="AC133">
        <f t="shared" si="13"/>
        <v>1</v>
      </c>
      <c r="AD133" s="1">
        <f t="shared" si="14"/>
        <v>2.6666666666666665</v>
      </c>
    </row>
    <row r="134" spans="1:30" x14ac:dyDescent="0.35">
      <c r="A134" t="s">
        <v>34</v>
      </c>
      <c r="B134">
        <v>17</v>
      </c>
      <c r="C134" t="s">
        <v>35</v>
      </c>
      <c r="D134" t="s">
        <v>47</v>
      </c>
      <c r="E134" t="s">
        <v>44</v>
      </c>
      <c r="F134" t="s">
        <v>45</v>
      </c>
      <c r="G134" t="s">
        <v>45</v>
      </c>
      <c r="H134">
        <v>1</v>
      </c>
      <c r="I134">
        <v>0</v>
      </c>
      <c r="J134" t="s">
        <v>43</v>
      </c>
      <c r="K134" t="s">
        <v>42</v>
      </c>
      <c r="L134" t="s">
        <v>43</v>
      </c>
      <c r="M134" t="s">
        <v>43</v>
      </c>
      <c r="N134" t="s">
        <v>42</v>
      </c>
      <c r="O134">
        <v>3</v>
      </c>
      <c r="P134">
        <v>4</v>
      </c>
      <c r="Q134">
        <v>4</v>
      </c>
      <c r="R134">
        <v>1</v>
      </c>
      <c r="S134">
        <v>3</v>
      </c>
      <c r="T134">
        <f t="shared" si="10"/>
        <v>4</v>
      </c>
      <c r="U134" t="str" cm="1">
        <f t="array" ref="U134">_xlfn.IFS(T134&lt;3, "low", AND(T134&gt;=3, T134&lt;5), "med", T134&gt;=5, "high")</f>
        <v>med</v>
      </c>
      <c r="V134">
        <v>12</v>
      </c>
      <c r="W134" t="str" cm="1">
        <f t="array" ref="W134">_xlfn.IFS(V134&lt;5, "low", AND(V134&gt;=5, V134&lt;10), "med", V134&gt;=10, "high")</f>
        <v>high</v>
      </c>
      <c r="X134">
        <v>10</v>
      </c>
      <c r="Y134">
        <v>13</v>
      </c>
      <c r="Z134">
        <v>12</v>
      </c>
      <c r="AA134">
        <f t="shared" si="11"/>
        <v>0</v>
      </c>
      <c r="AB134">
        <f t="shared" si="12"/>
        <v>1</v>
      </c>
      <c r="AC134">
        <f t="shared" si="13"/>
        <v>1</v>
      </c>
      <c r="AD134" s="1">
        <f t="shared" si="14"/>
        <v>11.666666666666666</v>
      </c>
    </row>
    <row r="135" spans="1:30" x14ac:dyDescent="0.35">
      <c r="A135" t="s">
        <v>34</v>
      </c>
      <c r="B135">
        <v>16</v>
      </c>
      <c r="C135" t="s">
        <v>35</v>
      </c>
      <c r="D135" t="s">
        <v>36</v>
      </c>
      <c r="E135" t="s">
        <v>37</v>
      </c>
      <c r="F135" t="s">
        <v>48</v>
      </c>
      <c r="G135" t="s">
        <v>45</v>
      </c>
      <c r="H135">
        <v>1</v>
      </c>
      <c r="I135">
        <v>0</v>
      </c>
      <c r="J135" t="s">
        <v>43</v>
      </c>
      <c r="K135" t="s">
        <v>43</v>
      </c>
      <c r="L135" t="s">
        <v>43</v>
      </c>
      <c r="M135" t="s">
        <v>43</v>
      </c>
      <c r="N135" t="s">
        <v>43</v>
      </c>
      <c r="O135">
        <v>3</v>
      </c>
      <c r="P135">
        <v>2</v>
      </c>
      <c r="Q135">
        <v>1</v>
      </c>
      <c r="R135">
        <v>1</v>
      </c>
      <c r="S135">
        <v>4</v>
      </c>
      <c r="T135">
        <f t="shared" si="10"/>
        <v>5</v>
      </c>
      <c r="U135" t="str" cm="1">
        <f t="array" ref="U135">_xlfn.IFS(T135&lt;3, "low", AND(T135&gt;=3, T135&lt;5), "med", T135&gt;=5, "high")</f>
        <v>high</v>
      </c>
      <c r="V135">
        <v>16</v>
      </c>
      <c r="W135" t="str" cm="1">
        <f t="array" ref="W135">_xlfn.IFS(V135&lt;5, "low", AND(V135&gt;=5, V135&lt;10), "med", V135&gt;=10, "high")</f>
        <v>high</v>
      </c>
      <c r="X135">
        <v>12</v>
      </c>
      <c r="Y135">
        <v>11</v>
      </c>
      <c r="Z135">
        <v>11</v>
      </c>
      <c r="AA135">
        <f t="shared" si="11"/>
        <v>1</v>
      </c>
      <c r="AB135">
        <f t="shared" si="12"/>
        <v>0</v>
      </c>
      <c r="AC135">
        <f t="shared" si="13"/>
        <v>1</v>
      </c>
      <c r="AD135" s="1">
        <f t="shared" si="14"/>
        <v>11.333333333333334</v>
      </c>
    </row>
    <row r="136" spans="1:30" x14ac:dyDescent="0.35">
      <c r="A136" t="s">
        <v>50</v>
      </c>
      <c r="B136">
        <v>15</v>
      </c>
      <c r="C136" t="s">
        <v>52</v>
      </c>
      <c r="D136" t="s">
        <v>36</v>
      </c>
      <c r="E136" t="s">
        <v>44</v>
      </c>
      <c r="F136" t="s">
        <v>38</v>
      </c>
      <c r="G136" t="s">
        <v>39</v>
      </c>
      <c r="H136">
        <v>2</v>
      </c>
      <c r="I136">
        <v>0</v>
      </c>
      <c r="J136" t="s">
        <v>43</v>
      </c>
      <c r="K136" t="s">
        <v>42</v>
      </c>
      <c r="L136" t="s">
        <v>43</v>
      </c>
      <c r="M136" t="s">
        <v>43</v>
      </c>
      <c r="N136" t="s">
        <v>42</v>
      </c>
      <c r="O136">
        <v>5</v>
      </c>
      <c r="P136">
        <v>3</v>
      </c>
      <c r="Q136">
        <v>3</v>
      </c>
      <c r="R136">
        <v>1</v>
      </c>
      <c r="S136">
        <v>1</v>
      </c>
      <c r="T136">
        <f t="shared" si="10"/>
        <v>2</v>
      </c>
      <c r="U136" t="str" cm="1">
        <f t="array" ref="U136">_xlfn.IFS(T136&lt;3, "low", AND(T136&gt;=3, T136&lt;5), "med", T136&gt;=5, "high")</f>
        <v>low</v>
      </c>
      <c r="V136">
        <v>0</v>
      </c>
      <c r="W136" t="str" cm="1">
        <f t="array" ref="W136">_xlfn.IFS(V136&lt;5, "low", AND(V136&gt;=5, V136&lt;10), "med", V136&gt;=10, "high")</f>
        <v>low</v>
      </c>
      <c r="X136">
        <v>9</v>
      </c>
      <c r="Y136">
        <v>0</v>
      </c>
      <c r="Z136">
        <v>0</v>
      </c>
      <c r="AA136">
        <f t="shared" si="11"/>
        <v>1</v>
      </c>
      <c r="AB136">
        <f t="shared" si="12"/>
        <v>0</v>
      </c>
      <c r="AC136">
        <f t="shared" si="13"/>
        <v>1</v>
      </c>
      <c r="AD136" s="1">
        <f t="shared" si="14"/>
        <v>3</v>
      </c>
    </row>
    <row r="137" spans="1:30" x14ac:dyDescent="0.35">
      <c r="A137" t="s">
        <v>34</v>
      </c>
      <c r="B137">
        <v>15</v>
      </c>
      <c r="C137" t="s">
        <v>35</v>
      </c>
      <c r="D137" t="s">
        <v>36</v>
      </c>
      <c r="E137" t="s">
        <v>44</v>
      </c>
      <c r="F137" t="s">
        <v>48</v>
      </c>
      <c r="G137" t="s">
        <v>38</v>
      </c>
      <c r="H137">
        <v>3</v>
      </c>
      <c r="I137">
        <v>0</v>
      </c>
      <c r="J137" t="s">
        <v>43</v>
      </c>
      <c r="K137" t="s">
        <v>42</v>
      </c>
      <c r="L137" t="s">
        <v>43</v>
      </c>
      <c r="M137" t="s">
        <v>42</v>
      </c>
      <c r="N137" t="s">
        <v>42</v>
      </c>
      <c r="O137">
        <v>4</v>
      </c>
      <c r="P137">
        <v>3</v>
      </c>
      <c r="Q137">
        <v>3</v>
      </c>
      <c r="R137">
        <v>1</v>
      </c>
      <c r="S137">
        <v>1</v>
      </c>
      <c r="T137">
        <f t="shared" si="10"/>
        <v>2</v>
      </c>
      <c r="U137" t="str" cm="1">
        <f t="array" ref="U137">_xlfn.IFS(T137&lt;3, "low", AND(T137&gt;=3, T137&lt;5), "med", T137&gt;=5, "high")</f>
        <v>low</v>
      </c>
      <c r="V137">
        <v>0</v>
      </c>
      <c r="W137" t="str" cm="1">
        <f t="array" ref="W137">_xlfn.IFS(V137&lt;5, "low", AND(V137&gt;=5, V137&lt;10), "med", V137&gt;=10, "high")</f>
        <v>low</v>
      </c>
      <c r="X137">
        <v>11</v>
      </c>
      <c r="Y137">
        <v>0</v>
      </c>
      <c r="Z137">
        <v>0</v>
      </c>
      <c r="AA137">
        <f t="shared" si="11"/>
        <v>1</v>
      </c>
      <c r="AB137">
        <f t="shared" si="12"/>
        <v>0</v>
      </c>
      <c r="AC137">
        <f t="shared" si="13"/>
        <v>1</v>
      </c>
      <c r="AD137" s="1">
        <f t="shared" si="14"/>
        <v>3.6666666666666665</v>
      </c>
    </row>
    <row r="138" spans="1:30" x14ac:dyDescent="0.35">
      <c r="A138" t="s">
        <v>50</v>
      </c>
      <c r="B138">
        <v>17</v>
      </c>
      <c r="C138" t="s">
        <v>52</v>
      </c>
      <c r="D138" t="s">
        <v>36</v>
      </c>
      <c r="E138" t="s">
        <v>44</v>
      </c>
      <c r="F138" t="s">
        <v>38</v>
      </c>
      <c r="G138" t="s">
        <v>45</v>
      </c>
      <c r="H138">
        <v>2</v>
      </c>
      <c r="I138">
        <v>0</v>
      </c>
      <c r="J138" t="s">
        <v>43</v>
      </c>
      <c r="K138" t="s">
        <v>43</v>
      </c>
      <c r="L138" t="s">
        <v>43</v>
      </c>
      <c r="M138" t="s">
        <v>43</v>
      </c>
      <c r="N138" t="s">
        <v>43</v>
      </c>
      <c r="O138">
        <v>5</v>
      </c>
      <c r="P138">
        <v>4</v>
      </c>
      <c r="Q138">
        <v>5</v>
      </c>
      <c r="R138">
        <v>2</v>
      </c>
      <c r="S138">
        <v>4</v>
      </c>
      <c r="T138">
        <f t="shared" si="10"/>
        <v>6</v>
      </c>
      <c r="U138" t="str" cm="1">
        <f t="array" ref="U138">_xlfn.IFS(T138&lt;3, "low", AND(T138&gt;=3, T138&lt;5), "med", T138&gt;=5, "high")</f>
        <v>high</v>
      </c>
      <c r="V138">
        <v>0</v>
      </c>
      <c r="W138" t="str" cm="1">
        <f t="array" ref="W138">_xlfn.IFS(V138&lt;5, "low", AND(V138&gt;=5, V138&lt;10), "med", V138&gt;=10, "high")</f>
        <v>low</v>
      </c>
      <c r="X138">
        <v>10</v>
      </c>
      <c r="Y138">
        <v>0</v>
      </c>
      <c r="Z138">
        <v>0</v>
      </c>
      <c r="AA138">
        <f t="shared" si="11"/>
        <v>1</v>
      </c>
      <c r="AB138">
        <f t="shared" si="12"/>
        <v>0</v>
      </c>
      <c r="AC138">
        <f t="shared" si="13"/>
        <v>1</v>
      </c>
      <c r="AD138" s="1">
        <f t="shared" si="14"/>
        <v>3.3333333333333335</v>
      </c>
    </row>
    <row r="139" spans="1:30" x14ac:dyDescent="0.35">
      <c r="A139" t="s">
        <v>34</v>
      </c>
      <c r="B139">
        <v>16</v>
      </c>
      <c r="C139" t="s">
        <v>35</v>
      </c>
      <c r="D139" t="s">
        <v>36</v>
      </c>
      <c r="E139" t="s">
        <v>37</v>
      </c>
      <c r="F139" t="s">
        <v>45</v>
      </c>
      <c r="G139" t="s">
        <v>45</v>
      </c>
      <c r="H139">
        <v>1</v>
      </c>
      <c r="I139">
        <v>2</v>
      </c>
      <c r="J139" t="s">
        <v>43</v>
      </c>
      <c r="K139" t="s">
        <v>42</v>
      </c>
      <c r="L139" t="s">
        <v>43</v>
      </c>
      <c r="M139" t="s">
        <v>42</v>
      </c>
      <c r="N139" t="s">
        <v>42</v>
      </c>
      <c r="O139">
        <v>4</v>
      </c>
      <c r="P139">
        <v>3</v>
      </c>
      <c r="Q139">
        <v>2</v>
      </c>
      <c r="R139">
        <v>1</v>
      </c>
      <c r="S139">
        <v>1</v>
      </c>
      <c r="T139">
        <f t="shared" si="10"/>
        <v>2</v>
      </c>
      <c r="U139" t="str" cm="1">
        <f t="array" ref="U139">_xlfn.IFS(T139&lt;3, "low", AND(T139&gt;=3, T139&lt;5), "med", T139&gt;=5, "high")</f>
        <v>low</v>
      </c>
      <c r="V139">
        <v>0</v>
      </c>
      <c r="W139" t="str" cm="1">
        <f t="array" ref="W139">_xlfn.IFS(V139&lt;5, "low", AND(V139&gt;=5, V139&lt;10), "med", V139&gt;=10, "high")</f>
        <v>low</v>
      </c>
      <c r="X139">
        <v>4</v>
      </c>
      <c r="Y139">
        <v>0</v>
      </c>
      <c r="Z139">
        <v>0</v>
      </c>
      <c r="AA139">
        <f t="shared" si="11"/>
        <v>1</v>
      </c>
      <c r="AB139">
        <f t="shared" si="12"/>
        <v>0</v>
      </c>
      <c r="AC139">
        <f t="shared" si="13"/>
        <v>1</v>
      </c>
      <c r="AD139" s="1">
        <f t="shared" si="14"/>
        <v>1.3333333333333333</v>
      </c>
    </row>
    <row r="140" spans="1:30" x14ac:dyDescent="0.35">
      <c r="A140" t="s">
        <v>50</v>
      </c>
      <c r="B140">
        <v>16</v>
      </c>
      <c r="C140" t="s">
        <v>35</v>
      </c>
      <c r="D140" t="s">
        <v>47</v>
      </c>
      <c r="E140" t="s">
        <v>44</v>
      </c>
      <c r="F140" t="s">
        <v>48</v>
      </c>
      <c r="G140" t="s">
        <v>45</v>
      </c>
      <c r="H140">
        <v>2</v>
      </c>
      <c r="I140">
        <v>1</v>
      </c>
      <c r="J140" t="s">
        <v>43</v>
      </c>
      <c r="K140" t="s">
        <v>43</v>
      </c>
      <c r="L140" t="s">
        <v>43</v>
      </c>
      <c r="M140" t="s">
        <v>43</v>
      </c>
      <c r="N140" t="s">
        <v>42</v>
      </c>
      <c r="O140">
        <v>4</v>
      </c>
      <c r="P140">
        <v>4</v>
      </c>
      <c r="Q140">
        <v>4</v>
      </c>
      <c r="R140">
        <v>1</v>
      </c>
      <c r="S140">
        <v>3</v>
      </c>
      <c r="T140">
        <f t="shared" si="10"/>
        <v>4</v>
      </c>
      <c r="U140" t="str" cm="1">
        <f t="array" ref="U140">_xlfn.IFS(T140&lt;3, "low", AND(T140&gt;=3, T140&lt;5), "med", T140&gt;=5, "high")</f>
        <v>med</v>
      </c>
      <c r="V140">
        <v>0</v>
      </c>
      <c r="W140" t="str" cm="1">
        <f t="array" ref="W140">_xlfn.IFS(V140&lt;5, "low", AND(V140&gt;=5, V140&lt;10), "med", V140&gt;=10, "high")</f>
        <v>low</v>
      </c>
      <c r="X140">
        <v>14</v>
      </c>
      <c r="Y140">
        <v>12</v>
      </c>
      <c r="Z140">
        <v>12</v>
      </c>
      <c r="AA140">
        <f t="shared" si="11"/>
        <v>1</v>
      </c>
      <c r="AB140">
        <f t="shared" si="12"/>
        <v>0</v>
      </c>
      <c r="AC140">
        <f t="shared" si="13"/>
        <v>1</v>
      </c>
      <c r="AD140" s="1">
        <f t="shared" si="14"/>
        <v>12.666666666666666</v>
      </c>
    </row>
    <row r="141" spans="1:30" x14ac:dyDescent="0.35">
      <c r="A141" t="s">
        <v>34</v>
      </c>
      <c r="B141">
        <v>15</v>
      </c>
      <c r="C141" t="s">
        <v>35</v>
      </c>
      <c r="D141" t="s">
        <v>36</v>
      </c>
      <c r="E141" t="s">
        <v>44</v>
      </c>
      <c r="F141" t="s">
        <v>39</v>
      </c>
      <c r="G141" t="s">
        <v>39</v>
      </c>
      <c r="H141">
        <v>1</v>
      </c>
      <c r="I141">
        <v>0</v>
      </c>
      <c r="J141" t="s">
        <v>43</v>
      </c>
      <c r="K141" t="s">
        <v>43</v>
      </c>
      <c r="L141" t="s">
        <v>43</v>
      </c>
      <c r="M141" t="s">
        <v>42</v>
      </c>
      <c r="N141" t="s">
        <v>43</v>
      </c>
      <c r="O141">
        <v>4</v>
      </c>
      <c r="P141">
        <v>3</v>
      </c>
      <c r="Q141">
        <v>2</v>
      </c>
      <c r="R141">
        <v>1</v>
      </c>
      <c r="S141">
        <v>1</v>
      </c>
      <c r="T141">
        <f t="shared" si="10"/>
        <v>2</v>
      </c>
      <c r="U141" t="str" cm="1">
        <f t="array" ref="U141">_xlfn.IFS(T141&lt;3, "low", AND(T141&gt;=3, T141&lt;5), "med", T141&gt;=5, "high")</f>
        <v>low</v>
      </c>
      <c r="V141">
        <v>0</v>
      </c>
      <c r="W141" t="str" cm="1">
        <f t="array" ref="W141">_xlfn.IFS(V141&lt;5, "low", AND(V141&gt;=5, V141&lt;10), "med", V141&gt;=10, "high")</f>
        <v>low</v>
      </c>
      <c r="X141">
        <v>16</v>
      </c>
      <c r="Y141">
        <v>16</v>
      </c>
      <c r="Z141">
        <v>15</v>
      </c>
      <c r="AA141">
        <f t="shared" si="11"/>
        <v>0</v>
      </c>
      <c r="AB141">
        <f t="shared" si="12"/>
        <v>1</v>
      </c>
      <c r="AC141">
        <f t="shared" si="13"/>
        <v>1</v>
      </c>
      <c r="AD141" s="1">
        <f t="shared" si="14"/>
        <v>15.666666666666666</v>
      </c>
    </row>
    <row r="142" spans="1:30" x14ac:dyDescent="0.35">
      <c r="A142" t="s">
        <v>50</v>
      </c>
      <c r="B142">
        <v>15</v>
      </c>
      <c r="C142" t="s">
        <v>35</v>
      </c>
      <c r="D142" t="s">
        <v>36</v>
      </c>
      <c r="E142" t="s">
        <v>44</v>
      </c>
      <c r="F142" t="s">
        <v>39</v>
      </c>
      <c r="G142" t="s">
        <v>48</v>
      </c>
      <c r="H142">
        <v>4</v>
      </c>
      <c r="I142">
        <v>0</v>
      </c>
      <c r="J142" t="s">
        <v>42</v>
      </c>
      <c r="K142" t="s">
        <v>42</v>
      </c>
      <c r="L142" t="s">
        <v>43</v>
      </c>
      <c r="M142" t="s">
        <v>43</v>
      </c>
      <c r="N142" t="s">
        <v>43</v>
      </c>
      <c r="O142">
        <v>2</v>
      </c>
      <c r="P142">
        <v>2</v>
      </c>
      <c r="Q142">
        <v>2</v>
      </c>
      <c r="R142">
        <v>1</v>
      </c>
      <c r="S142">
        <v>1</v>
      </c>
      <c r="T142">
        <f t="shared" si="10"/>
        <v>2</v>
      </c>
      <c r="U142" t="str" cm="1">
        <f t="array" ref="U142">_xlfn.IFS(T142&lt;3, "low", AND(T142&gt;=3, T142&lt;5), "med", T142&gt;=5, "high")</f>
        <v>low</v>
      </c>
      <c r="V142">
        <v>0</v>
      </c>
      <c r="W142" t="str" cm="1">
        <f t="array" ref="W142">_xlfn.IFS(V142&lt;5, "low", AND(V142&gt;=5, V142&lt;10), "med", V142&gt;=10, "high")</f>
        <v>low</v>
      </c>
      <c r="X142">
        <v>7</v>
      </c>
      <c r="Y142">
        <v>9</v>
      </c>
      <c r="Z142">
        <v>0</v>
      </c>
      <c r="AA142">
        <f t="shared" si="11"/>
        <v>0</v>
      </c>
      <c r="AB142">
        <f t="shared" si="12"/>
        <v>1</v>
      </c>
      <c r="AC142">
        <f t="shared" si="13"/>
        <v>1</v>
      </c>
      <c r="AD142" s="1">
        <f t="shared" si="14"/>
        <v>5.333333333333333</v>
      </c>
    </row>
    <row r="143" spans="1:30" x14ac:dyDescent="0.35">
      <c r="A143" t="s">
        <v>50</v>
      </c>
      <c r="B143">
        <v>16</v>
      </c>
      <c r="C143" t="s">
        <v>35</v>
      </c>
      <c r="D143" t="s">
        <v>47</v>
      </c>
      <c r="E143" t="s">
        <v>44</v>
      </c>
      <c r="F143" t="s">
        <v>48</v>
      </c>
      <c r="G143" t="s">
        <v>48</v>
      </c>
      <c r="H143">
        <v>1</v>
      </c>
      <c r="I143">
        <v>2</v>
      </c>
      <c r="J143" t="s">
        <v>43</v>
      </c>
      <c r="K143" t="s">
        <v>42</v>
      </c>
      <c r="L143" t="s">
        <v>43</v>
      </c>
      <c r="M143" t="s">
        <v>42</v>
      </c>
      <c r="N143" t="s">
        <v>43</v>
      </c>
      <c r="O143">
        <v>2</v>
      </c>
      <c r="P143">
        <v>3</v>
      </c>
      <c r="Q143">
        <v>3</v>
      </c>
      <c r="R143">
        <v>2</v>
      </c>
      <c r="S143">
        <v>2</v>
      </c>
      <c r="T143">
        <f t="shared" si="10"/>
        <v>4</v>
      </c>
      <c r="U143" t="str" cm="1">
        <f t="array" ref="U143">_xlfn.IFS(T143&lt;3, "low", AND(T143&gt;=3, T143&lt;5), "med", T143&gt;=5, "high")</f>
        <v>med</v>
      </c>
      <c r="V143">
        <v>8</v>
      </c>
      <c r="W143" t="str" cm="1">
        <f t="array" ref="W143">_xlfn.IFS(V143&lt;5, "low", AND(V143&gt;=5, V143&lt;10), "med", V143&gt;=10, "high")</f>
        <v>med</v>
      </c>
      <c r="X143">
        <v>9</v>
      </c>
      <c r="Y143">
        <v>9</v>
      </c>
      <c r="Z143">
        <v>9</v>
      </c>
      <c r="AA143">
        <f t="shared" si="11"/>
        <v>0</v>
      </c>
      <c r="AB143">
        <f t="shared" si="12"/>
        <v>0</v>
      </c>
      <c r="AC143">
        <f t="shared" si="13"/>
        <v>0</v>
      </c>
      <c r="AD143" s="1">
        <f t="shared" si="14"/>
        <v>9</v>
      </c>
    </row>
    <row r="144" spans="1:30" x14ac:dyDescent="0.35">
      <c r="A144" t="s">
        <v>34</v>
      </c>
      <c r="B144">
        <v>15</v>
      </c>
      <c r="C144" t="s">
        <v>35</v>
      </c>
      <c r="D144" t="s">
        <v>36</v>
      </c>
      <c r="E144" t="s">
        <v>44</v>
      </c>
      <c r="F144" t="s">
        <v>39</v>
      </c>
      <c r="G144" t="s">
        <v>48</v>
      </c>
      <c r="H144">
        <v>3</v>
      </c>
      <c r="I144">
        <v>0</v>
      </c>
      <c r="J144" t="s">
        <v>43</v>
      </c>
      <c r="K144" t="s">
        <v>42</v>
      </c>
      <c r="L144" t="s">
        <v>42</v>
      </c>
      <c r="M144" t="s">
        <v>42</v>
      </c>
      <c r="N144" t="s">
        <v>43</v>
      </c>
      <c r="O144">
        <v>4</v>
      </c>
      <c r="P144">
        <v>2</v>
      </c>
      <c r="Q144">
        <v>2</v>
      </c>
      <c r="R144">
        <v>1</v>
      </c>
      <c r="S144">
        <v>1</v>
      </c>
      <c r="T144">
        <f t="shared" si="10"/>
        <v>2</v>
      </c>
      <c r="U144" t="str" cm="1">
        <f t="array" ref="U144">_xlfn.IFS(T144&lt;3, "low", AND(T144&gt;=3, T144&lt;5), "med", T144&gt;=5, "high")</f>
        <v>low</v>
      </c>
      <c r="V144">
        <v>2</v>
      </c>
      <c r="W144" t="str" cm="1">
        <f t="array" ref="W144">_xlfn.IFS(V144&lt;5, "low", AND(V144&gt;=5, V144&lt;10), "med", V144&gt;=10, "high")</f>
        <v>low</v>
      </c>
      <c r="X144">
        <v>9</v>
      </c>
      <c r="Y144">
        <v>11</v>
      </c>
      <c r="Z144">
        <v>11</v>
      </c>
      <c r="AA144">
        <f t="shared" si="11"/>
        <v>0</v>
      </c>
      <c r="AB144">
        <f t="shared" si="12"/>
        <v>0</v>
      </c>
      <c r="AC144">
        <f t="shared" si="13"/>
        <v>0</v>
      </c>
      <c r="AD144" s="1">
        <f t="shared" si="14"/>
        <v>10.333333333333334</v>
      </c>
    </row>
    <row r="145" spans="1:30" x14ac:dyDescent="0.35">
      <c r="A145" t="s">
        <v>34</v>
      </c>
      <c r="B145">
        <v>16</v>
      </c>
      <c r="C145" t="s">
        <v>35</v>
      </c>
      <c r="D145" t="s">
        <v>47</v>
      </c>
      <c r="E145" t="s">
        <v>44</v>
      </c>
      <c r="F145" t="s">
        <v>38</v>
      </c>
      <c r="G145" t="s">
        <v>38</v>
      </c>
      <c r="H145">
        <v>1</v>
      </c>
      <c r="I145">
        <v>0</v>
      </c>
      <c r="J145" t="s">
        <v>43</v>
      </c>
      <c r="K145" t="s">
        <v>43</v>
      </c>
      <c r="L145" t="s">
        <v>43</v>
      </c>
      <c r="M145" t="s">
        <v>43</v>
      </c>
      <c r="N145" t="s">
        <v>43</v>
      </c>
      <c r="O145">
        <v>3</v>
      </c>
      <c r="P145">
        <v>4</v>
      </c>
      <c r="Q145">
        <v>4</v>
      </c>
      <c r="R145">
        <v>3</v>
      </c>
      <c r="S145">
        <v>3</v>
      </c>
      <c r="T145">
        <f t="shared" si="10"/>
        <v>6</v>
      </c>
      <c r="U145" t="str" cm="1">
        <f t="array" ref="U145">_xlfn.IFS(T145&lt;3, "low", AND(T145&gt;=3, T145&lt;5), "med", T145&gt;=5, "high")</f>
        <v>high</v>
      </c>
      <c r="V145">
        <v>2</v>
      </c>
      <c r="W145" t="str" cm="1">
        <f t="array" ref="W145">_xlfn.IFS(V145&lt;5, "low", AND(V145&gt;=5, V145&lt;10), "med", V145&gt;=10, "high")</f>
        <v>low</v>
      </c>
      <c r="X145">
        <v>14</v>
      </c>
      <c r="Y145">
        <v>14</v>
      </c>
      <c r="Z145">
        <v>13</v>
      </c>
      <c r="AA145">
        <f t="shared" si="11"/>
        <v>0</v>
      </c>
      <c r="AB145">
        <f t="shared" si="12"/>
        <v>1</v>
      </c>
      <c r="AC145">
        <f t="shared" si="13"/>
        <v>1</v>
      </c>
      <c r="AD145" s="1">
        <f t="shared" si="14"/>
        <v>13.666666666666666</v>
      </c>
    </row>
    <row r="146" spans="1:30" x14ac:dyDescent="0.35">
      <c r="A146" t="s">
        <v>50</v>
      </c>
      <c r="B146">
        <v>17</v>
      </c>
      <c r="C146" t="s">
        <v>35</v>
      </c>
      <c r="D146" t="s">
        <v>36</v>
      </c>
      <c r="E146" t="s">
        <v>44</v>
      </c>
      <c r="F146" t="s">
        <v>45</v>
      </c>
      <c r="G146" t="s">
        <v>45</v>
      </c>
      <c r="H146">
        <v>1</v>
      </c>
      <c r="I146">
        <v>3</v>
      </c>
      <c r="J146" t="s">
        <v>43</v>
      </c>
      <c r="K146" t="s">
        <v>42</v>
      </c>
      <c r="L146" t="s">
        <v>43</v>
      </c>
      <c r="M146" t="s">
        <v>43</v>
      </c>
      <c r="N146" t="s">
        <v>43</v>
      </c>
      <c r="O146">
        <v>5</v>
      </c>
      <c r="P146">
        <v>4</v>
      </c>
      <c r="Q146">
        <v>5</v>
      </c>
      <c r="R146">
        <v>1</v>
      </c>
      <c r="S146">
        <v>2</v>
      </c>
      <c r="T146">
        <f t="shared" si="10"/>
        <v>3</v>
      </c>
      <c r="U146" t="str" cm="1">
        <f t="array" ref="U146">_xlfn.IFS(T146&lt;3, "low", AND(T146&gt;=3, T146&lt;5), "med", T146&gt;=5, "high")</f>
        <v>med</v>
      </c>
      <c r="V146">
        <v>0</v>
      </c>
      <c r="W146" t="str" cm="1">
        <f t="array" ref="W146">_xlfn.IFS(V146&lt;5, "low", AND(V146&gt;=5, V146&lt;10), "med", V146&gt;=10, "high")</f>
        <v>low</v>
      </c>
      <c r="X146">
        <v>5</v>
      </c>
      <c r="Y146">
        <v>0</v>
      </c>
      <c r="Z146">
        <v>0</v>
      </c>
      <c r="AA146">
        <f t="shared" si="11"/>
        <v>1</v>
      </c>
      <c r="AB146">
        <f t="shared" si="12"/>
        <v>0</v>
      </c>
      <c r="AC146">
        <f t="shared" si="13"/>
        <v>1</v>
      </c>
      <c r="AD146" s="1">
        <f t="shared" si="14"/>
        <v>1.6666666666666667</v>
      </c>
    </row>
    <row r="147" spans="1:30" x14ac:dyDescent="0.35">
      <c r="A147" t="s">
        <v>34</v>
      </c>
      <c r="B147">
        <v>15</v>
      </c>
      <c r="C147" t="s">
        <v>35</v>
      </c>
      <c r="D147" t="s">
        <v>36</v>
      </c>
      <c r="E147" t="s">
        <v>44</v>
      </c>
      <c r="F147" t="s">
        <v>45</v>
      </c>
      <c r="G147" t="s">
        <v>48</v>
      </c>
      <c r="H147">
        <v>2</v>
      </c>
      <c r="I147">
        <v>0</v>
      </c>
      <c r="J147" t="s">
        <v>43</v>
      </c>
      <c r="K147" t="s">
        <v>42</v>
      </c>
      <c r="L147" t="s">
        <v>42</v>
      </c>
      <c r="M147" t="s">
        <v>43</v>
      </c>
      <c r="N147" t="s">
        <v>43</v>
      </c>
      <c r="O147">
        <v>4</v>
      </c>
      <c r="P147">
        <v>4</v>
      </c>
      <c r="Q147">
        <v>2</v>
      </c>
      <c r="R147">
        <v>1</v>
      </c>
      <c r="S147">
        <v>2</v>
      </c>
      <c r="T147">
        <f t="shared" si="10"/>
        <v>3</v>
      </c>
      <c r="U147" t="str" cm="1">
        <f t="array" ref="U147">_xlfn.IFS(T147&lt;3, "low", AND(T147&gt;=3, T147&lt;5), "med", T147&gt;=5, "high")</f>
        <v>med</v>
      </c>
      <c r="V147">
        <v>0</v>
      </c>
      <c r="W147" t="str" cm="1">
        <f t="array" ref="W147">_xlfn.IFS(V147&lt;5, "low", AND(V147&gt;=5, V147&lt;10), "med", V147&gt;=10, "high")</f>
        <v>low</v>
      </c>
      <c r="X147">
        <v>8</v>
      </c>
      <c r="Y147">
        <v>11</v>
      </c>
      <c r="Z147">
        <v>11</v>
      </c>
      <c r="AA147">
        <f t="shared" si="11"/>
        <v>0</v>
      </c>
      <c r="AB147">
        <f t="shared" si="12"/>
        <v>0</v>
      </c>
      <c r="AC147">
        <f t="shared" si="13"/>
        <v>0</v>
      </c>
      <c r="AD147" s="1">
        <f t="shared" si="14"/>
        <v>10</v>
      </c>
    </row>
    <row r="148" spans="1:30" x14ac:dyDescent="0.35">
      <c r="A148" t="s">
        <v>34</v>
      </c>
      <c r="B148">
        <v>15</v>
      </c>
      <c r="C148" t="s">
        <v>35</v>
      </c>
      <c r="D148" t="s">
        <v>36</v>
      </c>
      <c r="E148" t="s">
        <v>44</v>
      </c>
      <c r="F148" t="s">
        <v>28</v>
      </c>
      <c r="G148" t="s">
        <v>48</v>
      </c>
      <c r="H148">
        <v>2</v>
      </c>
      <c r="I148">
        <v>3</v>
      </c>
      <c r="J148" t="s">
        <v>43</v>
      </c>
      <c r="K148" t="s">
        <v>42</v>
      </c>
      <c r="L148" t="s">
        <v>43</v>
      </c>
      <c r="M148" t="s">
        <v>43</v>
      </c>
      <c r="N148" t="s">
        <v>43</v>
      </c>
      <c r="O148">
        <v>3</v>
      </c>
      <c r="P148">
        <v>3</v>
      </c>
      <c r="Q148">
        <v>2</v>
      </c>
      <c r="R148">
        <v>1</v>
      </c>
      <c r="S148">
        <v>1</v>
      </c>
      <c r="T148">
        <f t="shared" si="10"/>
        <v>2</v>
      </c>
      <c r="U148" t="str" cm="1">
        <f t="array" ref="U148">_xlfn.IFS(T148&lt;3, "low", AND(T148&gt;=3, T148&lt;5), "med", T148&gt;=5, "high")</f>
        <v>low</v>
      </c>
      <c r="V148">
        <v>0</v>
      </c>
      <c r="W148" t="str" cm="1">
        <f t="array" ref="W148">_xlfn.IFS(V148&lt;5, "low", AND(V148&gt;=5, V148&lt;10), "med", V148&gt;=10, "high")</f>
        <v>low</v>
      </c>
      <c r="X148">
        <v>6</v>
      </c>
      <c r="Y148">
        <v>7</v>
      </c>
      <c r="Z148">
        <v>0</v>
      </c>
      <c r="AA148">
        <f t="shared" si="11"/>
        <v>0</v>
      </c>
      <c r="AB148">
        <f t="shared" si="12"/>
        <v>1</v>
      </c>
      <c r="AC148">
        <f t="shared" si="13"/>
        <v>1</v>
      </c>
      <c r="AD148" s="1">
        <f t="shared" si="14"/>
        <v>4.333333333333333</v>
      </c>
    </row>
    <row r="149" spans="1:30" x14ac:dyDescent="0.35">
      <c r="A149" t="s">
        <v>34</v>
      </c>
      <c r="B149">
        <v>15</v>
      </c>
      <c r="C149" t="s">
        <v>35</v>
      </c>
      <c r="D149" t="s">
        <v>36</v>
      </c>
      <c r="E149" t="s">
        <v>44</v>
      </c>
      <c r="F149" t="s">
        <v>38</v>
      </c>
      <c r="G149" t="s">
        <v>45</v>
      </c>
      <c r="H149">
        <v>2</v>
      </c>
      <c r="I149">
        <v>0</v>
      </c>
      <c r="J149" t="s">
        <v>43</v>
      </c>
      <c r="K149" t="s">
        <v>42</v>
      </c>
      <c r="L149" t="s">
        <v>42</v>
      </c>
      <c r="M149" t="s">
        <v>43</v>
      </c>
      <c r="N149" t="s">
        <v>43</v>
      </c>
      <c r="O149">
        <v>4</v>
      </c>
      <c r="P149">
        <v>3</v>
      </c>
      <c r="Q149">
        <v>2</v>
      </c>
      <c r="R149">
        <v>1</v>
      </c>
      <c r="S149">
        <v>1</v>
      </c>
      <c r="T149">
        <f t="shared" si="10"/>
        <v>2</v>
      </c>
      <c r="U149" t="str" cm="1">
        <f t="array" ref="U149">_xlfn.IFS(T149&lt;3, "low", AND(T149&gt;=3, T149&lt;5), "med", T149&gt;=5, "high")</f>
        <v>low</v>
      </c>
      <c r="V149">
        <v>2</v>
      </c>
      <c r="W149" t="str" cm="1">
        <f t="array" ref="W149">_xlfn.IFS(V149&lt;5, "low", AND(V149&gt;=5, V149&lt;10), "med", V149&gt;=10, "high")</f>
        <v>low</v>
      </c>
      <c r="X149">
        <v>10</v>
      </c>
      <c r="Y149">
        <v>11</v>
      </c>
      <c r="Z149">
        <v>11</v>
      </c>
      <c r="AA149">
        <f t="shared" si="11"/>
        <v>0</v>
      </c>
      <c r="AB149">
        <f t="shared" si="12"/>
        <v>0</v>
      </c>
      <c r="AC149">
        <f t="shared" si="13"/>
        <v>0</v>
      </c>
      <c r="AD149" s="1">
        <f t="shared" si="14"/>
        <v>10.666666666666666</v>
      </c>
    </row>
    <row r="150" spans="1:30" x14ac:dyDescent="0.35">
      <c r="A150" t="s">
        <v>50</v>
      </c>
      <c r="B150">
        <v>16</v>
      </c>
      <c r="C150" t="s">
        <v>35</v>
      </c>
      <c r="D150" t="s">
        <v>36</v>
      </c>
      <c r="E150" t="s">
        <v>44</v>
      </c>
      <c r="F150" t="s">
        <v>39</v>
      </c>
      <c r="G150" t="s">
        <v>39</v>
      </c>
      <c r="H150">
        <v>1</v>
      </c>
      <c r="I150">
        <v>0</v>
      </c>
      <c r="J150" t="s">
        <v>43</v>
      </c>
      <c r="K150" t="s">
        <v>42</v>
      </c>
      <c r="L150" t="s">
        <v>43</v>
      </c>
      <c r="M150" t="s">
        <v>43</v>
      </c>
      <c r="N150" t="s">
        <v>42</v>
      </c>
      <c r="O150">
        <v>3</v>
      </c>
      <c r="P150">
        <v>3</v>
      </c>
      <c r="Q150">
        <v>2</v>
      </c>
      <c r="R150">
        <v>2</v>
      </c>
      <c r="S150">
        <v>1</v>
      </c>
      <c r="T150">
        <f t="shared" si="10"/>
        <v>3</v>
      </c>
      <c r="U150" t="str" cm="1">
        <f t="array" ref="U150">_xlfn.IFS(T150&lt;3, "low", AND(T150&gt;=3, T150&lt;5), "med", T150&gt;=5, "high")</f>
        <v>med</v>
      </c>
      <c r="V150">
        <v>0</v>
      </c>
      <c r="W150" t="str" cm="1">
        <f t="array" ref="W150">_xlfn.IFS(V150&lt;5, "low", AND(V150&gt;=5, V150&lt;10), "med", V150&gt;=10, "high")</f>
        <v>low</v>
      </c>
      <c r="X150">
        <v>7</v>
      </c>
      <c r="Y150">
        <v>6</v>
      </c>
      <c r="Z150">
        <v>0</v>
      </c>
      <c r="AA150">
        <f t="shared" si="11"/>
        <v>1</v>
      </c>
      <c r="AB150">
        <f t="shared" si="12"/>
        <v>1</v>
      </c>
      <c r="AC150">
        <f t="shared" si="13"/>
        <v>2</v>
      </c>
      <c r="AD150" s="1">
        <f t="shared" si="14"/>
        <v>4.333333333333333</v>
      </c>
    </row>
    <row r="151" spans="1:30" x14ac:dyDescent="0.35">
      <c r="A151" t="s">
        <v>50</v>
      </c>
      <c r="B151">
        <v>15</v>
      </c>
      <c r="C151" t="s">
        <v>35</v>
      </c>
      <c r="D151" t="s">
        <v>47</v>
      </c>
      <c r="E151" t="s">
        <v>37</v>
      </c>
      <c r="F151" t="s">
        <v>48</v>
      </c>
      <c r="G151" t="s">
        <v>45</v>
      </c>
      <c r="H151">
        <v>1</v>
      </c>
      <c r="I151">
        <v>3</v>
      </c>
      <c r="J151" t="s">
        <v>43</v>
      </c>
      <c r="K151" t="s">
        <v>43</v>
      </c>
      <c r="L151" t="s">
        <v>43</v>
      </c>
      <c r="M151" t="s">
        <v>43</v>
      </c>
      <c r="N151" t="s">
        <v>43</v>
      </c>
      <c r="O151">
        <v>4</v>
      </c>
      <c r="P151">
        <v>5</v>
      </c>
      <c r="Q151">
        <v>5</v>
      </c>
      <c r="R151">
        <v>2</v>
      </c>
      <c r="S151">
        <v>5</v>
      </c>
      <c r="T151">
        <f t="shared" si="10"/>
        <v>7</v>
      </c>
      <c r="U151" t="str" cm="1">
        <f t="array" ref="U151">_xlfn.IFS(T151&lt;3, "low", AND(T151&gt;=3, T151&lt;5), "med", T151&gt;=5, "high")</f>
        <v>high</v>
      </c>
      <c r="V151">
        <v>0</v>
      </c>
      <c r="W151" t="str" cm="1">
        <f t="array" ref="W151">_xlfn.IFS(V151&lt;5, "low", AND(V151&gt;=5, V151&lt;10), "med", V151&gt;=10, "high")</f>
        <v>low</v>
      </c>
      <c r="X151">
        <v>8</v>
      </c>
      <c r="Y151">
        <v>9</v>
      </c>
      <c r="Z151">
        <v>10</v>
      </c>
      <c r="AA151">
        <f t="shared" si="11"/>
        <v>0</v>
      </c>
      <c r="AB151">
        <f t="shared" si="12"/>
        <v>0</v>
      </c>
      <c r="AC151">
        <f t="shared" si="13"/>
        <v>0</v>
      </c>
      <c r="AD151" s="1">
        <f t="shared" si="14"/>
        <v>9</v>
      </c>
    </row>
    <row r="152" spans="1:30" x14ac:dyDescent="0.35">
      <c r="A152" t="s">
        <v>50</v>
      </c>
      <c r="B152">
        <v>18</v>
      </c>
      <c r="C152" t="s">
        <v>35</v>
      </c>
      <c r="D152" t="s">
        <v>47</v>
      </c>
      <c r="E152" t="s">
        <v>44</v>
      </c>
      <c r="F152" t="s">
        <v>45</v>
      </c>
      <c r="G152" t="s">
        <v>45</v>
      </c>
      <c r="H152">
        <v>1</v>
      </c>
      <c r="I152">
        <v>3</v>
      </c>
      <c r="J152" t="s">
        <v>43</v>
      </c>
      <c r="K152" t="s">
        <v>43</v>
      </c>
      <c r="L152" t="s">
        <v>43</v>
      </c>
      <c r="M152" t="s">
        <v>43</v>
      </c>
      <c r="N152" t="s">
        <v>42</v>
      </c>
      <c r="O152">
        <v>2</v>
      </c>
      <c r="P152">
        <v>3</v>
      </c>
      <c r="Q152">
        <v>5</v>
      </c>
      <c r="R152">
        <v>2</v>
      </c>
      <c r="S152">
        <v>5</v>
      </c>
      <c r="T152">
        <f t="shared" si="10"/>
        <v>7</v>
      </c>
      <c r="U152" t="str" cm="1">
        <f t="array" ref="U152">_xlfn.IFS(T152&lt;3, "low", AND(T152&gt;=3, T152&lt;5), "med", T152&gt;=5, "high")</f>
        <v>high</v>
      </c>
      <c r="V152">
        <v>0</v>
      </c>
      <c r="W152" t="str" cm="1">
        <f t="array" ref="W152">_xlfn.IFS(V152&lt;5, "low", AND(V152&gt;=5, V152&lt;10), "med", V152&gt;=10, "high")</f>
        <v>low</v>
      </c>
      <c r="X152">
        <v>6</v>
      </c>
      <c r="Y152">
        <v>5</v>
      </c>
      <c r="Z152">
        <v>0</v>
      </c>
      <c r="AA152">
        <f t="shared" si="11"/>
        <v>1</v>
      </c>
      <c r="AB152">
        <f t="shared" si="12"/>
        <v>1</v>
      </c>
      <c r="AC152">
        <f t="shared" si="13"/>
        <v>2</v>
      </c>
      <c r="AD152" s="1">
        <f t="shared" si="14"/>
        <v>3.6666666666666665</v>
      </c>
    </row>
    <row r="153" spans="1:30" x14ac:dyDescent="0.35">
      <c r="A153" t="s">
        <v>50</v>
      </c>
      <c r="B153">
        <v>16</v>
      </c>
      <c r="C153" t="s">
        <v>35</v>
      </c>
      <c r="D153" t="s">
        <v>47</v>
      </c>
      <c r="E153" t="s">
        <v>44</v>
      </c>
      <c r="F153" t="s">
        <v>38</v>
      </c>
      <c r="G153" t="s">
        <v>45</v>
      </c>
      <c r="H153">
        <v>1</v>
      </c>
      <c r="I153">
        <v>1</v>
      </c>
      <c r="J153" t="s">
        <v>43</v>
      </c>
      <c r="K153" t="s">
        <v>43</v>
      </c>
      <c r="L153" t="s">
        <v>43</v>
      </c>
      <c r="M153" t="s">
        <v>42</v>
      </c>
      <c r="N153" t="s">
        <v>42</v>
      </c>
      <c r="O153">
        <v>4</v>
      </c>
      <c r="P153">
        <v>4</v>
      </c>
      <c r="Q153">
        <v>4</v>
      </c>
      <c r="R153">
        <v>3</v>
      </c>
      <c r="S153">
        <v>5</v>
      </c>
      <c r="T153">
        <f t="shared" si="10"/>
        <v>8</v>
      </c>
      <c r="U153" t="str" cm="1">
        <f t="array" ref="U153">_xlfn.IFS(T153&lt;3, "low", AND(T153&gt;=3, T153&lt;5), "med", T153&gt;=5, "high")</f>
        <v>high</v>
      </c>
      <c r="V153">
        <v>6</v>
      </c>
      <c r="W153" t="str" cm="1">
        <f t="array" ref="W153">_xlfn.IFS(V153&lt;5, "low", AND(V153&gt;=5, V153&lt;10), "med", V153&gt;=10, "high")</f>
        <v>med</v>
      </c>
      <c r="X153">
        <v>12</v>
      </c>
      <c r="Y153">
        <v>13</v>
      </c>
      <c r="Z153">
        <v>14</v>
      </c>
      <c r="AA153">
        <f t="shared" si="11"/>
        <v>0</v>
      </c>
      <c r="AB153">
        <f t="shared" si="12"/>
        <v>0</v>
      </c>
      <c r="AC153">
        <f t="shared" si="13"/>
        <v>0</v>
      </c>
      <c r="AD153" s="1">
        <f t="shared" si="14"/>
        <v>13</v>
      </c>
    </row>
    <row r="154" spans="1:30" x14ac:dyDescent="0.35">
      <c r="A154" t="s">
        <v>34</v>
      </c>
      <c r="B154">
        <v>15</v>
      </c>
      <c r="C154" t="s">
        <v>52</v>
      </c>
      <c r="D154" t="s">
        <v>36</v>
      </c>
      <c r="E154" t="s">
        <v>44</v>
      </c>
      <c r="F154" t="s">
        <v>48</v>
      </c>
      <c r="G154" t="s">
        <v>48</v>
      </c>
      <c r="H154">
        <v>3</v>
      </c>
      <c r="I154">
        <v>2</v>
      </c>
      <c r="J154" t="s">
        <v>43</v>
      </c>
      <c r="K154" t="s">
        <v>42</v>
      </c>
      <c r="L154" t="s">
        <v>42</v>
      </c>
      <c r="M154" t="s">
        <v>42</v>
      </c>
      <c r="N154" t="s">
        <v>42</v>
      </c>
      <c r="O154">
        <v>4</v>
      </c>
      <c r="P154">
        <v>2</v>
      </c>
      <c r="Q154">
        <v>1</v>
      </c>
      <c r="R154">
        <v>2</v>
      </c>
      <c r="S154">
        <v>3</v>
      </c>
      <c r="T154">
        <f t="shared" si="10"/>
        <v>5</v>
      </c>
      <c r="U154" t="str" cm="1">
        <f t="array" ref="U154">_xlfn.IFS(T154&lt;3, "low", AND(T154&gt;=3, T154&lt;5), "med", T154&gt;=5, "high")</f>
        <v>high</v>
      </c>
      <c r="V154">
        <v>8</v>
      </c>
      <c r="W154" t="str" cm="1">
        <f t="array" ref="W154">_xlfn.IFS(V154&lt;5, "low", AND(V154&gt;=5, V154&lt;10), "med", V154&gt;=10, "high")</f>
        <v>med</v>
      </c>
      <c r="X154">
        <v>10</v>
      </c>
      <c r="Y154">
        <v>10</v>
      </c>
      <c r="Z154">
        <v>10</v>
      </c>
      <c r="AA154">
        <f t="shared" si="11"/>
        <v>0</v>
      </c>
      <c r="AB154">
        <f t="shared" si="12"/>
        <v>0</v>
      </c>
      <c r="AC154">
        <f t="shared" si="13"/>
        <v>0</v>
      </c>
      <c r="AD154" s="1">
        <f t="shared" si="14"/>
        <v>10</v>
      </c>
    </row>
    <row r="155" spans="1:30" x14ac:dyDescent="0.35">
      <c r="A155" t="s">
        <v>50</v>
      </c>
      <c r="B155">
        <v>19</v>
      </c>
      <c r="C155" t="s">
        <v>35</v>
      </c>
      <c r="D155" t="s">
        <v>36</v>
      </c>
      <c r="E155" t="s">
        <v>44</v>
      </c>
      <c r="F155" t="s">
        <v>48</v>
      </c>
      <c r="G155" t="s">
        <v>38</v>
      </c>
      <c r="H155">
        <v>1</v>
      </c>
      <c r="I155">
        <v>3</v>
      </c>
      <c r="J155" t="s">
        <v>43</v>
      </c>
      <c r="K155" t="s">
        <v>42</v>
      </c>
      <c r="L155" t="s">
        <v>43</v>
      </c>
      <c r="M155" t="s">
        <v>43</v>
      </c>
      <c r="N155" t="s">
        <v>42</v>
      </c>
      <c r="O155">
        <v>4</v>
      </c>
      <c r="P155">
        <v>5</v>
      </c>
      <c r="Q155">
        <v>4</v>
      </c>
      <c r="R155">
        <v>1</v>
      </c>
      <c r="S155">
        <v>1</v>
      </c>
      <c r="T155">
        <f t="shared" si="10"/>
        <v>2</v>
      </c>
      <c r="U155" t="str" cm="1">
        <f t="array" ref="U155">_xlfn.IFS(T155&lt;3, "low", AND(T155&gt;=3, T155&lt;5), "med", T155&gt;=5, "high")</f>
        <v>low</v>
      </c>
      <c r="V155">
        <v>0</v>
      </c>
      <c r="W155" t="str" cm="1">
        <f t="array" ref="W155">_xlfn.IFS(V155&lt;5, "low", AND(V155&gt;=5, V155&lt;10), "med", V155&gt;=10, "high")</f>
        <v>low</v>
      </c>
      <c r="X155">
        <v>5</v>
      </c>
      <c r="Y155">
        <v>0</v>
      </c>
      <c r="Z155">
        <v>0</v>
      </c>
      <c r="AA155">
        <f t="shared" si="11"/>
        <v>1</v>
      </c>
      <c r="AB155">
        <f t="shared" si="12"/>
        <v>0</v>
      </c>
      <c r="AC155">
        <f t="shared" si="13"/>
        <v>1</v>
      </c>
      <c r="AD155" s="1">
        <f t="shared" si="14"/>
        <v>1.6666666666666667</v>
      </c>
    </row>
    <row r="156" spans="1:30" x14ac:dyDescent="0.35">
      <c r="A156" t="s">
        <v>34</v>
      </c>
      <c r="B156">
        <v>17</v>
      </c>
      <c r="C156" t="s">
        <v>35</v>
      </c>
      <c r="D156" t="s">
        <v>36</v>
      </c>
      <c r="E156" t="s">
        <v>44</v>
      </c>
      <c r="F156" t="s">
        <v>45</v>
      </c>
      <c r="G156" t="s">
        <v>39</v>
      </c>
      <c r="H156">
        <v>1</v>
      </c>
      <c r="I156">
        <v>0</v>
      </c>
      <c r="J156" t="s">
        <v>42</v>
      </c>
      <c r="K156" t="s">
        <v>42</v>
      </c>
      <c r="L156" t="s">
        <v>43</v>
      </c>
      <c r="M156" t="s">
        <v>43</v>
      </c>
      <c r="N156" t="s">
        <v>42</v>
      </c>
      <c r="O156">
        <v>4</v>
      </c>
      <c r="P156">
        <v>2</v>
      </c>
      <c r="Q156">
        <v>1</v>
      </c>
      <c r="R156">
        <v>1</v>
      </c>
      <c r="S156">
        <v>1</v>
      </c>
      <c r="T156">
        <f t="shared" si="10"/>
        <v>2</v>
      </c>
      <c r="U156" t="str" cm="1">
        <f t="array" ref="U156">_xlfn.IFS(T156&lt;3, "low", AND(T156&gt;=3, T156&lt;5), "med", T156&gt;=5, "high")</f>
        <v>low</v>
      </c>
      <c r="V156">
        <v>0</v>
      </c>
      <c r="W156" t="str" cm="1">
        <f t="array" ref="W156">_xlfn.IFS(V156&lt;5, "low", AND(V156&gt;=5, V156&lt;10), "med", V156&gt;=10, "high")</f>
        <v>low</v>
      </c>
      <c r="X156">
        <v>11</v>
      </c>
      <c r="Y156">
        <v>11</v>
      </c>
      <c r="Z156">
        <v>12</v>
      </c>
      <c r="AA156">
        <f t="shared" si="11"/>
        <v>0</v>
      </c>
      <c r="AB156">
        <f t="shared" si="12"/>
        <v>0</v>
      </c>
      <c r="AC156">
        <f t="shared" si="13"/>
        <v>0</v>
      </c>
      <c r="AD156" s="1">
        <f t="shared" si="14"/>
        <v>11.333333333333334</v>
      </c>
    </row>
    <row r="157" spans="1:30" x14ac:dyDescent="0.35">
      <c r="A157" t="s">
        <v>50</v>
      </c>
      <c r="B157">
        <v>15</v>
      </c>
      <c r="C157" t="s">
        <v>52</v>
      </c>
      <c r="D157" t="s">
        <v>36</v>
      </c>
      <c r="E157" t="s">
        <v>44</v>
      </c>
      <c r="F157" t="s">
        <v>38</v>
      </c>
      <c r="G157" t="s">
        <v>48</v>
      </c>
      <c r="H157">
        <v>2</v>
      </c>
      <c r="I157">
        <v>0</v>
      </c>
      <c r="J157" t="s">
        <v>42</v>
      </c>
      <c r="K157" t="s">
        <v>43</v>
      </c>
      <c r="L157" t="s">
        <v>42</v>
      </c>
      <c r="M157" t="s">
        <v>42</v>
      </c>
      <c r="N157" t="s">
        <v>43</v>
      </c>
      <c r="O157">
        <v>4</v>
      </c>
      <c r="P157">
        <v>4</v>
      </c>
      <c r="Q157">
        <v>4</v>
      </c>
      <c r="R157">
        <v>1</v>
      </c>
      <c r="S157">
        <v>1</v>
      </c>
      <c r="T157">
        <f t="shared" si="10"/>
        <v>2</v>
      </c>
      <c r="U157" t="str" cm="1">
        <f t="array" ref="U157">_xlfn.IFS(T157&lt;3, "low", AND(T157&gt;=3, T157&lt;5), "med", T157&gt;=5, "high")</f>
        <v>low</v>
      </c>
      <c r="V157">
        <v>2</v>
      </c>
      <c r="W157" t="str" cm="1">
        <f t="array" ref="W157">_xlfn.IFS(V157&lt;5, "low", AND(V157&gt;=5, V157&lt;10), "med", V157&gt;=10, "high")</f>
        <v>low</v>
      </c>
      <c r="X157">
        <v>11</v>
      </c>
      <c r="Y157">
        <v>8</v>
      </c>
      <c r="Z157">
        <v>8</v>
      </c>
      <c r="AA157">
        <f t="shared" si="11"/>
        <v>1</v>
      </c>
      <c r="AB157">
        <f t="shared" si="12"/>
        <v>0</v>
      </c>
      <c r="AC157">
        <f t="shared" si="13"/>
        <v>1</v>
      </c>
      <c r="AD157" s="1">
        <f t="shared" si="14"/>
        <v>9</v>
      </c>
    </row>
    <row r="158" spans="1:30" x14ac:dyDescent="0.35">
      <c r="A158" t="s">
        <v>50</v>
      </c>
      <c r="B158">
        <v>17</v>
      </c>
      <c r="C158" t="s">
        <v>52</v>
      </c>
      <c r="D158" t="s">
        <v>47</v>
      </c>
      <c r="E158" t="s">
        <v>44</v>
      </c>
      <c r="F158" t="s">
        <v>45</v>
      </c>
      <c r="G158" t="s">
        <v>45</v>
      </c>
      <c r="H158">
        <v>1</v>
      </c>
      <c r="I158">
        <v>0</v>
      </c>
      <c r="J158" t="s">
        <v>43</v>
      </c>
      <c r="K158" t="s">
        <v>43</v>
      </c>
      <c r="L158" t="s">
        <v>43</v>
      </c>
      <c r="M158" t="s">
        <v>43</v>
      </c>
      <c r="N158" t="s">
        <v>43</v>
      </c>
      <c r="O158">
        <v>2</v>
      </c>
      <c r="P158">
        <v>2</v>
      </c>
      <c r="Q158">
        <v>2</v>
      </c>
      <c r="R158">
        <v>3</v>
      </c>
      <c r="S158">
        <v>3</v>
      </c>
      <c r="T158">
        <f t="shared" si="10"/>
        <v>6</v>
      </c>
      <c r="U158" t="str" cm="1">
        <f t="array" ref="U158">_xlfn.IFS(T158&lt;3, "low", AND(T158&gt;=3, T158&lt;5), "med", T158&gt;=5, "high")</f>
        <v>high</v>
      </c>
      <c r="V158">
        <v>8</v>
      </c>
      <c r="W158" t="str" cm="1">
        <f t="array" ref="W158">_xlfn.IFS(V158&lt;5, "low", AND(V158&gt;=5, V158&lt;10), "med", V158&gt;=10, "high")</f>
        <v>med</v>
      </c>
      <c r="X158">
        <v>16</v>
      </c>
      <c r="Y158">
        <v>12</v>
      </c>
      <c r="Z158">
        <v>13</v>
      </c>
      <c r="AA158">
        <f t="shared" si="11"/>
        <v>1</v>
      </c>
      <c r="AB158">
        <f t="shared" si="12"/>
        <v>0</v>
      </c>
      <c r="AC158">
        <f t="shared" si="13"/>
        <v>1</v>
      </c>
      <c r="AD158" s="1">
        <f t="shared" si="14"/>
        <v>13.666666666666666</v>
      </c>
    </row>
    <row r="159" spans="1:30" x14ac:dyDescent="0.35">
      <c r="A159" t="s">
        <v>34</v>
      </c>
      <c r="B159">
        <v>18</v>
      </c>
      <c r="C159" t="s">
        <v>52</v>
      </c>
      <c r="D159" t="s">
        <v>36</v>
      </c>
      <c r="E159" t="s">
        <v>44</v>
      </c>
      <c r="F159" t="s">
        <v>38</v>
      </c>
      <c r="G159" t="s">
        <v>45</v>
      </c>
      <c r="H159">
        <v>1</v>
      </c>
      <c r="I159">
        <v>3</v>
      </c>
      <c r="J159" t="s">
        <v>43</v>
      </c>
      <c r="K159" t="s">
        <v>42</v>
      </c>
      <c r="L159" t="s">
        <v>43</v>
      </c>
      <c r="M159" t="s">
        <v>42</v>
      </c>
      <c r="N159" t="s">
        <v>43</v>
      </c>
      <c r="O159">
        <v>5</v>
      </c>
      <c r="P159">
        <v>2</v>
      </c>
      <c r="Q159">
        <v>5</v>
      </c>
      <c r="R159">
        <v>1</v>
      </c>
      <c r="S159">
        <v>5</v>
      </c>
      <c r="T159">
        <f t="shared" si="10"/>
        <v>6</v>
      </c>
      <c r="U159" t="str" cm="1">
        <f t="array" ref="U159">_xlfn.IFS(T159&lt;3, "low", AND(T159&gt;=3, T159&lt;5), "med", T159&gt;=5, "high")</f>
        <v>high</v>
      </c>
      <c r="V159">
        <v>6</v>
      </c>
      <c r="W159" t="str" cm="1">
        <f t="array" ref="W159">_xlfn.IFS(V159&lt;5, "low", AND(V159&gt;=5, V159&lt;10), "med", V159&gt;=10, "high")</f>
        <v>med</v>
      </c>
      <c r="X159">
        <v>9</v>
      </c>
      <c r="Y159">
        <v>8</v>
      </c>
      <c r="Z159">
        <v>10</v>
      </c>
      <c r="AA159">
        <f t="shared" si="11"/>
        <v>1</v>
      </c>
      <c r="AB159">
        <f t="shared" si="12"/>
        <v>0</v>
      </c>
      <c r="AC159">
        <f t="shared" si="13"/>
        <v>1</v>
      </c>
      <c r="AD159" s="1">
        <f t="shared" si="14"/>
        <v>9</v>
      </c>
    </row>
    <row r="160" spans="1:30" x14ac:dyDescent="0.35">
      <c r="A160" t="s">
        <v>50</v>
      </c>
      <c r="B160">
        <v>16</v>
      </c>
      <c r="C160" t="s">
        <v>52</v>
      </c>
      <c r="D160" t="s">
        <v>36</v>
      </c>
      <c r="E160" t="s">
        <v>44</v>
      </c>
      <c r="F160" t="s">
        <v>38</v>
      </c>
      <c r="G160" t="s">
        <v>45</v>
      </c>
      <c r="H160">
        <v>1</v>
      </c>
      <c r="I160">
        <v>0</v>
      </c>
      <c r="J160" t="s">
        <v>43</v>
      </c>
      <c r="K160" t="s">
        <v>43</v>
      </c>
      <c r="L160" t="s">
        <v>43</v>
      </c>
      <c r="M160" t="s">
        <v>43</v>
      </c>
      <c r="N160" t="s">
        <v>43</v>
      </c>
      <c r="O160">
        <v>4</v>
      </c>
      <c r="P160">
        <v>2</v>
      </c>
      <c r="Q160">
        <v>2</v>
      </c>
      <c r="R160">
        <v>1</v>
      </c>
      <c r="S160">
        <v>2</v>
      </c>
      <c r="T160">
        <f t="shared" si="10"/>
        <v>3</v>
      </c>
      <c r="U160" t="str" cm="1">
        <f t="array" ref="U160">_xlfn.IFS(T160&lt;3, "low", AND(T160&gt;=3, T160&lt;5), "med", T160&gt;=5, "high")</f>
        <v>med</v>
      </c>
      <c r="V160">
        <v>2</v>
      </c>
      <c r="W160" t="str" cm="1">
        <f t="array" ref="W160">_xlfn.IFS(V160&lt;5, "low", AND(V160&gt;=5, V160&lt;10), "med", V160&gt;=10, "high")</f>
        <v>low</v>
      </c>
      <c r="X160">
        <v>17</v>
      </c>
      <c r="Y160">
        <v>15</v>
      </c>
      <c r="Z160">
        <v>15</v>
      </c>
      <c r="AA160">
        <f t="shared" si="11"/>
        <v>1</v>
      </c>
      <c r="AB160">
        <f t="shared" si="12"/>
        <v>0</v>
      </c>
      <c r="AC160">
        <f t="shared" si="13"/>
        <v>1</v>
      </c>
      <c r="AD160" s="1">
        <f t="shared" si="14"/>
        <v>15.666666666666666</v>
      </c>
    </row>
    <row r="161" spans="1:30" x14ac:dyDescent="0.35">
      <c r="A161" t="s">
        <v>50</v>
      </c>
      <c r="B161">
        <v>16</v>
      </c>
      <c r="C161" t="s">
        <v>35</v>
      </c>
      <c r="D161" t="s">
        <v>36</v>
      </c>
      <c r="E161" t="s">
        <v>44</v>
      </c>
      <c r="F161" t="s">
        <v>45</v>
      </c>
      <c r="G161" t="s">
        <v>48</v>
      </c>
      <c r="H161">
        <v>2</v>
      </c>
      <c r="I161">
        <v>1</v>
      </c>
      <c r="J161" t="s">
        <v>43</v>
      </c>
      <c r="K161" t="s">
        <v>42</v>
      </c>
      <c r="L161" t="s">
        <v>42</v>
      </c>
      <c r="M161" t="s">
        <v>43</v>
      </c>
      <c r="N161" t="s">
        <v>42</v>
      </c>
      <c r="O161">
        <v>4</v>
      </c>
      <c r="P161">
        <v>5</v>
      </c>
      <c r="Q161">
        <v>5</v>
      </c>
      <c r="R161">
        <v>4</v>
      </c>
      <c r="S161">
        <v>4</v>
      </c>
      <c r="T161">
        <f t="shared" si="10"/>
        <v>8</v>
      </c>
      <c r="U161" t="str" cm="1">
        <f t="array" ref="U161">_xlfn.IFS(T161&lt;3, "low", AND(T161&gt;=3, T161&lt;5), "med", T161&gt;=5, "high")</f>
        <v>high</v>
      </c>
      <c r="V161">
        <v>4</v>
      </c>
      <c r="W161" t="str" cm="1">
        <f t="array" ref="W161">_xlfn.IFS(V161&lt;5, "low", AND(V161&gt;=5, V161&lt;10), "med", V161&gt;=10, "high")</f>
        <v>low</v>
      </c>
      <c r="X161">
        <v>10</v>
      </c>
      <c r="Y161">
        <v>12</v>
      </c>
      <c r="Z161">
        <v>12</v>
      </c>
      <c r="AA161">
        <f t="shared" si="11"/>
        <v>0</v>
      </c>
      <c r="AB161">
        <f t="shared" si="12"/>
        <v>0</v>
      </c>
      <c r="AC161">
        <f t="shared" si="13"/>
        <v>0</v>
      </c>
      <c r="AD161" s="1">
        <f t="shared" si="14"/>
        <v>11.333333333333334</v>
      </c>
    </row>
    <row r="162" spans="1:30" x14ac:dyDescent="0.35">
      <c r="A162" t="s">
        <v>50</v>
      </c>
      <c r="B162">
        <v>17</v>
      </c>
      <c r="C162" t="s">
        <v>52</v>
      </c>
      <c r="D162" t="s">
        <v>47</v>
      </c>
      <c r="E162" t="s">
        <v>44</v>
      </c>
      <c r="F162" t="s">
        <v>38</v>
      </c>
      <c r="G162" t="s">
        <v>45</v>
      </c>
      <c r="H162">
        <v>1</v>
      </c>
      <c r="I162">
        <v>2</v>
      </c>
      <c r="J162" t="s">
        <v>43</v>
      </c>
      <c r="K162" t="s">
        <v>43</v>
      </c>
      <c r="L162" t="s">
        <v>43</v>
      </c>
      <c r="M162" t="s">
        <v>42</v>
      </c>
      <c r="N162" t="s">
        <v>42</v>
      </c>
      <c r="O162">
        <v>3</v>
      </c>
      <c r="P162">
        <v>3</v>
      </c>
      <c r="Q162">
        <v>2</v>
      </c>
      <c r="R162">
        <v>2</v>
      </c>
      <c r="S162">
        <v>2</v>
      </c>
      <c r="T162">
        <f t="shared" si="10"/>
        <v>4</v>
      </c>
      <c r="U162" t="str" cm="1">
        <f t="array" ref="U162">_xlfn.IFS(T162&lt;3, "low", AND(T162&gt;=3, T162&lt;5), "med", T162&gt;=5, "high")</f>
        <v>med</v>
      </c>
      <c r="V162">
        <v>0</v>
      </c>
      <c r="W162" t="str" cm="1">
        <f t="array" ref="W162">_xlfn.IFS(V162&lt;5, "low", AND(V162&gt;=5, V162&lt;10), "med", V162&gt;=10, "high")</f>
        <v>low</v>
      </c>
      <c r="X162">
        <v>7</v>
      </c>
      <c r="Y162">
        <v>6</v>
      </c>
      <c r="Z162">
        <v>0</v>
      </c>
      <c r="AA162">
        <f t="shared" si="11"/>
        <v>1</v>
      </c>
      <c r="AB162">
        <f t="shared" si="12"/>
        <v>1</v>
      </c>
      <c r="AC162">
        <f t="shared" si="13"/>
        <v>2</v>
      </c>
      <c r="AD162" s="1">
        <f t="shared" si="14"/>
        <v>4.333333333333333</v>
      </c>
    </row>
    <row r="163" spans="1:30" x14ac:dyDescent="0.35">
      <c r="A163" t="s">
        <v>50</v>
      </c>
      <c r="B163">
        <v>15</v>
      </c>
      <c r="C163" t="s">
        <v>52</v>
      </c>
      <c r="D163" t="s">
        <v>36</v>
      </c>
      <c r="E163" t="s">
        <v>44</v>
      </c>
      <c r="F163" t="s">
        <v>45</v>
      </c>
      <c r="G163" t="s">
        <v>45</v>
      </c>
      <c r="H163">
        <v>2</v>
      </c>
      <c r="I163">
        <v>2</v>
      </c>
      <c r="J163" t="s">
        <v>42</v>
      </c>
      <c r="K163" t="s">
        <v>42</v>
      </c>
      <c r="L163" t="s">
        <v>43</v>
      </c>
      <c r="M163" t="s">
        <v>43</v>
      </c>
      <c r="N163" t="s">
        <v>42</v>
      </c>
      <c r="O163">
        <v>4</v>
      </c>
      <c r="P163">
        <v>4</v>
      </c>
      <c r="Q163">
        <v>4</v>
      </c>
      <c r="R163">
        <v>1</v>
      </c>
      <c r="S163">
        <v>4</v>
      </c>
      <c r="T163">
        <f t="shared" si="10"/>
        <v>5</v>
      </c>
      <c r="U163" t="str" cm="1">
        <f t="array" ref="U163">_xlfn.IFS(T163&lt;3, "low", AND(T163&gt;=3, T163&lt;5), "med", T163&gt;=5, "high")</f>
        <v>high</v>
      </c>
      <c r="V163">
        <v>6</v>
      </c>
      <c r="W163" t="str" cm="1">
        <f t="array" ref="W163">_xlfn.IFS(V163&lt;5, "low", AND(V163&gt;=5, V163&lt;10), "med", V163&gt;=10, "high")</f>
        <v>med</v>
      </c>
      <c r="X163">
        <v>5</v>
      </c>
      <c r="Y163">
        <v>9</v>
      </c>
      <c r="Z163">
        <v>7</v>
      </c>
      <c r="AA163">
        <f t="shared" si="11"/>
        <v>0</v>
      </c>
      <c r="AB163">
        <f t="shared" si="12"/>
        <v>1</v>
      </c>
      <c r="AC163">
        <f t="shared" si="13"/>
        <v>1</v>
      </c>
      <c r="AD163" s="1">
        <f t="shared" si="14"/>
        <v>7</v>
      </c>
    </row>
    <row r="164" spans="1:30" x14ac:dyDescent="0.35">
      <c r="A164" t="s">
        <v>50</v>
      </c>
      <c r="B164">
        <v>16</v>
      </c>
      <c r="C164" t="s">
        <v>35</v>
      </c>
      <c r="D164" t="s">
        <v>47</v>
      </c>
      <c r="E164" t="s">
        <v>44</v>
      </c>
      <c r="F164" t="s">
        <v>45</v>
      </c>
      <c r="G164" t="s">
        <v>45</v>
      </c>
      <c r="H164">
        <v>1</v>
      </c>
      <c r="I164">
        <v>1</v>
      </c>
      <c r="J164" t="s">
        <v>43</v>
      </c>
      <c r="K164" t="s">
        <v>43</v>
      </c>
      <c r="L164" t="s">
        <v>43</v>
      </c>
      <c r="M164" t="s">
        <v>42</v>
      </c>
      <c r="N164" t="s">
        <v>43</v>
      </c>
      <c r="O164">
        <v>4</v>
      </c>
      <c r="P164">
        <v>4</v>
      </c>
      <c r="Q164">
        <v>4</v>
      </c>
      <c r="R164">
        <v>2</v>
      </c>
      <c r="S164">
        <v>4</v>
      </c>
      <c r="T164">
        <f t="shared" si="10"/>
        <v>6</v>
      </c>
      <c r="U164" t="str" cm="1">
        <f t="array" ref="U164">_xlfn.IFS(T164&lt;3, "low", AND(T164&gt;=3, T164&lt;5), "med", T164&gt;=5, "high")</f>
        <v>high</v>
      </c>
      <c r="V164">
        <v>0</v>
      </c>
      <c r="W164" t="str" cm="1">
        <f t="array" ref="W164">_xlfn.IFS(V164&lt;5, "low", AND(V164&gt;=5, V164&lt;10), "med", V164&gt;=10, "high")</f>
        <v>low</v>
      </c>
      <c r="X164">
        <v>7</v>
      </c>
      <c r="Y164">
        <v>0</v>
      </c>
      <c r="Z164">
        <v>0</v>
      </c>
      <c r="AA164">
        <f t="shared" si="11"/>
        <v>1</v>
      </c>
      <c r="AB164">
        <f t="shared" si="12"/>
        <v>0</v>
      </c>
      <c r="AC164">
        <f t="shared" si="13"/>
        <v>1</v>
      </c>
      <c r="AD164" s="1">
        <f t="shared" si="14"/>
        <v>2.3333333333333335</v>
      </c>
    </row>
    <row r="165" spans="1:30" x14ac:dyDescent="0.35">
      <c r="A165" t="s">
        <v>50</v>
      </c>
      <c r="B165">
        <v>17</v>
      </c>
      <c r="C165" t="s">
        <v>35</v>
      </c>
      <c r="D165" t="s">
        <v>36</v>
      </c>
      <c r="E165" t="s">
        <v>44</v>
      </c>
      <c r="F165" t="s">
        <v>38</v>
      </c>
      <c r="G165" t="s">
        <v>48</v>
      </c>
      <c r="H165">
        <v>1</v>
      </c>
      <c r="I165">
        <v>0</v>
      </c>
      <c r="J165" t="s">
        <v>43</v>
      </c>
      <c r="K165" t="s">
        <v>43</v>
      </c>
      <c r="L165" t="s">
        <v>43</v>
      </c>
      <c r="M165" t="s">
        <v>43</v>
      </c>
      <c r="N165" t="s">
        <v>43</v>
      </c>
      <c r="O165">
        <v>5</v>
      </c>
      <c r="P165">
        <v>3</v>
      </c>
      <c r="Q165">
        <v>3</v>
      </c>
      <c r="R165">
        <v>1</v>
      </c>
      <c r="S165">
        <v>4</v>
      </c>
      <c r="T165">
        <f t="shared" si="10"/>
        <v>5</v>
      </c>
      <c r="U165" t="str" cm="1">
        <f t="array" ref="U165">_xlfn.IFS(T165&lt;3, "low", AND(T165&gt;=3, T165&lt;5), "med", T165&gt;=5, "high")</f>
        <v>high</v>
      </c>
      <c r="V165">
        <v>2</v>
      </c>
      <c r="W165" t="str" cm="1">
        <f t="array" ref="W165">_xlfn.IFS(V165&lt;5, "low", AND(V165&gt;=5, V165&lt;10), "med", V165&gt;=10, "high")</f>
        <v>low</v>
      </c>
      <c r="X165">
        <v>10</v>
      </c>
      <c r="Y165">
        <v>10</v>
      </c>
      <c r="Z165">
        <v>10</v>
      </c>
      <c r="AA165">
        <f t="shared" si="11"/>
        <v>0</v>
      </c>
      <c r="AB165">
        <f t="shared" si="12"/>
        <v>0</v>
      </c>
      <c r="AC165">
        <f t="shared" si="13"/>
        <v>0</v>
      </c>
      <c r="AD165" s="1">
        <f t="shared" si="14"/>
        <v>10</v>
      </c>
    </row>
    <row r="166" spans="1:30" x14ac:dyDescent="0.35">
      <c r="A166" t="s">
        <v>50</v>
      </c>
      <c r="B166">
        <v>17</v>
      </c>
      <c r="C166" t="s">
        <v>52</v>
      </c>
      <c r="D166" t="s">
        <v>47</v>
      </c>
      <c r="E166" t="s">
        <v>44</v>
      </c>
      <c r="F166" t="s">
        <v>45</v>
      </c>
      <c r="G166" t="s">
        <v>48</v>
      </c>
      <c r="H166">
        <v>2</v>
      </c>
      <c r="I166">
        <v>3</v>
      </c>
      <c r="J166" t="s">
        <v>43</v>
      </c>
      <c r="K166" t="s">
        <v>43</v>
      </c>
      <c r="L166" t="s">
        <v>43</v>
      </c>
      <c r="M166" t="s">
        <v>42</v>
      </c>
      <c r="N166" t="s">
        <v>42</v>
      </c>
      <c r="O166">
        <v>5</v>
      </c>
      <c r="P166">
        <v>3</v>
      </c>
      <c r="Q166">
        <v>5</v>
      </c>
      <c r="R166">
        <v>1</v>
      </c>
      <c r="S166">
        <v>5</v>
      </c>
      <c r="T166">
        <f t="shared" si="10"/>
        <v>6</v>
      </c>
      <c r="U166" t="str" cm="1">
        <f t="array" ref="U166">_xlfn.IFS(T166&lt;3, "low", AND(T166&gt;=3, T166&lt;5), "med", T166&gt;=5, "high")</f>
        <v>high</v>
      </c>
      <c r="V166">
        <v>0</v>
      </c>
      <c r="W166" t="str" cm="1">
        <f t="array" ref="W166">_xlfn.IFS(V166&lt;5, "low", AND(V166&gt;=5, V166&lt;10), "med", V166&gt;=10, "high")</f>
        <v>low</v>
      </c>
      <c r="X166">
        <v>5</v>
      </c>
      <c r="Y166">
        <v>8</v>
      </c>
      <c r="Z166">
        <v>7</v>
      </c>
      <c r="AA166">
        <f t="shared" si="11"/>
        <v>0</v>
      </c>
      <c r="AB166">
        <f t="shared" si="12"/>
        <v>1</v>
      </c>
      <c r="AC166">
        <f t="shared" si="13"/>
        <v>1</v>
      </c>
      <c r="AD166" s="1">
        <f t="shared" si="14"/>
        <v>6.666666666666667</v>
      </c>
    </row>
    <row r="167" spans="1:30" x14ac:dyDescent="0.35">
      <c r="A167" t="s">
        <v>50</v>
      </c>
      <c r="B167">
        <v>16</v>
      </c>
      <c r="C167" t="s">
        <v>35</v>
      </c>
      <c r="D167" t="s">
        <v>36</v>
      </c>
      <c r="E167" t="s">
        <v>44</v>
      </c>
      <c r="F167" t="s">
        <v>48</v>
      </c>
      <c r="G167" t="s">
        <v>48</v>
      </c>
      <c r="H167">
        <v>1</v>
      </c>
      <c r="I167">
        <v>1</v>
      </c>
      <c r="J167" t="s">
        <v>43</v>
      </c>
      <c r="K167" t="s">
        <v>42</v>
      </c>
      <c r="L167" t="s">
        <v>43</v>
      </c>
      <c r="M167" t="s">
        <v>42</v>
      </c>
      <c r="N167" t="s">
        <v>43</v>
      </c>
      <c r="O167">
        <v>4</v>
      </c>
      <c r="P167">
        <v>5</v>
      </c>
      <c r="Q167">
        <v>2</v>
      </c>
      <c r="R167">
        <v>1</v>
      </c>
      <c r="S167">
        <v>1</v>
      </c>
      <c r="T167">
        <f t="shared" si="10"/>
        <v>2</v>
      </c>
      <c r="U167" t="str" cm="1">
        <f t="array" ref="U167">_xlfn.IFS(T167&lt;3, "low", AND(T167&gt;=3, T167&lt;5), "med", T167&gt;=5, "high")</f>
        <v>low</v>
      </c>
      <c r="V167">
        <v>16</v>
      </c>
      <c r="W167" t="str" cm="1">
        <f t="array" ref="W167">_xlfn.IFS(V167&lt;5, "low", AND(V167&gt;=5, V167&lt;10), "med", V167&gt;=10, "high")</f>
        <v>high</v>
      </c>
      <c r="X167">
        <v>12</v>
      </c>
      <c r="Y167">
        <v>11</v>
      </c>
      <c r="Z167">
        <v>12</v>
      </c>
      <c r="AA167">
        <f t="shared" si="11"/>
        <v>1</v>
      </c>
      <c r="AB167">
        <f t="shared" si="12"/>
        <v>0</v>
      </c>
      <c r="AC167">
        <f t="shared" si="13"/>
        <v>1</v>
      </c>
      <c r="AD167" s="1">
        <f t="shared" si="14"/>
        <v>11.666666666666666</v>
      </c>
    </row>
    <row r="168" spans="1:30" x14ac:dyDescent="0.35">
      <c r="A168" t="s">
        <v>50</v>
      </c>
      <c r="B168">
        <v>16</v>
      </c>
      <c r="C168" t="s">
        <v>35</v>
      </c>
      <c r="D168" t="s">
        <v>36</v>
      </c>
      <c r="E168" t="s">
        <v>44</v>
      </c>
      <c r="F168" t="s">
        <v>45</v>
      </c>
      <c r="G168" t="s">
        <v>45</v>
      </c>
      <c r="H168">
        <v>2</v>
      </c>
      <c r="I168">
        <v>0</v>
      </c>
      <c r="J168" t="s">
        <v>43</v>
      </c>
      <c r="K168" t="s">
        <v>43</v>
      </c>
      <c r="L168" t="s">
        <v>43</v>
      </c>
      <c r="M168" t="s">
        <v>43</v>
      </c>
      <c r="N168" t="s">
        <v>43</v>
      </c>
      <c r="O168">
        <v>4</v>
      </c>
      <c r="P168">
        <v>3</v>
      </c>
      <c r="Q168">
        <v>5</v>
      </c>
      <c r="R168">
        <v>2</v>
      </c>
      <c r="S168">
        <v>4</v>
      </c>
      <c r="T168">
        <f t="shared" si="10"/>
        <v>6</v>
      </c>
      <c r="U168" t="str" cm="1">
        <f t="array" ref="U168">_xlfn.IFS(T168&lt;3, "low", AND(T168&gt;=3, T168&lt;5), "med", T168&gt;=5, "high")</f>
        <v>high</v>
      </c>
      <c r="V168">
        <v>4</v>
      </c>
      <c r="W168" t="str" cm="1">
        <f t="array" ref="W168">_xlfn.IFS(V168&lt;5, "low", AND(V168&gt;=5, V168&lt;10), "med", V168&gt;=10, "high")</f>
        <v>low</v>
      </c>
      <c r="X168">
        <v>10</v>
      </c>
      <c r="Y168">
        <v>10</v>
      </c>
      <c r="Z168">
        <v>10</v>
      </c>
      <c r="AA168">
        <f t="shared" si="11"/>
        <v>0</v>
      </c>
      <c r="AB168">
        <f t="shared" si="12"/>
        <v>0</v>
      </c>
      <c r="AC168">
        <f t="shared" si="13"/>
        <v>0</v>
      </c>
      <c r="AD168" s="1">
        <f t="shared" si="14"/>
        <v>10</v>
      </c>
    </row>
    <row r="169" spans="1:30" x14ac:dyDescent="0.35">
      <c r="A169" t="s">
        <v>34</v>
      </c>
      <c r="B169">
        <v>16</v>
      </c>
      <c r="C169" t="s">
        <v>35</v>
      </c>
      <c r="D169" t="s">
        <v>36</v>
      </c>
      <c r="E169" t="s">
        <v>44</v>
      </c>
      <c r="F169" t="s">
        <v>28</v>
      </c>
      <c r="G169" t="s">
        <v>48</v>
      </c>
      <c r="H169">
        <v>2</v>
      </c>
      <c r="I169">
        <v>0</v>
      </c>
      <c r="J169" t="s">
        <v>43</v>
      </c>
      <c r="K169" t="s">
        <v>43</v>
      </c>
      <c r="L169" t="s">
        <v>42</v>
      </c>
      <c r="M169" t="s">
        <v>43</v>
      </c>
      <c r="N169" t="s">
        <v>42</v>
      </c>
      <c r="O169">
        <v>4</v>
      </c>
      <c r="P169">
        <v>2</v>
      </c>
      <c r="Q169">
        <v>3</v>
      </c>
      <c r="R169">
        <v>1</v>
      </c>
      <c r="S169">
        <v>1</v>
      </c>
      <c r="T169">
        <f t="shared" si="10"/>
        <v>2</v>
      </c>
      <c r="U169" t="str" cm="1">
        <f t="array" ref="U169">_xlfn.IFS(T169&lt;3, "low", AND(T169&gt;=3, T169&lt;5), "med", T169&gt;=5, "high")</f>
        <v>low</v>
      </c>
      <c r="V169">
        <v>0</v>
      </c>
      <c r="W169" t="str" cm="1">
        <f t="array" ref="W169">_xlfn.IFS(V169&lt;5, "low", AND(V169&gt;=5, V169&lt;10), "med", V169&gt;=10, "high")</f>
        <v>low</v>
      </c>
      <c r="X169">
        <v>14</v>
      </c>
      <c r="Y169">
        <v>15</v>
      </c>
      <c r="Z169">
        <v>16</v>
      </c>
      <c r="AA169">
        <f t="shared" si="11"/>
        <v>0</v>
      </c>
      <c r="AB169">
        <f t="shared" si="12"/>
        <v>0</v>
      </c>
      <c r="AC169">
        <f t="shared" si="13"/>
        <v>0</v>
      </c>
      <c r="AD169" s="1">
        <f t="shared" si="14"/>
        <v>15</v>
      </c>
    </row>
    <row r="170" spans="1:30" x14ac:dyDescent="0.35">
      <c r="A170" t="s">
        <v>34</v>
      </c>
      <c r="B170">
        <v>16</v>
      </c>
      <c r="C170" t="s">
        <v>35</v>
      </c>
      <c r="D170" t="s">
        <v>36</v>
      </c>
      <c r="E170" t="s">
        <v>44</v>
      </c>
      <c r="F170" t="s">
        <v>45</v>
      </c>
      <c r="G170" t="s">
        <v>45</v>
      </c>
      <c r="H170">
        <v>2</v>
      </c>
      <c r="I170">
        <v>0</v>
      </c>
      <c r="J170" t="s">
        <v>43</v>
      </c>
      <c r="K170" t="s">
        <v>42</v>
      </c>
      <c r="L170" t="s">
        <v>42</v>
      </c>
      <c r="M170" t="s">
        <v>43</v>
      </c>
      <c r="N170" t="s">
        <v>43</v>
      </c>
      <c r="O170">
        <v>5</v>
      </c>
      <c r="P170">
        <v>1</v>
      </c>
      <c r="Q170">
        <v>5</v>
      </c>
      <c r="R170">
        <v>1</v>
      </c>
      <c r="S170">
        <v>1</v>
      </c>
      <c r="T170">
        <f t="shared" si="10"/>
        <v>2</v>
      </c>
      <c r="U170" t="str" cm="1">
        <f t="array" ref="U170">_xlfn.IFS(T170&lt;3, "low", AND(T170&gt;=3, T170&lt;5), "med", T170&gt;=5, "high")</f>
        <v>low</v>
      </c>
      <c r="V170">
        <v>0</v>
      </c>
      <c r="W170" t="str" cm="1">
        <f t="array" ref="W170">_xlfn.IFS(V170&lt;5, "low", AND(V170&gt;=5, V170&lt;10), "med", V170&gt;=10, "high")</f>
        <v>low</v>
      </c>
      <c r="X170">
        <v>6</v>
      </c>
      <c r="Y170">
        <v>7</v>
      </c>
      <c r="Z170">
        <v>0</v>
      </c>
      <c r="AA170">
        <f t="shared" si="11"/>
        <v>0</v>
      </c>
      <c r="AB170">
        <f t="shared" si="12"/>
        <v>1</v>
      </c>
      <c r="AC170">
        <f t="shared" si="13"/>
        <v>1</v>
      </c>
      <c r="AD170" s="1">
        <f t="shared" si="14"/>
        <v>4.333333333333333</v>
      </c>
    </row>
    <row r="171" spans="1:30" x14ac:dyDescent="0.35">
      <c r="A171" t="s">
        <v>34</v>
      </c>
      <c r="B171">
        <v>16</v>
      </c>
      <c r="C171" t="s">
        <v>35</v>
      </c>
      <c r="D171" t="s">
        <v>36</v>
      </c>
      <c r="E171" t="s">
        <v>44</v>
      </c>
      <c r="F171" t="s">
        <v>28</v>
      </c>
      <c r="G171" t="s">
        <v>28</v>
      </c>
      <c r="H171">
        <v>2</v>
      </c>
      <c r="I171">
        <v>0</v>
      </c>
      <c r="J171" t="s">
        <v>43</v>
      </c>
      <c r="K171" t="s">
        <v>42</v>
      </c>
      <c r="L171" t="s">
        <v>42</v>
      </c>
      <c r="M171" t="s">
        <v>43</v>
      </c>
      <c r="N171" t="s">
        <v>42</v>
      </c>
      <c r="O171">
        <v>4</v>
      </c>
      <c r="P171">
        <v>4</v>
      </c>
      <c r="Q171">
        <v>2</v>
      </c>
      <c r="R171">
        <v>1</v>
      </c>
      <c r="S171">
        <v>1</v>
      </c>
      <c r="T171">
        <f t="shared" si="10"/>
        <v>2</v>
      </c>
      <c r="U171" t="str" cm="1">
        <f t="array" ref="U171">_xlfn.IFS(T171&lt;3, "low", AND(T171&gt;=3, T171&lt;5), "med", T171&gt;=5, "high")</f>
        <v>low</v>
      </c>
      <c r="V171">
        <v>0</v>
      </c>
      <c r="W171" t="str" cm="1">
        <f t="array" ref="W171">_xlfn.IFS(V171&lt;5, "low", AND(V171&gt;=5, V171&lt;10), "med", V171&gt;=10, "high")</f>
        <v>low</v>
      </c>
      <c r="X171">
        <v>14</v>
      </c>
      <c r="Y171">
        <v>14</v>
      </c>
      <c r="Z171">
        <v>14</v>
      </c>
      <c r="AA171">
        <f t="shared" si="11"/>
        <v>0</v>
      </c>
      <c r="AB171">
        <f t="shared" si="12"/>
        <v>0</v>
      </c>
      <c r="AC171">
        <f t="shared" si="13"/>
        <v>0</v>
      </c>
      <c r="AD171" s="1">
        <f t="shared" si="14"/>
        <v>14</v>
      </c>
    </row>
    <row r="172" spans="1:30" x14ac:dyDescent="0.35">
      <c r="A172" t="s">
        <v>50</v>
      </c>
      <c r="B172">
        <v>16</v>
      </c>
      <c r="C172" t="s">
        <v>35</v>
      </c>
      <c r="D172" t="s">
        <v>36</v>
      </c>
      <c r="E172" t="s">
        <v>44</v>
      </c>
      <c r="F172" t="s">
        <v>45</v>
      </c>
      <c r="G172" t="s">
        <v>45</v>
      </c>
      <c r="H172">
        <v>1</v>
      </c>
      <c r="I172">
        <v>2</v>
      </c>
      <c r="J172" t="s">
        <v>43</v>
      </c>
      <c r="K172" t="s">
        <v>42</v>
      </c>
      <c r="L172" t="s">
        <v>43</v>
      </c>
      <c r="M172" t="s">
        <v>42</v>
      </c>
      <c r="N172" t="s">
        <v>43</v>
      </c>
      <c r="O172">
        <v>3</v>
      </c>
      <c r="P172">
        <v>4</v>
      </c>
      <c r="Q172">
        <v>5</v>
      </c>
      <c r="R172">
        <v>2</v>
      </c>
      <c r="S172">
        <v>4</v>
      </c>
      <c r="T172">
        <f t="shared" si="10"/>
        <v>6</v>
      </c>
      <c r="U172" t="str" cm="1">
        <f t="array" ref="U172">_xlfn.IFS(T172&lt;3, "low", AND(T172&gt;=3, T172&lt;5), "med", T172&gt;=5, "high")</f>
        <v>high</v>
      </c>
      <c r="V172">
        <v>0</v>
      </c>
      <c r="W172" t="str" cm="1">
        <f t="array" ref="W172">_xlfn.IFS(V172&lt;5, "low", AND(V172&gt;=5, V172&lt;10), "med", V172&gt;=10, "high")</f>
        <v>low</v>
      </c>
      <c r="X172">
        <v>6</v>
      </c>
      <c r="Y172">
        <v>5</v>
      </c>
      <c r="Z172">
        <v>0</v>
      </c>
      <c r="AA172">
        <f t="shared" si="11"/>
        <v>1</v>
      </c>
      <c r="AB172">
        <f t="shared" si="12"/>
        <v>1</v>
      </c>
      <c r="AC172">
        <f t="shared" si="13"/>
        <v>2</v>
      </c>
      <c r="AD172" s="1">
        <f t="shared" si="14"/>
        <v>3.6666666666666665</v>
      </c>
    </row>
    <row r="173" spans="1:30" x14ac:dyDescent="0.35">
      <c r="A173" t="s">
        <v>50</v>
      </c>
      <c r="B173">
        <v>16</v>
      </c>
      <c r="C173" t="s">
        <v>35</v>
      </c>
      <c r="D173" t="s">
        <v>36</v>
      </c>
      <c r="E173" t="s">
        <v>44</v>
      </c>
      <c r="F173" t="s">
        <v>45</v>
      </c>
      <c r="G173" t="s">
        <v>45</v>
      </c>
      <c r="H173">
        <v>2</v>
      </c>
      <c r="I173">
        <v>0</v>
      </c>
      <c r="J173" t="s">
        <v>43</v>
      </c>
      <c r="K173" t="s">
        <v>42</v>
      </c>
      <c r="L173" t="s">
        <v>42</v>
      </c>
      <c r="M173" t="s">
        <v>42</v>
      </c>
      <c r="N173" t="s">
        <v>42</v>
      </c>
      <c r="O173">
        <v>4</v>
      </c>
      <c r="P173">
        <v>3</v>
      </c>
      <c r="Q173">
        <v>2</v>
      </c>
      <c r="R173">
        <v>1</v>
      </c>
      <c r="S173">
        <v>1</v>
      </c>
      <c r="T173">
        <f t="shared" si="10"/>
        <v>2</v>
      </c>
      <c r="U173" t="str" cm="1">
        <f t="array" ref="U173">_xlfn.IFS(T173&lt;3, "low", AND(T173&gt;=3, T173&lt;5), "med", T173&gt;=5, "high")</f>
        <v>low</v>
      </c>
      <c r="V173">
        <v>2</v>
      </c>
      <c r="W173" t="str" cm="1">
        <f t="array" ref="W173">_xlfn.IFS(V173&lt;5, "low", AND(V173&gt;=5, V173&lt;10), "med", V173&gt;=10, "high")</f>
        <v>low</v>
      </c>
      <c r="X173">
        <v>13</v>
      </c>
      <c r="Y173">
        <v>15</v>
      </c>
      <c r="Z173">
        <v>16</v>
      </c>
      <c r="AA173">
        <f t="shared" si="11"/>
        <v>0</v>
      </c>
      <c r="AB173">
        <f t="shared" si="12"/>
        <v>0</v>
      </c>
      <c r="AC173">
        <f t="shared" si="13"/>
        <v>0</v>
      </c>
      <c r="AD173" s="1">
        <f t="shared" si="14"/>
        <v>14.666666666666666</v>
      </c>
    </row>
    <row r="174" spans="1:30" x14ac:dyDescent="0.35">
      <c r="A174" t="s">
        <v>50</v>
      </c>
      <c r="B174">
        <v>17</v>
      </c>
      <c r="C174" t="s">
        <v>35</v>
      </c>
      <c r="D174" t="s">
        <v>47</v>
      </c>
      <c r="E174" t="s">
        <v>44</v>
      </c>
      <c r="F174" t="s">
        <v>39</v>
      </c>
      <c r="G174" t="s">
        <v>45</v>
      </c>
      <c r="H174">
        <v>2</v>
      </c>
      <c r="I174">
        <v>0</v>
      </c>
      <c r="J174" t="s">
        <v>43</v>
      </c>
      <c r="K174" t="s">
        <v>42</v>
      </c>
      <c r="L174" t="s">
        <v>42</v>
      </c>
      <c r="M174" t="s">
        <v>42</v>
      </c>
      <c r="N174" t="s">
        <v>43</v>
      </c>
      <c r="O174">
        <v>4</v>
      </c>
      <c r="P174">
        <v>4</v>
      </c>
      <c r="Q174">
        <v>4</v>
      </c>
      <c r="R174">
        <v>1</v>
      </c>
      <c r="S174">
        <v>3</v>
      </c>
      <c r="T174">
        <f t="shared" si="10"/>
        <v>4</v>
      </c>
      <c r="U174" t="str" cm="1">
        <f t="array" ref="U174">_xlfn.IFS(T174&lt;3, "low", AND(T174&gt;=3, T174&lt;5), "med", T174&gt;=5, "high")</f>
        <v>med</v>
      </c>
      <c r="V174">
        <v>0</v>
      </c>
      <c r="W174" t="str" cm="1">
        <f t="array" ref="W174">_xlfn.IFS(V174&lt;5, "low", AND(V174&gt;=5, V174&lt;10), "med", V174&gt;=10, "high")</f>
        <v>low</v>
      </c>
      <c r="X174">
        <v>13</v>
      </c>
      <c r="Y174">
        <v>11</v>
      </c>
      <c r="Z174">
        <v>10</v>
      </c>
      <c r="AA174">
        <f t="shared" si="11"/>
        <v>1</v>
      </c>
      <c r="AB174">
        <f t="shared" si="12"/>
        <v>1</v>
      </c>
      <c r="AC174">
        <f t="shared" si="13"/>
        <v>2</v>
      </c>
      <c r="AD174" s="1">
        <f t="shared" si="14"/>
        <v>11.333333333333334</v>
      </c>
    </row>
    <row r="175" spans="1:30" x14ac:dyDescent="0.35">
      <c r="A175" t="s">
        <v>34</v>
      </c>
      <c r="B175">
        <v>16</v>
      </c>
      <c r="C175" t="s">
        <v>35</v>
      </c>
      <c r="D175" t="s">
        <v>36</v>
      </c>
      <c r="E175" t="s">
        <v>44</v>
      </c>
      <c r="F175" t="s">
        <v>38</v>
      </c>
      <c r="G175" t="s">
        <v>48</v>
      </c>
      <c r="H175">
        <v>2</v>
      </c>
      <c r="I175">
        <v>3</v>
      </c>
      <c r="J175" t="s">
        <v>43</v>
      </c>
      <c r="K175" t="s">
        <v>43</v>
      </c>
      <c r="L175" t="s">
        <v>43</v>
      </c>
      <c r="M175" t="s">
        <v>42</v>
      </c>
      <c r="N175" t="s">
        <v>42</v>
      </c>
      <c r="O175">
        <v>4</v>
      </c>
      <c r="P175">
        <v>3</v>
      </c>
      <c r="Q175">
        <v>5</v>
      </c>
      <c r="R175">
        <v>1</v>
      </c>
      <c r="S175">
        <v>1</v>
      </c>
      <c r="T175">
        <f t="shared" si="10"/>
        <v>2</v>
      </c>
      <c r="U175" t="str" cm="1">
        <f t="array" ref="U175">_xlfn.IFS(T175&lt;3, "low", AND(T175&gt;=3, T175&lt;5), "med", T175&gt;=5, "high")</f>
        <v>low</v>
      </c>
      <c r="V175">
        <v>0</v>
      </c>
      <c r="W175" t="str" cm="1">
        <f t="array" ref="W175">_xlfn.IFS(V175&lt;5, "low", AND(V175&gt;=5, V175&lt;10), "med", V175&gt;=10, "high")</f>
        <v>low</v>
      </c>
      <c r="X175">
        <v>8</v>
      </c>
      <c r="Y175">
        <v>7</v>
      </c>
      <c r="Z175">
        <v>0</v>
      </c>
      <c r="AA175">
        <f t="shared" si="11"/>
        <v>1</v>
      </c>
      <c r="AB175">
        <f t="shared" si="12"/>
        <v>1</v>
      </c>
      <c r="AC175">
        <f t="shared" si="13"/>
        <v>2</v>
      </c>
      <c r="AD175" s="1">
        <f t="shared" si="14"/>
        <v>5</v>
      </c>
    </row>
    <row r="176" spans="1:30" x14ac:dyDescent="0.35">
      <c r="A176" t="s">
        <v>34</v>
      </c>
      <c r="B176">
        <v>16</v>
      </c>
      <c r="C176" t="s">
        <v>35</v>
      </c>
      <c r="D176" t="s">
        <v>47</v>
      </c>
      <c r="E176" t="s">
        <v>44</v>
      </c>
      <c r="F176" t="s">
        <v>45</v>
      </c>
      <c r="G176" t="s">
        <v>45</v>
      </c>
      <c r="H176">
        <v>2</v>
      </c>
      <c r="I176">
        <v>0</v>
      </c>
      <c r="J176" t="s">
        <v>43</v>
      </c>
      <c r="K176" t="s">
        <v>42</v>
      </c>
      <c r="L176" t="s">
        <v>42</v>
      </c>
      <c r="M176" t="s">
        <v>42</v>
      </c>
      <c r="N176" t="s">
        <v>43</v>
      </c>
      <c r="O176">
        <v>4</v>
      </c>
      <c r="P176">
        <v>4</v>
      </c>
      <c r="Q176">
        <v>5</v>
      </c>
      <c r="R176">
        <v>1</v>
      </c>
      <c r="S176">
        <v>1</v>
      </c>
      <c r="T176">
        <f t="shared" si="10"/>
        <v>2</v>
      </c>
      <c r="U176" t="str" cm="1">
        <f t="array" ref="U176">_xlfn.IFS(T176&lt;3, "low", AND(T176&gt;=3, T176&lt;5), "med", T176&gt;=5, "high")</f>
        <v>low</v>
      </c>
      <c r="V176">
        <v>4</v>
      </c>
      <c r="W176" t="str" cm="1">
        <f t="array" ref="W176">_xlfn.IFS(V176&lt;5, "low", AND(V176&gt;=5, V176&lt;10), "med", V176&gt;=10, "high")</f>
        <v>low</v>
      </c>
      <c r="X176">
        <v>10</v>
      </c>
      <c r="Y176">
        <v>11</v>
      </c>
      <c r="Z176">
        <v>9</v>
      </c>
      <c r="AA176">
        <f t="shared" si="11"/>
        <v>0</v>
      </c>
      <c r="AB176">
        <f t="shared" si="12"/>
        <v>1</v>
      </c>
      <c r="AC176">
        <f t="shared" si="13"/>
        <v>1</v>
      </c>
      <c r="AD176" s="1">
        <f t="shared" si="14"/>
        <v>10</v>
      </c>
    </row>
    <row r="177" spans="1:30" x14ac:dyDescent="0.35">
      <c r="A177" t="s">
        <v>50</v>
      </c>
      <c r="B177">
        <v>17</v>
      </c>
      <c r="C177" t="s">
        <v>35</v>
      </c>
      <c r="D177" t="s">
        <v>47</v>
      </c>
      <c r="E177" t="s">
        <v>44</v>
      </c>
      <c r="F177" t="s">
        <v>39</v>
      </c>
      <c r="G177" t="s">
        <v>45</v>
      </c>
      <c r="H177">
        <v>2</v>
      </c>
      <c r="I177">
        <v>0</v>
      </c>
      <c r="J177" t="s">
        <v>43</v>
      </c>
      <c r="K177" t="s">
        <v>43</v>
      </c>
      <c r="L177" t="s">
        <v>42</v>
      </c>
      <c r="M177" t="s">
        <v>42</v>
      </c>
      <c r="N177" t="s">
        <v>43</v>
      </c>
      <c r="O177">
        <v>4</v>
      </c>
      <c r="P177">
        <v>4</v>
      </c>
      <c r="Q177">
        <v>4</v>
      </c>
      <c r="R177">
        <v>4</v>
      </c>
      <c r="S177">
        <v>4</v>
      </c>
      <c r="T177">
        <f t="shared" si="10"/>
        <v>8</v>
      </c>
      <c r="U177" t="str" cm="1">
        <f t="array" ref="U177">_xlfn.IFS(T177&lt;3, "low", AND(T177&gt;=3, T177&lt;5), "med", T177&gt;=5, "high")</f>
        <v>high</v>
      </c>
      <c r="V177">
        <v>4</v>
      </c>
      <c r="W177" t="str" cm="1">
        <f t="array" ref="W177">_xlfn.IFS(V177&lt;5, "low", AND(V177&gt;=5, V177&lt;10), "med", V177&gt;=10, "high")</f>
        <v>low</v>
      </c>
      <c r="X177">
        <v>10</v>
      </c>
      <c r="Y177">
        <v>9</v>
      </c>
      <c r="Z177">
        <v>9</v>
      </c>
      <c r="AA177">
        <f t="shared" si="11"/>
        <v>1</v>
      </c>
      <c r="AB177">
        <f t="shared" si="12"/>
        <v>0</v>
      </c>
      <c r="AC177">
        <f t="shared" si="13"/>
        <v>1</v>
      </c>
      <c r="AD177" s="1">
        <f t="shared" si="14"/>
        <v>9.3333333333333339</v>
      </c>
    </row>
    <row r="178" spans="1:30" x14ac:dyDescent="0.35">
      <c r="A178" t="s">
        <v>34</v>
      </c>
      <c r="B178">
        <v>16</v>
      </c>
      <c r="C178" t="s">
        <v>35</v>
      </c>
      <c r="D178" t="s">
        <v>36</v>
      </c>
      <c r="E178" t="s">
        <v>44</v>
      </c>
      <c r="F178" t="s">
        <v>48</v>
      </c>
      <c r="G178" t="s">
        <v>45</v>
      </c>
      <c r="H178">
        <v>2</v>
      </c>
      <c r="I178">
        <v>0</v>
      </c>
      <c r="J178" t="s">
        <v>43</v>
      </c>
      <c r="K178" t="s">
        <v>43</v>
      </c>
      <c r="L178" t="s">
        <v>42</v>
      </c>
      <c r="M178" t="s">
        <v>42</v>
      </c>
      <c r="N178" t="s">
        <v>43</v>
      </c>
      <c r="O178">
        <v>3</v>
      </c>
      <c r="P178">
        <v>4</v>
      </c>
      <c r="Q178">
        <v>4</v>
      </c>
      <c r="R178">
        <v>1</v>
      </c>
      <c r="S178">
        <v>4</v>
      </c>
      <c r="T178">
        <f t="shared" si="10"/>
        <v>5</v>
      </c>
      <c r="U178" t="str" cm="1">
        <f t="array" ref="U178">_xlfn.IFS(T178&lt;3, "low", AND(T178&gt;=3, T178&lt;5), "med", T178&gt;=5, "high")</f>
        <v>high</v>
      </c>
      <c r="V178">
        <v>2</v>
      </c>
      <c r="W178" t="str" cm="1">
        <f t="array" ref="W178">_xlfn.IFS(V178&lt;5, "low", AND(V178&gt;=5, V178&lt;10), "med", V178&gt;=10, "high")</f>
        <v>low</v>
      </c>
      <c r="X178">
        <v>13</v>
      </c>
      <c r="Y178">
        <v>13</v>
      </c>
      <c r="Z178">
        <v>11</v>
      </c>
      <c r="AA178">
        <f t="shared" si="11"/>
        <v>0</v>
      </c>
      <c r="AB178">
        <f t="shared" si="12"/>
        <v>1</v>
      </c>
      <c r="AC178">
        <f t="shared" si="13"/>
        <v>1</v>
      </c>
      <c r="AD178" s="1">
        <f t="shared" si="14"/>
        <v>12.333333333333334</v>
      </c>
    </row>
    <row r="179" spans="1:30" x14ac:dyDescent="0.35">
      <c r="A179" t="s">
        <v>50</v>
      </c>
      <c r="B179">
        <v>17</v>
      </c>
      <c r="C179" t="s">
        <v>35</v>
      </c>
      <c r="D179" t="s">
        <v>36</v>
      </c>
      <c r="E179" t="s">
        <v>44</v>
      </c>
      <c r="F179" t="s">
        <v>45</v>
      </c>
      <c r="G179" t="s">
        <v>45</v>
      </c>
      <c r="H179">
        <v>2</v>
      </c>
      <c r="I179">
        <v>0</v>
      </c>
      <c r="J179" t="s">
        <v>43</v>
      </c>
      <c r="K179" t="s">
        <v>43</v>
      </c>
      <c r="L179" t="s">
        <v>43</v>
      </c>
      <c r="M179" t="s">
        <v>42</v>
      </c>
      <c r="N179" t="s">
        <v>43</v>
      </c>
      <c r="O179">
        <v>4</v>
      </c>
      <c r="P179">
        <v>3</v>
      </c>
      <c r="Q179">
        <v>4</v>
      </c>
      <c r="R179">
        <v>1</v>
      </c>
      <c r="S179">
        <v>4</v>
      </c>
      <c r="T179">
        <f t="shared" si="10"/>
        <v>5</v>
      </c>
      <c r="U179" t="str" cm="1">
        <f t="array" ref="U179">_xlfn.IFS(T179&lt;3, "low", AND(T179&gt;=3, T179&lt;5), "med", T179&gt;=5, "high")</f>
        <v>high</v>
      </c>
      <c r="V179">
        <v>4</v>
      </c>
      <c r="W179" t="str" cm="1">
        <f t="array" ref="W179">_xlfn.IFS(V179&lt;5, "low", AND(V179&gt;=5, V179&lt;10), "med", V179&gt;=10, "high")</f>
        <v>low</v>
      </c>
      <c r="X179">
        <v>6</v>
      </c>
      <c r="Y179">
        <v>5</v>
      </c>
      <c r="Z179">
        <v>6</v>
      </c>
      <c r="AA179">
        <f t="shared" si="11"/>
        <v>1</v>
      </c>
      <c r="AB179">
        <f t="shared" si="12"/>
        <v>0</v>
      </c>
      <c r="AC179">
        <f t="shared" si="13"/>
        <v>1</v>
      </c>
      <c r="AD179" s="1">
        <f t="shared" si="14"/>
        <v>5.666666666666667</v>
      </c>
    </row>
    <row r="180" spans="1:30" x14ac:dyDescent="0.35">
      <c r="A180" t="s">
        <v>50</v>
      </c>
      <c r="B180">
        <v>16</v>
      </c>
      <c r="C180" t="s">
        <v>52</v>
      </c>
      <c r="D180" t="s">
        <v>36</v>
      </c>
      <c r="E180" t="s">
        <v>44</v>
      </c>
      <c r="F180" t="s">
        <v>39</v>
      </c>
      <c r="G180" t="s">
        <v>48</v>
      </c>
      <c r="H180">
        <v>1</v>
      </c>
      <c r="I180">
        <v>0</v>
      </c>
      <c r="J180" t="s">
        <v>43</v>
      </c>
      <c r="K180" t="s">
        <v>42</v>
      </c>
      <c r="L180" t="s">
        <v>43</v>
      </c>
      <c r="M180" t="s">
        <v>42</v>
      </c>
      <c r="N180" t="s">
        <v>42</v>
      </c>
      <c r="O180">
        <v>4</v>
      </c>
      <c r="P180">
        <v>3</v>
      </c>
      <c r="Q180">
        <v>3</v>
      </c>
      <c r="R180">
        <v>3</v>
      </c>
      <c r="S180">
        <v>4</v>
      </c>
      <c r="T180">
        <f t="shared" si="10"/>
        <v>7</v>
      </c>
      <c r="U180" t="str" cm="1">
        <f t="array" ref="U180">_xlfn.IFS(T180&lt;3, "low", AND(T180&gt;=3, T180&lt;5), "med", T180&gt;=5, "high")</f>
        <v>high</v>
      </c>
      <c r="V180">
        <v>10</v>
      </c>
      <c r="W180" t="str" cm="1">
        <f t="array" ref="W180">_xlfn.IFS(V180&lt;5, "low", AND(V180&gt;=5, V180&lt;10), "med", V180&gt;=10, "high")</f>
        <v>high</v>
      </c>
      <c r="X180">
        <v>10</v>
      </c>
      <c r="Y180">
        <v>8</v>
      </c>
      <c r="Z180">
        <v>9</v>
      </c>
      <c r="AA180">
        <f t="shared" si="11"/>
        <v>1</v>
      </c>
      <c r="AB180">
        <f t="shared" si="12"/>
        <v>0</v>
      </c>
      <c r="AC180">
        <f t="shared" si="13"/>
        <v>1</v>
      </c>
      <c r="AD180" s="1">
        <f t="shared" si="14"/>
        <v>9</v>
      </c>
    </row>
    <row r="181" spans="1:30" x14ac:dyDescent="0.35">
      <c r="A181" t="s">
        <v>50</v>
      </c>
      <c r="B181">
        <v>17</v>
      </c>
      <c r="C181" t="s">
        <v>35</v>
      </c>
      <c r="D181" t="s">
        <v>36</v>
      </c>
      <c r="E181" t="s">
        <v>44</v>
      </c>
      <c r="F181" t="s">
        <v>45</v>
      </c>
      <c r="G181" t="s">
        <v>45</v>
      </c>
      <c r="H181">
        <v>2</v>
      </c>
      <c r="I181">
        <v>0</v>
      </c>
      <c r="J181" t="s">
        <v>43</v>
      </c>
      <c r="K181" t="s">
        <v>42</v>
      </c>
      <c r="L181" t="s">
        <v>43</v>
      </c>
      <c r="M181" t="s">
        <v>42</v>
      </c>
      <c r="N181" t="s">
        <v>42</v>
      </c>
      <c r="O181">
        <v>5</v>
      </c>
      <c r="P181">
        <v>2</v>
      </c>
      <c r="Q181">
        <v>3</v>
      </c>
      <c r="R181">
        <v>1</v>
      </c>
      <c r="S181">
        <v>1</v>
      </c>
      <c r="T181">
        <f t="shared" si="10"/>
        <v>2</v>
      </c>
      <c r="U181" t="str" cm="1">
        <f t="array" ref="U181">_xlfn.IFS(T181&lt;3, "low", AND(T181&gt;=3, T181&lt;5), "med", T181&gt;=5, "high")</f>
        <v>low</v>
      </c>
      <c r="V181">
        <v>4</v>
      </c>
      <c r="W181" t="str" cm="1">
        <f t="array" ref="W181">_xlfn.IFS(V181&lt;5, "low", AND(V181&gt;=5, V181&lt;10), "med", V181&gt;=10, "high")</f>
        <v>low</v>
      </c>
      <c r="X181">
        <v>10</v>
      </c>
      <c r="Y181">
        <v>10</v>
      </c>
      <c r="Z181">
        <v>11</v>
      </c>
      <c r="AA181">
        <f t="shared" si="11"/>
        <v>0</v>
      </c>
      <c r="AB181">
        <f t="shared" si="12"/>
        <v>0</v>
      </c>
      <c r="AC181">
        <f t="shared" si="13"/>
        <v>0</v>
      </c>
      <c r="AD181" s="1">
        <f t="shared" si="14"/>
        <v>10.333333333333334</v>
      </c>
    </row>
    <row r="182" spans="1:30" x14ac:dyDescent="0.35">
      <c r="A182" t="s">
        <v>50</v>
      </c>
      <c r="B182">
        <v>16</v>
      </c>
      <c r="C182" t="s">
        <v>35</v>
      </c>
      <c r="D182" t="s">
        <v>36</v>
      </c>
      <c r="E182" t="s">
        <v>44</v>
      </c>
      <c r="F182" t="s">
        <v>39</v>
      </c>
      <c r="G182" t="s">
        <v>45</v>
      </c>
      <c r="H182">
        <v>2</v>
      </c>
      <c r="I182">
        <v>0</v>
      </c>
      <c r="J182" t="s">
        <v>43</v>
      </c>
      <c r="K182" t="s">
        <v>42</v>
      </c>
      <c r="L182" t="s">
        <v>42</v>
      </c>
      <c r="M182" t="s">
        <v>42</v>
      </c>
      <c r="N182" t="s">
        <v>43</v>
      </c>
      <c r="O182">
        <v>3</v>
      </c>
      <c r="P182">
        <v>4</v>
      </c>
      <c r="Q182">
        <v>3</v>
      </c>
      <c r="R182">
        <v>2</v>
      </c>
      <c r="S182">
        <v>3</v>
      </c>
      <c r="T182">
        <f t="shared" si="10"/>
        <v>5</v>
      </c>
      <c r="U182" t="str" cm="1">
        <f t="array" ref="U182">_xlfn.IFS(T182&lt;3, "low", AND(T182&gt;=3, T182&lt;5), "med", T182&gt;=5, "high")</f>
        <v>high</v>
      </c>
      <c r="V182">
        <v>10</v>
      </c>
      <c r="W182" t="str" cm="1">
        <f t="array" ref="W182">_xlfn.IFS(V182&lt;5, "low", AND(V182&gt;=5, V182&lt;10), "med", V182&gt;=10, "high")</f>
        <v>high</v>
      </c>
      <c r="X182">
        <v>9</v>
      </c>
      <c r="Y182">
        <v>8</v>
      </c>
      <c r="Z182">
        <v>8</v>
      </c>
      <c r="AA182">
        <f t="shared" si="11"/>
        <v>1</v>
      </c>
      <c r="AB182">
        <f t="shared" si="12"/>
        <v>0</v>
      </c>
      <c r="AC182">
        <f t="shared" si="13"/>
        <v>1</v>
      </c>
      <c r="AD182" s="1">
        <f t="shared" si="14"/>
        <v>8.3333333333333339</v>
      </c>
    </row>
    <row r="183" spans="1:30" x14ac:dyDescent="0.35">
      <c r="A183" t="s">
        <v>50</v>
      </c>
      <c r="B183">
        <v>16</v>
      </c>
      <c r="C183" t="s">
        <v>35</v>
      </c>
      <c r="D183" t="s">
        <v>36</v>
      </c>
      <c r="E183" t="s">
        <v>44</v>
      </c>
      <c r="F183" t="s">
        <v>48</v>
      </c>
      <c r="G183" t="s">
        <v>45</v>
      </c>
      <c r="H183">
        <v>2</v>
      </c>
      <c r="I183">
        <v>0</v>
      </c>
      <c r="J183" t="s">
        <v>43</v>
      </c>
      <c r="K183" t="s">
        <v>43</v>
      </c>
      <c r="L183" t="s">
        <v>42</v>
      </c>
      <c r="M183" t="s">
        <v>42</v>
      </c>
      <c r="N183" t="s">
        <v>42</v>
      </c>
      <c r="O183">
        <v>4</v>
      </c>
      <c r="P183">
        <v>2</v>
      </c>
      <c r="Q183">
        <v>3</v>
      </c>
      <c r="R183">
        <v>1</v>
      </c>
      <c r="S183">
        <v>2</v>
      </c>
      <c r="T183">
        <f t="shared" si="10"/>
        <v>3</v>
      </c>
      <c r="U183" t="str" cm="1">
        <f t="array" ref="U183">_xlfn.IFS(T183&lt;3, "low", AND(T183&gt;=3, T183&lt;5), "med", T183&gt;=5, "high")</f>
        <v>med</v>
      </c>
      <c r="V183">
        <v>2</v>
      </c>
      <c r="W183" t="str" cm="1">
        <f t="array" ref="W183">_xlfn.IFS(V183&lt;5, "low", AND(V183&gt;=5, V183&lt;10), "med", V183&gt;=10, "high")</f>
        <v>low</v>
      </c>
      <c r="X183">
        <v>12</v>
      </c>
      <c r="Y183">
        <v>13</v>
      </c>
      <c r="Z183">
        <v>12</v>
      </c>
      <c r="AA183">
        <f t="shared" si="11"/>
        <v>0</v>
      </c>
      <c r="AB183">
        <f t="shared" si="12"/>
        <v>1</v>
      </c>
      <c r="AC183">
        <f t="shared" si="13"/>
        <v>1</v>
      </c>
      <c r="AD183" s="1">
        <f t="shared" si="14"/>
        <v>12.333333333333334</v>
      </c>
    </row>
    <row r="184" spans="1:30" x14ac:dyDescent="0.35">
      <c r="A184" t="s">
        <v>34</v>
      </c>
      <c r="B184">
        <v>17</v>
      </c>
      <c r="C184" t="s">
        <v>35</v>
      </c>
      <c r="D184" t="s">
        <v>36</v>
      </c>
      <c r="E184" t="s">
        <v>44</v>
      </c>
      <c r="F184" t="s">
        <v>48</v>
      </c>
      <c r="G184" t="s">
        <v>48</v>
      </c>
      <c r="H184">
        <v>2</v>
      </c>
      <c r="I184">
        <v>0</v>
      </c>
      <c r="J184" t="s">
        <v>43</v>
      </c>
      <c r="K184" t="s">
        <v>42</v>
      </c>
      <c r="L184" t="s">
        <v>43</v>
      </c>
      <c r="M184" t="s">
        <v>42</v>
      </c>
      <c r="N184" t="s">
        <v>43</v>
      </c>
      <c r="O184">
        <v>5</v>
      </c>
      <c r="P184">
        <v>4</v>
      </c>
      <c r="Q184">
        <v>2</v>
      </c>
      <c r="R184">
        <v>2</v>
      </c>
      <c r="S184">
        <v>3</v>
      </c>
      <c r="T184">
        <f t="shared" si="10"/>
        <v>5</v>
      </c>
      <c r="U184" t="str" cm="1">
        <f t="array" ref="U184">_xlfn.IFS(T184&lt;3, "low", AND(T184&gt;=3, T184&lt;5), "med", T184&gt;=5, "high")</f>
        <v>high</v>
      </c>
      <c r="V184">
        <v>0</v>
      </c>
      <c r="W184" t="str" cm="1">
        <f t="array" ref="W184">_xlfn.IFS(V184&lt;5, "low", AND(V184&gt;=5, V184&lt;10), "med", V184&gt;=10, "high")</f>
        <v>low</v>
      </c>
      <c r="X184">
        <v>16</v>
      </c>
      <c r="Y184">
        <v>17</v>
      </c>
      <c r="Z184">
        <v>17</v>
      </c>
      <c r="AA184">
        <f t="shared" si="11"/>
        <v>0</v>
      </c>
      <c r="AB184">
        <f t="shared" si="12"/>
        <v>0</v>
      </c>
      <c r="AC184">
        <f t="shared" si="13"/>
        <v>0</v>
      </c>
      <c r="AD184" s="1">
        <f t="shared" si="14"/>
        <v>16.666666666666668</v>
      </c>
    </row>
    <row r="185" spans="1:30" x14ac:dyDescent="0.35">
      <c r="A185" t="s">
        <v>34</v>
      </c>
      <c r="B185">
        <v>17</v>
      </c>
      <c r="C185" t="s">
        <v>35</v>
      </c>
      <c r="D185" t="s">
        <v>47</v>
      </c>
      <c r="E185" t="s">
        <v>44</v>
      </c>
      <c r="F185" t="s">
        <v>45</v>
      </c>
      <c r="G185" t="s">
        <v>45</v>
      </c>
      <c r="H185">
        <v>2</v>
      </c>
      <c r="I185">
        <v>0</v>
      </c>
      <c r="J185" t="s">
        <v>43</v>
      </c>
      <c r="K185" t="s">
        <v>42</v>
      </c>
      <c r="L185" t="s">
        <v>43</v>
      </c>
      <c r="M185" t="s">
        <v>42</v>
      </c>
      <c r="N185" t="s">
        <v>42</v>
      </c>
      <c r="O185">
        <v>5</v>
      </c>
      <c r="P185">
        <v>3</v>
      </c>
      <c r="Q185">
        <v>3</v>
      </c>
      <c r="R185">
        <v>2</v>
      </c>
      <c r="S185">
        <v>3</v>
      </c>
      <c r="T185">
        <f t="shared" si="10"/>
        <v>5</v>
      </c>
      <c r="U185" t="str" cm="1">
        <f t="array" ref="U185">_xlfn.IFS(T185&lt;3, "low", AND(T185&gt;=3, T185&lt;5), "med", T185&gt;=5, "high")</f>
        <v>high</v>
      </c>
      <c r="V185">
        <v>56</v>
      </c>
      <c r="W185" t="str" cm="1">
        <f t="array" ref="W185">_xlfn.IFS(V185&lt;5, "low", AND(V185&gt;=5, V185&lt;10), "med", V185&gt;=10, "high")</f>
        <v>high</v>
      </c>
      <c r="X185">
        <v>9</v>
      </c>
      <c r="Y185">
        <v>9</v>
      </c>
      <c r="Z185">
        <v>8</v>
      </c>
      <c r="AA185">
        <f t="shared" si="11"/>
        <v>0</v>
      </c>
      <c r="AB185">
        <f t="shared" si="12"/>
        <v>1</v>
      </c>
      <c r="AC185">
        <f t="shared" si="13"/>
        <v>1</v>
      </c>
      <c r="AD185" s="1">
        <f t="shared" si="14"/>
        <v>8.6666666666666661</v>
      </c>
    </row>
    <row r="186" spans="1:30" x14ac:dyDescent="0.35">
      <c r="A186" t="s">
        <v>34</v>
      </c>
      <c r="B186">
        <v>16</v>
      </c>
      <c r="C186" t="s">
        <v>35</v>
      </c>
      <c r="D186" t="s">
        <v>36</v>
      </c>
      <c r="E186" t="s">
        <v>44</v>
      </c>
      <c r="F186" t="s">
        <v>45</v>
      </c>
      <c r="G186" t="s">
        <v>45</v>
      </c>
      <c r="H186">
        <v>2</v>
      </c>
      <c r="I186">
        <v>0</v>
      </c>
      <c r="J186" t="s">
        <v>43</v>
      </c>
      <c r="K186" t="s">
        <v>42</v>
      </c>
      <c r="L186" t="s">
        <v>42</v>
      </c>
      <c r="M186" t="s">
        <v>43</v>
      </c>
      <c r="N186" t="s">
        <v>43</v>
      </c>
      <c r="O186">
        <v>1</v>
      </c>
      <c r="P186">
        <v>2</v>
      </c>
      <c r="Q186">
        <v>2</v>
      </c>
      <c r="R186">
        <v>1</v>
      </c>
      <c r="S186">
        <v>2</v>
      </c>
      <c r="T186">
        <f t="shared" si="10"/>
        <v>3</v>
      </c>
      <c r="U186" t="str" cm="1">
        <f t="array" ref="U186">_xlfn.IFS(T186&lt;3, "low", AND(T186&gt;=3, T186&lt;5), "med", T186&gt;=5, "high")</f>
        <v>med</v>
      </c>
      <c r="V186">
        <v>14</v>
      </c>
      <c r="W186" t="str" cm="1">
        <f t="array" ref="W186">_xlfn.IFS(V186&lt;5, "low", AND(V186&gt;=5, V186&lt;10), "med", V186&gt;=10, "high")</f>
        <v>high</v>
      </c>
      <c r="X186">
        <v>12</v>
      </c>
      <c r="Y186">
        <v>13</v>
      </c>
      <c r="Z186">
        <v>12</v>
      </c>
      <c r="AA186">
        <f t="shared" si="11"/>
        <v>0</v>
      </c>
      <c r="AB186">
        <f t="shared" si="12"/>
        <v>1</v>
      </c>
      <c r="AC186">
        <f t="shared" si="13"/>
        <v>1</v>
      </c>
      <c r="AD186" s="1">
        <f t="shared" si="14"/>
        <v>12.333333333333334</v>
      </c>
    </row>
    <row r="187" spans="1:30" x14ac:dyDescent="0.35">
      <c r="A187" t="s">
        <v>50</v>
      </c>
      <c r="B187">
        <v>17</v>
      </c>
      <c r="C187" t="s">
        <v>35</v>
      </c>
      <c r="D187" t="s">
        <v>36</v>
      </c>
      <c r="E187" t="s">
        <v>44</v>
      </c>
      <c r="F187" t="s">
        <v>48</v>
      </c>
      <c r="G187" t="s">
        <v>48</v>
      </c>
      <c r="H187">
        <v>2</v>
      </c>
      <c r="I187">
        <v>0</v>
      </c>
      <c r="J187" t="s">
        <v>43</v>
      </c>
      <c r="K187" t="s">
        <v>42</v>
      </c>
      <c r="L187" t="s">
        <v>43</v>
      </c>
      <c r="M187" t="s">
        <v>42</v>
      </c>
      <c r="N187" t="s">
        <v>42</v>
      </c>
      <c r="O187">
        <v>4</v>
      </c>
      <c r="P187">
        <v>3</v>
      </c>
      <c r="Q187">
        <v>4</v>
      </c>
      <c r="R187">
        <v>2</v>
      </c>
      <c r="S187">
        <v>3</v>
      </c>
      <c r="T187">
        <f t="shared" si="10"/>
        <v>5</v>
      </c>
      <c r="U187" t="str" cm="1">
        <f t="array" ref="U187">_xlfn.IFS(T187&lt;3, "low", AND(T187&gt;=3, T187&lt;5), "med", T187&gt;=5, "high")</f>
        <v>high</v>
      </c>
      <c r="V187">
        <v>12</v>
      </c>
      <c r="W187" t="str" cm="1">
        <f t="array" ref="W187">_xlfn.IFS(V187&lt;5, "low", AND(V187&gt;=5, V187&lt;10), "med", V187&gt;=10, "high")</f>
        <v>high</v>
      </c>
      <c r="X187">
        <v>12</v>
      </c>
      <c r="Y187">
        <v>12</v>
      </c>
      <c r="Z187">
        <v>11</v>
      </c>
      <c r="AA187">
        <f t="shared" si="11"/>
        <v>0</v>
      </c>
      <c r="AB187">
        <f t="shared" si="12"/>
        <v>1</v>
      </c>
      <c r="AC187">
        <f t="shared" si="13"/>
        <v>1</v>
      </c>
      <c r="AD187" s="1">
        <f t="shared" si="14"/>
        <v>11.666666666666666</v>
      </c>
    </row>
    <row r="188" spans="1:30" x14ac:dyDescent="0.35">
      <c r="A188" t="s">
        <v>50</v>
      </c>
      <c r="B188">
        <v>16</v>
      </c>
      <c r="C188" t="s">
        <v>35</v>
      </c>
      <c r="D188" t="s">
        <v>36</v>
      </c>
      <c r="E188" t="s">
        <v>44</v>
      </c>
      <c r="F188" t="s">
        <v>48</v>
      </c>
      <c r="G188" t="s">
        <v>48</v>
      </c>
      <c r="H188">
        <v>1</v>
      </c>
      <c r="I188">
        <v>0</v>
      </c>
      <c r="J188" t="s">
        <v>43</v>
      </c>
      <c r="K188" t="s">
        <v>42</v>
      </c>
      <c r="L188" t="s">
        <v>42</v>
      </c>
      <c r="M188" t="s">
        <v>42</v>
      </c>
      <c r="N188" t="s">
        <v>42</v>
      </c>
      <c r="O188">
        <v>3</v>
      </c>
      <c r="P188">
        <v>3</v>
      </c>
      <c r="Q188">
        <v>3</v>
      </c>
      <c r="R188">
        <v>1</v>
      </c>
      <c r="S188">
        <v>2</v>
      </c>
      <c r="T188">
        <f t="shared" si="10"/>
        <v>3</v>
      </c>
      <c r="U188" t="str" cm="1">
        <f t="array" ref="U188">_xlfn.IFS(T188&lt;3, "low", AND(T188&gt;=3, T188&lt;5), "med", T188&gt;=5, "high")</f>
        <v>med</v>
      </c>
      <c r="V188">
        <v>2</v>
      </c>
      <c r="W188" t="str" cm="1">
        <f t="array" ref="W188">_xlfn.IFS(V188&lt;5, "low", AND(V188&gt;=5, V188&lt;10), "med", V188&gt;=10, "high")</f>
        <v>low</v>
      </c>
      <c r="X188">
        <v>11</v>
      </c>
      <c r="Y188">
        <v>12</v>
      </c>
      <c r="Z188">
        <v>11</v>
      </c>
      <c r="AA188">
        <f t="shared" si="11"/>
        <v>0</v>
      </c>
      <c r="AB188">
        <f t="shared" si="12"/>
        <v>1</v>
      </c>
      <c r="AC188">
        <f t="shared" si="13"/>
        <v>1</v>
      </c>
      <c r="AD188" s="1">
        <f t="shared" si="14"/>
        <v>11.333333333333334</v>
      </c>
    </row>
    <row r="189" spans="1:30" x14ac:dyDescent="0.35">
      <c r="A189" t="s">
        <v>50</v>
      </c>
      <c r="B189">
        <v>16</v>
      </c>
      <c r="C189" t="s">
        <v>35</v>
      </c>
      <c r="D189" t="s">
        <v>47</v>
      </c>
      <c r="E189" t="s">
        <v>44</v>
      </c>
      <c r="F189" t="s">
        <v>45</v>
      </c>
      <c r="G189" t="s">
        <v>45</v>
      </c>
      <c r="H189">
        <v>2</v>
      </c>
      <c r="I189">
        <v>0</v>
      </c>
      <c r="J189" t="s">
        <v>43</v>
      </c>
      <c r="K189" t="s">
        <v>43</v>
      </c>
      <c r="L189" t="s">
        <v>42</v>
      </c>
      <c r="M189" t="s">
        <v>42</v>
      </c>
      <c r="N189" t="s">
        <v>42</v>
      </c>
      <c r="O189">
        <v>4</v>
      </c>
      <c r="P189">
        <v>2</v>
      </c>
      <c r="Q189">
        <v>3</v>
      </c>
      <c r="R189">
        <v>1</v>
      </c>
      <c r="S189">
        <v>2</v>
      </c>
      <c r="T189">
        <f t="shared" si="10"/>
        <v>3</v>
      </c>
      <c r="U189" t="str" cm="1">
        <f t="array" ref="U189">_xlfn.IFS(T189&lt;3, "low", AND(T189&gt;=3, T189&lt;5), "med", T189&gt;=5, "high")</f>
        <v>med</v>
      </c>
      <c r="V189">
        <v>0</v>
      </c>
      <c r="W189" t="str" cm="1">
        <f t="array" ref="W189">_xlfn.IFS(V189&lt;5, "low", AND(V189&gt;=5, V189&lt;10), "med", V189&gt;=10, "high")</f>
        <v>low</v>
      </c>
      <c r="X189">
        <v>15</v>
      </c>
      <c r="Y189">
        <v>15</v>
      </c>
      <c r="Z189">
        <v>15</v>
      </c>
      <c r="AA189">
        <f t="shared" si="11"/>
        <v>0</v>
      </c>
      <c r="AB189">
        <f t="shared" si="12"/>
        <v>0</v>
      </c>
      <c r="AC189">
        <f t="shared" si="13"/>
        <v>0</v>
      </c>
      <c r="AD189" s="1">
        <f t="shared" si="14"/>
        <v>15</v>
      </c>
    </row>
    <row r="190" spans="1:30" x14ac:dyDescent="0.35">
      <c r="A190" t="s">
        <v>34</v>
      </c>
      <c r="B190">
        <v>17</v>
      </c>
      <c r="C190" t="s">
        <v>35</v>
      </c>
      <c r="D190" t="s">
        <v>36</v>
      </c>
      <c r="E190" t="s">
        <v>37</v>
      </c>
      <c r="F190" t="s">
        <v>28</v>
      </c>
      <c r="G190" t="s">
        <v>45</v>
      </c>
      <c r="H190">
        <v>2</v>
      </c>
      <c r="I190">
        <v>0</v>
      </c>
      <c r="J190" t="s">
        <v>43</v>
      </c>
      <c r="K190" t="s">
        <v>42</v>
      </c>
      <c r="L190" t="s">
        <v>43</v>
      </c>
      <c r="M190" t="s">
        <v>43</v>
      </c>
      <c r="N190" t="s">
        <v>42</v>
      </c>
      <c r="O190">
        <v>3</v>
      </c>
      <c r="P190">
        <v>3</v>
      </c>
      <c r="Q190">
        <v>3</v>
      </c>
      <c r="R190">
        <v>1</v>
      </c>
      <c r="S190">
        <v>3</v>
      </c>
      <c r="T190">
        <f t="shared" si="10"/>
        <v>4</v>
      </c>
      <c r="U190" t="str" cm="1">
        <f t="array" ref="U190">_xlfn.IFS(T190&lt;3, "low", AND(T190&gt;=3, T190&lt;5), "med", T190&gt;=5, "high")</f>
        <v>med</v>
      </c>
      <c r="V190">
        <v>6</v>
      </c>
      <c r="W190" t="str" cm="1">
        <f t="array" ref="W190">_xlfn.IFS(V190&lt;5, "low", AND(V190&gt;=5, V190&lt;10), "med", V190&gt;=10, "high")</f>
        <v>med</v>
      </c>
      <c r="X190">
        <v>8</v>
      </c>
      <c r="Y190">
        <v>7</v>
      </c>
      <c r="Z190">
        <v>9</v>
      </c>
      <c r="AA190">
        <f t="shared" si="11"/>
        <v>1</v>
      </c>
      <c r="AB190">
        <f t="shared" si="12"/>
        <v>0</v>
      </c>
      <c r="AC190">
        <f t="shared" si="13"/>
        <v>1</v>
      </c>
      <c r="AD190" s="1">
        <f t="shared" si="14"/>
        <v>8</v>
      </c>
    </row>
    <row r="191" spans="1:30" x14ac:dyDescent="0.35">
      <c r="A191" t="s">
        <v>50</v>
      </c>
      <c r="B191">
        <v>17</v>
      </c>
      <c r="C191" t="s">
        <v>52</v>
      </c>
      <c r="D191" t="s">
        <v>36</v>
      </c>
      <c r="E191" t="s">
        <v>44</v>
      </c>
      <c r="F191" t="s">
        <v>38</v>
      </c>
      <c r="G191" t="s">
        <v>45</v>
      </c>
      <c r="H191">
        <v>2</v>
      </c>
      <c r="I191">
        <v>0</v>
      </c>
      <c r="J191" t="s">
        <v>43</v>
      </c>
      <c r="K191" t="s">
        <v>43</v>
      </c>
      <c r="L191" t="s">
        <v>43</v>
      </c>
      <c r="M191" t="s">
        <v>43</v>
      </c>
      <c r="N191" t="s">
        <v>43</v>
      </c>
      <c r="O191">
        <v>3</v>
      </c>
      <c r="P191">
        <v>1</v>
      </c>
      <c r="Q191">
        <v>3</v>
      </c>
      <c r="R191">
        <v>1</v>
      </c>
      <c r="S191">
        <v>5</v>
      </c>
      <c r="T191">
        <f t="shared" si="10"/>
        <v>6</v>
      </c>
      <c r="U191" t="str" cm="1">
        <f t="array" ref="U191">_xlfn.IFS(T191&lt;3, "low", AND(T191&gt;=3, T191&lt;5), "med", T191&gt;=5, "high")</f>
        <v>high</v>
      </c>
      <c r="V191">
        <v>4</v>
      </c>
      <c r="W191" t="str" cm="1">
        <f t="array" ref="W191">_xlfn.IFS(V191&lt;5, "low", AND(V191&gt;=5, V191&lt;10), "med", V191&gt;=10, "high")</f>
        <v>low</v>
      </c>
      <c r="X191">
        <v>8</v>
      </c>
      <c r="Y191">
        <v>9</v>
      </c>
      <c r="Z191">
        <v>10</v>
      </c>
      <c r="AA191">
        <f t="shared" si="11"/>
        <v>0</v>
      </c>
      <c r="AB191">
        <f t="shared" si="12"/>
        <v>0</v>
      </c>
      <c r="AC191">
        <f t="shared" si="13"/>
        <v>0</v>
      </c>
      <c r="AD191" s="1">
        <f t="shared" si="14"/>
        <v>9</v>
      </c>
    </row>
    <row r="192" spans="1:30" x14ac:dyDescent="0.35">
      <c r="A192" t="s">
        <v>34</v>
      </c>
      <c r="B192">
        <v>16</v>
      </c>
      <c r="C192" t="s">
        <v>35</v>
      </c>
      <c r="D192" t="s">
        <v>36</v>
      </c>
      <c r="E192" t="s">
        <v>44</v>
      </c>
      <c r="F192" t="s">
        <v>48</v>
      </c>
      <c r="G192" t="s">
        <v>48</v>
      </c>
      <c r="H192">
        <v>2</v>
      </c>
      <c r="I192">
        <v>0</v>
      </c>
      <c r="J192" t="s">
        <v>43</v>
      </c>
      <c r="K192" t="s">
        <v>43</v>
      </c>
      <c r="L192" t="s">
        <v>43</v>
      </c>
      <c r="M192" t="s">
        <v>43</v>
      </c>
      <c r="N192" t="s">
        <v>43</v>
      </c>
      <c r="O192">
        <v>4</v>
      </c>
      <c r="P192">
        <v>3</v>
      </c>
      <c r="Q192">
        <v>3</v>
      </c>
      <c r="R192">
        <v>1</v>
      </c>
      <c r="S192">
        <v>1</v>
      </c>
      <c r="T192">
        <f t="shared" si="10"/>
        <v>2</v>
      </c>
      <c r="U192" t="str" cm="1">
        <f t="array" ref="U192">_xlfn.IFS(T192&lt;3, "low", AND(T192&gt;=3, T192&lt;5), "med", T192&gt;=5, "high")</f>
        <v>low</v>
      </c>
      <c r="V192">
        <v>10</v>
      </c>
      <c r="W192" t="str" cm="1">
        <f t="array" ref="W192">_xlfn.IFS(V192&lt;5, "low", AND(V192&gt;=5, V192&lt;10), "med", V192&gt;=10, "high")</f>
        <v>high</v>
      </c>
      <c r="X192">
        <v>11</v>
      </c>
      <c r="Y192">
        <v>12</v>
      </c>
      <c r="Z192">
        <v>13</v>
      </c>
      <c r="AA192">
        <f t="shared" si="11"/>
        <v>0</v>
      </c>
      <c r="AB192">
        <f t="shared" si="12"/>
        <v>0</v>
      </c>
      <c r="AC192">
        <f t="shared" si="13"/>
        <v>0</v>
      </c>
      <c r="AD192" s="1">
        <f t="shared" si="14"/>
        <v>12</v>
      </c>
    </row>
    <row r="193" spans="1:30" x14ac:dyDescent="0.35">
      <c r="A193" t="s">
        <v>34</v>
      </c>
      <c r="B193">
        <v>17</v>
      </c>
      <c r="C193" t="s">
        <v>35</v>
      </c>
      <c r="D193" t="s">
        <v>36</v>
      </c>
      <c r="E193" t="s">
        <v>44</v>
      </c>
      <c r="F193" t="s">
        <v>38</v>
      </c>
      <c r="G193" t="s">
        <v>48</v>
      </c>
      <c r="H193">
        <v>2</v>
      </c>
      <c r="I193">
        <v>0</v>
      </c>
      <c r="J193" t="s">
        <v>43</v>
      </c>
      <c r="K193" t="s">
        <v>43</v>
      </c>
      <c r="L193" t="s">
        <v>43</v>
      </c>
      <c r="M193" t="s">
        <v>42</v>
      </c>
      <c r="N193" t="s">
        <v>43</v>
      </c>
      <c r="O193">
        <v>5</v>
      </c>
      <c r="P193">
        <v>3</v>
      </c>
      <c r="Q193">
        <v>3</v>
      </c>
      <c r="R193">
        <v>1</v>
      </c>
      <c r="S193">
        <v>1</v>
      </c>
      <c r="T193">
        <f t="shared" si="10"/>
        <v>2</v>
      </c>
      <c r="U193" t="str" cm="1">
        <f t="array" ref="U193">_xlfn.IFS(T193&lt;3, "low", AND(T193&gt;=3, T193&lt;5), "med", T193&gt;=5, "high")</f>
        <v>low</v>
      </c>
      <c r="V193">
        <v>0</v>
      </c>
      <c r="W193" t="str" cm="1">
        <f t="array" ref="W193">_xlfn.IFS(V193&lt;5, "low", AND(V193&gt;=5, V193&lt;10), "med", V193&gt;=10, "high")</f>
        <v>low</v>
      </c>
      <c r="X193">
        <v>8</v>
      </c>
      <c r="Y193">
        <v>8</v>
      </c>
      <c r="Z193">
        <v>9</v>
      </c>
      <c r="AA193">
        <f t="shared" si="11"/>
        <v>0</v>
      </c>
      <c r="AB193">
        <f t="shared" si="12"/>
        <v>0</v>
      </c>
      <c r="AC193">
        <f t="shared" si="13"/>
        <v>0</v>
      </c>
      <c r="AD193" s="1">
        <f t="shared" si="14"/>
        <v>8.3333333333333339</v>
      </c>
    </row>
    <row r="194" spans="1:30" x14ac:dyDescent="0.35">
      <c r="A194" t="s">
        <v>50</v>
      </c>
      <c r="B194">
        <v>17</v>
      </c>
      <c r="C194" t="s">
        <v>35</v>
      </c>
      <c r="D194" t="s">
        <v>36</v>
      </c>
      <c r="E194" t="s">
        <v>44</v>
      </c>
      <c r="F194" t="s">
        <v>38</v>
      </c>
      <c r="G194" t="s">
        <v>48</v>
      </c>
      <c r="H194">
        <v>2</v>
      </c>
      <c r="I194">
        <v>0</v>
      </c>
      <c r="J194" t="s">
        <v>43</v>
      </c>
      <c r="K194" t="s">
        <v>43</v>
      </c>
      <c r="L194" t="s">
        <v>42</v>
      </c>
      <c r="M194" t="s">
        <v>42</v>
      </c>
      <c r="N194" t="s">
        <v>43</v>
      </c>
      <c r="O194">
        <v>4</v>
      </c>
      <c r="P194">
        <v>4</v>
      </c>
      <c r="Q194">
        <v>4</v>
      </c>
      <c r="R194">
        <v>4</v>
      </c>
      <c r="S194">
        <v>5</v>
      </c>
      <c r="T194">
        <f t="shared" si="10"/>
        <v>9</v>
      </c>
      <c r="U194" t="str" cm="1">
        <f t="array" ref="U194">_xlfn.IFS(T194&lt;3, "low", AND(T194&gt;=3, T194&lt;5), "med", T194&gt;=5, "high")</f>
        <v>high</v>
      </c>
      <c r="V194">
        <v>12</v>
      </c>
      <c r="W194" t="str" cm="1">
        <f t="array" ref="W194">_xlfn.IFS(V194&lt;5, "low", AND(V194&gt;=5, V194&lt;10), "med", V194&gt;=10, "high")</f>
        <v>high</v>
      </c>
      <c r="X194">
        <v>7</v>
      </c>
      <c r="Y194">
        <v>8</v>
      </c>
      <c r="Z194">
        <v>8</v>
      </c>
      <c r="AA194">
        <f t="shared" si="11"/>
        <v>0</v>
      </c>
      <c r="AB194">
        <f t="shared" si="12"/>
        <v>0</v>
      </c>
      <c r="AC194">
        <f t="shared" si="13"/>
        <v>0</v>
      </c>
      <c r="AD194" s="1">
        <f t="shared" si="14"/>
        <v>7.666666666666667</v>
      </c>
    </row>
    <row r="195" spans="1:30" x14ac:dyDescent="0.35">
      <c r="A195" t="s">
        <v>50</v>
      </c>
      <c r="B195">
        <v>16</v>
      </c>
      <c r="C195" t="s">
        <v>52</v>
      </c>
      <c r="D195" t="s">
        <v>36</v>
      </c>
      <c r="E195" t="s">
        <v>44</v>
      </c>
      <c r="F195" t="s">
        <v>48</v>
      </c>
      <c r="G195" t="s">
        <v>48</v>
      </c>
      <c r="H195">
        <v>1</v>
      </c>
      <c r="I195">
        <v>0</v>
      </c>
      <c r="J195" t="s">
        <v>43</v>
      </c>
      <c r="K195" t="s">
        <v>42</v>
      </c>
      <c r="L195" t="s">
        <v>43</v>
      </c>
      <c r="M195" t="s">
        <v>42</v>
      </c>
      <c r="N195" t="s">
        <v>43</v>
      </c>
      <c r="O195">
        <v>4</v>
      </c>
      <c r="P195">
        <v>3</v>
      </c>
      <c r="Q195">
        <v>2</v>
      </c>
      <c r="R195">
        <v>3</v>
      </c>
      <c r="S195">
        <v>4</v>
      </c>
      <c r="T195">
        <f t="shared" ref="T195:T258" si="15">R195+S195</f>
        <v>7</v>
      </c>
      <c r="U195" t="str" cm="1">
        <f t="array" ref="U195">_xlfn.IFS(T195&lt;3, "low", AND(T195&gt;=3, T195&lt;5), "med", T195&gt;=5, "high")</f>
        <v>high</v>
      </c>
      <c r="V195">
        <v>8</v>
      </c>
      <c r="W195" t="str" cm="1">
        <f t="array" ref="W195">_xlfn.IFS(V195&lt;5, "low", AND(V195&gt;=5, V195&lt;10), "med", V195&gt;=10, "high")</f>
        <v>med</v>
      </c>
      <c r="X195">
        <v>8</v>
      </c>
      <c r="Y195">
        <v>9</v>
      </c>
      <c r="Z195">
        <v>10</v>
      </c>
      <c r="AA195">
        <f t="shared" ref="AA195:AA258" si="16">IF(Y195&lt;X195,1,0)</f>
        <v>0</v>
      </c>
      <c r="AB195">
        <f t="shared" ref="AB195:AB258" si="17">IF(Z195&lt;Y195,1,0)</f>
        <v>0</v>
      </c>
      <c r="AC195">
        <f t="shared" ref="AC195:AC258" si="18">SUM(AA195:AB195)</f>
        <v>0</v>
      </c>
      <c r="AD195" s="1">
        <f t="shared" ref="AD195:AD258" si="19">AVERAGE(X195:Z195)</f>
        <v>9</v>
      </c>
    </row>
    <row r="196" spans="1:30" x14ac:dyDescent="0.35">
      <c r="A196" t="s">
        <v>50</v>
      </c>
      <c r="B196">
        <v>16</v>
      </c>
      <c r="C196" t="s">
        <v>35</v>
      </c>
      <c r="D196" t="s">
        <v>36</v>
      </c>
      <c r="E196" t="s">
        <v>44</v>
      </c>
      <c r="F196" t="s">
        <v>45</v>
      </c>
      <c r="G196" t="s">
        <v>45</v>
      </c>
      <c r="H196">
        <v>1</v>
      </c>
      <c r="I196">
        <v>0</v>
      </c>
      <c r="J196" t="s">
        <v>43</v>
      </c>
      <c r="K196" t="s">
        <v>43</v>
      </c>
      <c r="L196" t="s">
        <v>43</v>
      </c>
      <c r="M196" t="s">
        <v>43</v>
      </c>
      <c r="N196" t="s">
        <v>43</v>
      </c>
      <c r="O196">
        <v>5</v>
      </c>
      <c r="P196">
        <v>3</v>
      </c>
      <c r="Q196">
        <v>3</v>
      </c>
      <c r="R196">
        <v>1</v>
      </c>
      <c r="S196">
        <v>1</v>
      </c>
      <c r="T196">
        <f t="shared" si="15"/>
        <v>2</v>
      </c>
      <c r="U196" t="str" cm="1">
        <f t="array" ref="U196">_xlfn.IFS(T196&lt;3, "low", AND(T196&gt;=3, T196&lt;5), "med", T196&gt;=5, "high")</f>
        <v>low</v>
      </c>
      <c r="V196">
        <v>0</v>
      </c>
      <c r="W196" t="str" cm="1">
        <f t="array" ref="W196">_xlfn.IFS(V196&lt;5, "low", AND(V196&gt;=5, V196&lt;10), "med", V196&gt;=10, "high")</f>
        <v>low</v>
      </c>
      <c r="X196">
        <v>13</v>
      </c>
      <c r="Y196">
        <v>14</v>
      </c>
      <c r="Z196">
        <v>14</v>
      </c>
      <c r="AA196">
        <f t="shared" si="16"/>
        <v>0</v>
      </c>
      <c r="AB196">
        <f t="shared" si="17"/>
        <v>0</v>
      </c>
      <c r="AC196">
        <f t="shared" si="18"/>
        <v>0</v>
      </c>
      <c r="AD196" s="1">
        <f t="shared" si="19"/>
        <v>13.666666666666666</v>
      </c>
    </row>
    <row r="197" spans="1:30" x14ac:dyDescent="0.35">
      <c r="A197" t="s">
        <v>34</v>
      </c>
      <c r="B197">
        <v>17</v>
      </c>
      <c r="C197" t="s">
        <v>35</v>
      </c>
      <c r="D197" t="s">
        <v>47</v>
      </c>
      <c r="E197" t="s">
        <v>44</v>
      </c>
      <c r="F197" t="s">
        <v>48</v>
      </c>
      <c r="G197" t="s">
        <v>48</v>
      </c>
      <c r="H197">
        <v>2</v>
      </c>
      <c r="I197">
        <v>0</v>
      </c>
      <c r="J197" t="s">
        <v>43</v>
      </c>
      <c r="K197" t="s">
        <v>43</v>
      </c>
      <c r="L197" t="s">
        <v>43</v>
      </c>
      <c r="M197" t="s">
        <v>42</v>
      </c>
      <c r="N197" t="s">
        <v>42</v>
      </c>
      <c r="O197">
        <v>4</v>
      </c>
      <c r="P197">
        <v>3</v>
      </c>
      <c r="Q197">
        <v>2</v>
      </c>
      <c r="R197">
        <v>1</v>
      </c>
      <c r="S197">
        <v>1</v>
      </c>
      <c r="T197">
        <f t="shared" si="15"/>
        <v>2</v>
      </c>
      <c r="U197" t="str" cm="1">
        <f t="array" ref="U197">_xlfn.IFS(T197&lt;3, "low", AND(T197&gt;=3, T197&lt;5), "med", T197&gt;=5, "high")</f>
        <v>low</v>
      </c>
      <c r="V197">
        <v>0</v>
      </c>
      <c r="W197" t="str" cm="1">
        <f t="array" ref="W197">_xlfn.IFS(V197&lt;5, "low", AND(V197&gt;=5, V197&lt;10), "med", V197&gt;=10, "high")</f>
        <v>low</v>
      </c>
      <c r="X197">
        <v>14</v>
      </c>
      <c r="Y197">
        <v>15</v>
      </c>
      <c r="Z197">
        <v>15</v>
      </c>
      <c r="AA197">
        <f t="shared" si="16"/>
        <v>0</v>
      </c>
      <c r="AB197">
        <f t="shared" si="17"/>
        <v>0</v>
      </c>
      <c r="AC197">
        <f t="shared" si="18"/>
        <v>0</v>
      </c>
      <c r="AD197" s="1">
        <f t="shared" si="19"/>
        <v>14.666666666666666</v>
      </c>
    </row>
    <row r="198" spans="1:30" x14ac:dyDescent="0.35">
      <c r="A198" t="s">
        <v>50</v>
      </c>
      <c r="B198">
        <v>17</v>
      </c>
      <c r="C198" t="s">
        <v>35</v>
      </c>
      <c r="D198" t="s">
        <v>36</v>
      </c>
      <c r="E198" t="s">
        <v>44</v>
      </c>
      <c r="F198" t="s">
        <v>48</v>
      </c>
      <c r="G198" t="s">
        <v>39</v>
      </c>
      <c r="H198">
        <v>1</v>
      </c>
      <c r="I198">
        <v>0</v>
      </c>
      <c r="J198" t="s">
        <v>43</v>
      </c>
      <c r="K198" t="s">
        <v>43</v>
      </c>
      <c r="L198" t="s">
        <v>43</v>
      </c>
      <c r="M198" t="s">
        <v>43</v>
      </c>
      <c r="N198" t="s">
        <v>43</v>
      </c>
      <c r="O198">
        <v>5</v>
      </c>
      <c r="P198">
        <v>2</v>
      </c>
      <c r="Q198">
        <v>3</v>
      </c>
      <c r="R198">
        <v>1</v>
      </c>
      <c r="S198">
        <v>2</v>
      </c>
      <c r="T198">
        <f t="shared" si="15"/>
        <v>3</v>
      </c>
      <c r="U198" t="str" cm="1">
        <f t="array" ref="U198">_xlfn.IFS(T198&lt;3, "low", AND(T198&gt;=3, T198&lt;5), "med", T198&gt;=5, "high")</f>
        <v>med</v>
      </c>
      <c r="V198">
        <v>4</v>
      </c>
      <c r="W198" t="str" cm="1">
        <f t="array" ref="W198">_xlfn.IFS(V198&lt;5, "low", AND(V198&gt;=5, V198&lt;10), "med", V198&gt;=10, "high")</f>
        <v>low</v>
      </c>
      <c r="X198">
        <v>17</v>
      </c>
      <c r="Y198">
        <v>15</v>
      </c>
      <c r="Z198">
        <v>16</v>
      </c>
      <c r="AA198">
        <f t="shared" si="16"/>
        <v>1</v>
      </c>
      <c r="AB198">
        <f t="shared" si="17"/>
        <v>0</v>
      </c>
      <c r="AC198">
        <f t="shared" si="18"/>
        <v>1</v>
      </c>
      <c r="AD198" s="1">
        <f t="shared" si="19"/>
        <v>16</v>
      </c>
    </row>
    <row r="199" spans="1:30" x14ac:dyDescent="0.35">
      <c r="A199" t="s">
        <v>50</v>
      </c>
      <c r="B199">
        <v>16</v>
      </c>
      <c r="C199" t="s">
        <v>52</v>
      </c>
      <c r="D199" t="s">
        <v>47</v>
      </c>
      <c r="E199" t="s">
        <v>44</v>
      </c>
      <c r="F199" t="s">
        <v>39</v>
      </c>
      <c r="G199" t="s">
        <v>45</v>
      </c>
      <c r="H199">
        <v>1</v>
      </c>
      <c r="I199">
        <v>0</v>
      </c>
      <c r="J199" t="s">
        <v>43</v>
      </c>
      <c r="K199" t="s">
        <v>42</v>
      </c>
      <c r="L199" t="s">
        <v>42</v>
      </c>
      <c r="M199" t="s">
        <v>42</v>
      </c>
      <c r="N199" t="s">
        <v>43</v>
      </c>
      <c r="O199">
        <v>3</v>
      </c>
      <c r="P199">
        <v>3</v>
      </c>
      <c r="Q199">
        <v>4</v>
      </c>
      <c r="R199">
        <v>3</v>
      </c>
      <c r="S199">
        <v>5</v>
      </c>
      <c r="T199">
        <f t="shared" si="15"/>
        <v>8</v>
      </c>
      <c r="U199" t="str" cm="1">
        <f t="array" ref="U199">_xlfn.IFS(T199&lt;3, "low", AND(T199&gt;=3, T199&lt;5), "med", T199&gt;=5, "high")</f>
        <v>high</v>
      </c>
      <c r="V199">
        <v>8</v>
      </c>
      <c r="W199" t="str" cm="1">
        <f t="array" ref="W199">_xlfn.IFS(V199&lt;5, "low", AND(V199&gt;=5, V199&lt;10), "med", V199&gt;=10, "high")</f>
        <v>med</v>
      </c>
      <c r="X199">
        <v>9</v>
      </c>
      <c r="Y199">
        <v>9</v>
      </c>
      <c r="Z199">
        <v>10</v>
      </c>
      <c r="AA199">
        <f t="shared" si="16"/>
        <v>0</v>
      </c>
      <c r="AB199">
        <f t="shared" si="17"/>
        <v>0</v>
      </c>
      <c r="AC199">
        <f t="shared" si="18"/>
        <v>0</v>
      </c>
      <c r="AD199" s="1">
        <f t="shared" si="19"/>
        <v>9.3333333333333339</v>
      </c>
    </row>
    <row r="200" spans="1:30" x14ac:dyDescent="0.35">
      <c r="A200" t="s">
        <v>34</v>
      </c>
      <c r="B200">
        <v>17</v>
      </c>
      <c r="C200" t="s">
        <v>35</v>
      </c>
      <c r="D200" t="s">
        <v>36</v>
      </c>
      <c r="E200" t="s">
        <v>44</v>
      </c>
      <c r="F200" t="s">
        <v>48</v>
      </c>
      <c r="G200" t="s">
        <v>39</v>
      </c>
      <c r="H200">
        <v>1</v>
      </c>
      <c r="I200">
        <v>1</v>
      </c>
      <c r="J200" t="s">
        <v>43</v>
      </c>
      <c r="K200" t="s">
        <v>42</v>
      </c>
      <c r="L200" t="s">
        <v>43</v>
      </c>
      <c r="M200" t="s">
        <v>43</v>
      </c>
      <c r="N200" t="s">
        <v>43</v>
      </c>
      <c r="O200">
        <v>4</v>
      </c>
      <c r="P200">
        <v>2</v>
      </c>
      <c r="Q200">
        <v>4</v>
      </c>
      <c r="R200">
        <v>2</v>
      </c>
      <c r="S200">
        <v>3</v>
      </c>
      <c r="T200">
        <f t="shared" si="15"/>
        <v>5</v>
      </c>
      <c r="U200" t="str" cm="1">
        <f t="array" ref="U200">_xlfn.IFS(T200&lt;3, "low", AND(T200&gt;=3, T200&lt;5), "med", T200&gt;=5, "high")</f>
        <v>high</v>
      </c>
      <c r="V200">
        <v>24</v>
      </c>
      <c r="W200" t="str" cm="1">
        <f t="array" ref="W200">_xlfn.IFS(V200&lt;5, "low", AND(V200&gt;=5, V200&lt;10), "med", V200&gt;=10, "high")</f>
        <v>high</v>
      </c>
      <c r="X200">
        <v>18</v>
      </c>
      <c r="Y200">
        <v>18</v>
      </c>
      <c r="Z200">
        <v>18</v>
      </c>
      <c r="AA200">
        <f t="shared" si="16"/>
        <v>0</v>
      </c>
      <c r="AB200">
        <f t="shared" si="17"/>
        <v>0</v>
      </c>
      <c r="AC200">
        <f t="shared" si="18"/>
        <v>0</v>
      </c>
      <c r="AD200" s="1">
        <f t="shared" si="19"/>
        <v>18</v>
      </c>
    </row>
    <row r="201" spans="1:30" x14ac:dyDescent="0.35">
      <c r="A201" t="s">
        <v>34</v>
      </c>
      <c r="B201">
        <v>16</v>
      </c>
      <c r="C201" t="s">
        <v>35</v>
      </c>
      <c r="D201" t="s">
        <v>47</v>
      </c>
      <c r="E201" t="s">
        <v>44</v>
      </c>
      <c r="F201" t="s">
        <v>39</v>
      </c>
      <c r="G201" t="s">
        <v>39</v>
      </c>
      <c r="H201">
        <v>2</v>
      </c>
      <c r="I201">
        <v>0</v>
      </c>
      <c r="J201" t="s">
        <v>43</v>
      </c>
      <c r="K201" t="s">
        <v>42</v>
      </c>
      <c r="L201" t="s">
        <v>42</v>
      </c>
      <c r="M201" t="s">
        <v>43</v>
      </c>
      <c r="N201" t="s">
        <v>43</v>
      </c>
      <c r="O201">
        <v>4</v>
      </c>
      <c r="P201">
        <v>5</v>
      </c>
      <c r="Q201">
        <v>2</v>
      </c>
      <c r="R201">
        <v>1</v>
      </c>
      <c r="S201">
        <v>2</v>
      </c>
      <c r="T201">
        <f t="shared" si="15"/>
        <v>3</v>
      </c>
      <c r="U201" t="str" cm="1">
        <f t="array" ref="U201">_xlfn.IFS(T201&lt;3, "low", AND(T201&gt;=3, T201&lt;5), "med", T201&gt;=5, "high")</f>
        <v>med</v>
      </c>
      <c r="V201">
        <v>0</v>
      </c>
      <c r="W201" t="str" cm="1">
        <f t="array" ref="W201">_xlfn.IFS(V201&lt;5, "low", AND(V201&gt;=5, V201&lt;10), "med", V201&gt;=10, "high")</f>
        <v>low</v>
      </c>
      <c r="X201">
        <v>9</v>
      </c>
      <c r="Y201">
        <v>9</v>
      </c>
      <c r="Z201">
        <v>10</v>
      </c>
      <c r="AA201">
        <f t="shared" si="16"/>
        <v>0</v>
      </c>
      <c r="AB201">
        <f t="shared" si="17"/>
        <v>0</v>
      </c>
      <c r="AC201">
        <f t="shared" si="18"/>
        <v>0</v>
      </c>
      <c r="AD201" s="1">
        <f t="shared" si="19"/>
        <v>9.3333333333333339</v>
      </c>
    </row>
    <row r="202" spans="1:30" x14ac:dyDescent="0.35">
      <c r="A202" t="s">
        <v>34</v>
      </c>
      <c r="B202">
        <v>16</v>
      </c>
      <c r="C202" t="s">
        <v>35</v>
      </c>
      <c r="D202" t="s">
        <v>36</v>
      </c>
      <c r="E202" t="s">
        <v>44</v>
      </c>
      <c r="F202" t="s">
        <v>28</v>
      </c>
      <c r="G202" t="s">
        <v>45</v>
      </c>
      <c r="H202">
        <v>2</v>
      </c>
      <c r="I202">
        <v>0</v>
      </c>
      <c r="J202" t="s">
        <v>43</v>
      </c>
      <c r="K202" t="s">
        <v>42</v>
      </c>
      <c r="L202" t="s">
        <v>43</v>
      </c>
      <c r="M202" t="s">
        <v>42</v>
      </c>
      <c r="N202" t="s">
        <v>43</v>
      </c>
      <c r="O202">
        <v>4</v>
      </c>
      <c r="P202">
        <v>3</v>
      </c>
      <c r="Q202">
        <v>5</v>
      </c>
      <c r="R202">
        <v>1</v>
      </c>
      <c r="S202">
        <v>5</v>
      </c>
      <c r="T202">
        <f t="shared" si="15"/>
        <v>6</v>
      </c>
      <c r="U202" t="str" cm="1">
        <f t="array" ref="U202">_xlfn.IFS(T202&lt;3, "low", AND(T202&gt;=3, T202&lt;5), "med", T202&gt;=5, "high")</f>
        <v>high</v>
      </c>
      <c r="V202">
        <v>2</v>
      </c>
      <c r="W202" t="str" cm="1">
        <f t="array" ref="W202">_xlfn.IFS(V202&lt;5, "low", AND(V202&gt;=5, V202&lt;10), "med", V202&gt;=10, "high")</f>
        <v>low</v>
      </c>
      <c r="X202">
        <v>16</v>
      </c>
      <c r="Y202">
        <v>16</v>
      </c>
      <c r="Z202">
        <v>16</v>
      </c>
      <c r="AA202">
        <f t="shared" si="16"/>
        <v>0</v>
      </c>
      <c r="AB202">
        <f t="shared" si="17"/>
        <v>0</v>
      </c>
      <c r="AC202">
        <f t="shared" si="18"/>
        <v>0</v>
      </c>
      <c r="AD202" s="1">
        <f t="shared" si="19"/>
        <v>16</v>
      </c>
    </row>
    <row r="203" spans="1:30" x14ac:dyDescent="0.35">
      <c r="A203" t="s">
        <v>34</v>
      </c>
      <c r="B203">
        <v>16</v>
      </c>
      <c r="C203" t="s">
        <v>35</v>
      </c>
      <c r="D203" t="s">
        <v>36</v>
      </c>
      <c r="E203" t="s">
        <v>44</v>
      </c>
      <c r="F203" t="s">
        <v>45</v>
      </c>
      <c r="G203" t="s">
        <v>45</v>
      </c>
      <c r="H203">
        <v>2</v>
      </c>
      <c r="I203">
        <v>0</v>
      </c>
      <c r="J203" t="s">
        <v>42</v>
      </c>
      <c r="K203" t="s">
        <v>42</v>
      </c>
      <c r="L203" t="s">
        <v>42</v>
      </c>
      <c r="M203" t="s">
        <v>42</v>
      </c>
      <c r="N203" t="s">
        <v>43</v>
      </c>
      <c r="O203">
        <v>4</v>
      </c>
      <c r="P203">
        <v>4</v>
      </c>
      <c r="Q203">
        <v>3</v>
      </c>
      <c r="R203">
        <v>1</v>
      </c>
      <c r="S203">
        <v>3</v>
      </c>
      <c r="T203">
        <f t="shared" si="15"/>
        <v>4</v>
      </c>
      <c r="U203" t="str" cm="1">
        <f t="array" ref="U203">_xlfn.IFS(T203&lt;3, "low", AND(T203&gt;=3, T203&lt;5), "med", T203&gt;=5, "high")</f>
        <v>med</v>
      </c>
      <c r="V203">
        <v>6</v>
      </c>
      <c r="W203" t="str" cm="1">
        <f t="array" ref="W203">_xlfn.IFS(V203&lt;5, "low", AND(V203&gt;=5, V203&lt;10), "med", V203&gt;=10, "high")</f>
        <v>med</v>
      </c>
      <c r="X203">
        <v>8</v>
      </c>
      <c r="Y203">
        <v>10</v>
      </c>
      <c r="Z203">
        <v>10</v>
      </c>
      <c r="AA203">
        <f t="shared" si="16"/>
        <v>0</v>
      </c>
      <c r="AB203">
        <f t="shared" si="17"/>
        <v>0</v>
      </c>
      <c r="AC203">
        <f t="shared" si="18"/>
        <v>0</v>
      </c>
      <c r="AD203" s="1">
        <f t="shared" si="19"/>
        <v>9.3333333333333339</v>
      </c>
    </row>
    <row r="204" spans="1:30" x14ac:dyDescent="0.35">
      <c r="A204" t="s">
        <v>34</v>
      </c>
      <c r="B204">
        <v>17</v>
      </c>
      <c r="C204" t="s">
        <v>35</v>
      </c>
      <c r="D204" t="s">
        <v>36</v>
      </c>
      <c r="E204" t="s">
        <v>44</v>
      </c>
      <c r="F204" t="s">
        <v>45</v>
      </c>
      <c r="G204" t="s">
        <v>45</v>
      </c>
      <c r="H204">
        <v>2</v>
      </c>
      <c r="I204">
        <v>0</v>
      </c>
      <c r="J204" t="s">
        <v>43</v>
      </c>
      <c r="K204" t="s">
        <v>42</v>
      </c>
      <c r="L204" t="s">
        <v>42</v>
      </c>
      <c r="M204" t="s">
        <v>43</v>
      </c>
      <c r="N204" t="s">
        <v>43</v>
      </c>
      <c r="O204">
        <v>4</v>
      </c>
      <c r="P204">
        <v>4</v>
      </c>
      <c r="Q204">
        <v>4</v>
      </c>
      <c r="R204">
        <v>1</v>
      </c>
      <c r="S204">
        <v>3</v>
      </c>
      <c r="T204">
        <f t="shared" si="15"/>
        <v>4</v>
      </c>
      <c r="U204" t="str" cm="1">
        <f t="array" ref="U204">_xlfn.IFS(T204&lt;3, "low", AND(T204&gt;=3, T204&lt;5), "med", T204&gt;=5, "high")</f>
        <v>med</v>
      </c>
      <c r="V204">
        <v>4</v>
      </c>
      <c r="W204" t="str" cm="1">
        <f t="array" ref="W204">_xlfn.IFS(V204&lt;5, "low", AND(V204&gt;=5, V204&lt;10), "med", V204&gt;=10, "high")</f>
        <v>low</v>
      </c>
      <c r="X204">
        <v>9</v>
      </c>
      <c r="Y204">
        <v>9</v>
      </c>
      <c r="Z204">
        <v>10</v>
      </c>
      <c r="AA204">
        <f t="shared" si="16"/>
        <v>0</v>
      </c>
      <c r="AB204">
        <f t="shared" si="17"/>
        <v>0</v>
      </c>
      <c r="AC204">
        <f t="shared" si="18"/>
        <v>0</v>
      </c>
      <c r="AD204" s="1">
        <f t="shared" si="19"/>
        <v>9.3333333333333339</v>
      </c>
    </row>
    <row r="205" spans="1:30" x14ac:dyDescent="0.35">
      <c r="A205" t="s">
        <v>34</v>
      </c>
      <c r="B205">
        <v>17</v>
      </c>
      <c r="C205" t="s">
        <v>52</v>
      </c>
      <c r="D205" t="s">
        <v>36</v>
      </c>
      <c r="E205" t="s">
        <v>44</v>
      </c>
      <c r="F205" t="s">
        <v>45</v>
      </c>
      <c r="G205" t="s">
        <v>45</v>
      </c>
      <c r="H205">
        <v>1</v>
      </c>
      <c r="I205">
        <v>0</v>
      </c>
      <c r="J205" t="s">
        <v>43</v>
      </c>
      <c r="K205" t="s">
        <v>42</v>
      </c>
      <c r="L205" t="s">
        <v>43</v>
      </c>
      <c r="M205" t="s">
        <v>43</v>
      </c>
      <c r="N205" t="s">
        <v>43</v>
      </c>
      <c r="O205">
        <v>5</v>
      </c>
      <c r="P205">
        <v>3</v>
      </c>
      <c r="Q205">
        <v>2</v>
      </c>
      <c r="R205">
        <v>1</v>
      </c>
      <c r="S205">
        <v>2</v>
      </c>
      <c r="T205">
        <f t="shared" si="15"/>
        <v>3</v>
      </c>
      <c r="U205" t="str" cm="1">
        <f t="array" ref="U205">_xlfn.IFS(T205&lt;3, "low", AND(T205&gt;=3, T205&lt;5), "med", T205&gt;=5, "high")</f>
        <v>med</v>
      </c>
      <c r="V205">
        <v>18</v>
      </c>
      <c r="W205" t="str" cm="1">
        <f t="array" ref="W205">_xlfn.IFS(V205&lt;5, "low", AND(V205&gt;=5, V205&lt;10), "med", V205&gt;=10, "high")</f>
        <v>high</v>
      </c>
      <c r="X205">
        <v>7</v>
      </c>
      <c r="Y205">
        <v>6</v>
      </c>
      <c r="Z205">
        <v>6</v>
      </c>
      <c r="AA205">
        <f t="shared" si="16"/>
        <v>1</v>
      </c>
      <c r="AB205">
        <f t="shared" si="17"/>
        <v>0</v>
      </c>
      <c r="AC205">
        <f t="shared" si="18"/>
        <v>1</v>
      </c>
      <c r="AD205" s="1">
        <f t="shared" si="19"/>
        <v>6.333333333333333</v>
      </c>
    </row>
    <row r="206" spans="1:30" x14ac:dyDescent="0.35">
      <c r="A206" t="s">
        <v>34</v>
      </c>
      <c r="B206">
        <v>16</v>
      </c>
      <c r="C206" t="s">
        <v>52</v>
      </c>
      <c r="D206" t="s">
        <v>36</v>
      </c>
      <c r="E206" t="s">
        <v>44</v>
      </c>
      <c r="F206" t="s">
        <v>48</v>
      </c>
      <c r="G206" t="s">
        <v>48</v>
      </c>
      <c r="H206">
        <v>4</v>
      </c>
      <c r="I206">
        <v>0</v>
      </c>
      <c r="J206" t="s">
        <v>43</v>
      </c>
      <c r="K206" t="s">
        <v>42</v>
      </c>
      <c r="L206" t="s">
        <v>42</v>
      </c>
      <c r="M206" t="s">
        <v>42</v>
      </c>
      <c r="N206" t="s">
        <v>43</v>
      </c>
      <c r="O206">
        <v>5</v>
      </c>
      <c r="P206">
        <v>3</v>
      </c>
      <c r="Q206">
        <v>5</v>
      </c>
      <c r="R206">
        <v>1</v>
      </c>
      <c r="S206">
        <v>1</v>
      </c>
      <c r="T206">
        <f t="shared" si="15"/>
        <v>2</v>
      </c>
      <c r="U206" t="str" cm="1">
        <f t="array" ref="U206">_xlfn.IFS(T206&lt;3, "low", AND(T206&gt;=3, T206&lt;5), "med", T206&gt;=5, "high")</f>
        <v>low</v>
      </c>
      <c r="V206">
        <v>6</v>
      </c>
      <c r="W206" t="str" cm="1">
        <f t="array" ref="W206">_xlfn.IFS(V206&lt;5, "low", AND(V206&gt;=5, V206&lt;10), "med", V206&gt;=10, "high")</f>
        <v>med</v>
      </c>
      <c r="X206">
        <v>10</v>
      </c>
      <c r="Y206">
        <v>10</v>
      </c>
      <c r="Z206">
        <v>11</v>
      </c>
      <c r="AA206">
        <f t="shared" si="16"/>
        <v>0</v>
      </c>
      <c r="AB206">
        <f t="shared" si="17"/>
        <v>0</v>
      </c>
      <c r="AC206">
        <f t="shared" si="18"/>
        <v>0</v>
      </c>
      <c r="AD206" s="1">
        <f t="shared" si="19"/>
        <v>10.333333333333334</v>
      </c>
    </row>
    <row r="207" spans="1:30" x14ac:dyDescent="0.35">
      <c r="A207" t="s">
        <v>34</v>
      </c>
      <c r="B207">
        <v>17</v>
      </c>
      <c r="C207" t="s">
        <v>35</v>
      </c>
      <c r="D207" t="s">
        <v>36</v>
      </c>
      <c r="E207" t="s">
        <v>44</v>
      </c>
      <c r="F207" t="s">
        <v>38</v>
      </c>
      <c r="G207" t="s">
        <v>48</v>
      </c>
      <c r="H207">
        <v>3</v>
      </c>
      <c r="I207">
        <v>1</v>
      </c>
      <c r="J207" t="s">
        <v>43</v>
      </c>
      <c r="K207" t="s">
        <v>42</v>
      </c>
      <c r="L207" t="s">
        <v>42</v>
      </c>
      <c r="M207" t="s">
        <v>43</v>
      </c>
      <c r="N207" t="s">
        <v>42</v>
      </c>
      <c r="O207">
        <v>4</v>
      </c>
      <c r="P207">
        <v>4</v>
      </c>
      <c r="Q207">
        <v>3</v>
      </c>
      <c r="R207">
        <v>3</v>
      </c>
      <c r="S207">
        <v>4</v>
      </c>
      <c r="T207">
        <f t="shared" si="15"/>
        <v>7</v>
      </c>
      <c r="U207" t="str" cm="1">
        <f t="array" ref="U207">_xlfn.IFS(T207&lt;3, "low", AND(T207&gt;=3, T207&lt;5), "med", T207&gt;=5, "high")</f>
        <v>high</v>
      </c>
      <c r="V207">
        <v>28</v>
      </c>
      <c r="W207" t="str" cm="1">
        <f t="array" ref="W207">_xlfn.IFS(V207&lt;5, "low", AND(V207&gt;=5, V207&lt;10), "med", V207&gt;=10, "high")</f>
        <v>high</v>
      </c>
      <c r="X207">
        <v>10</v>
      </c>
      <c r="Y207">
        <v>9</v>
      </c>
      <c r="Z207">
        <v>9</v>
      </c>
      <c r="AA207">
        <f t="shared" si="16"/>
        <v>1</v>
      </c>
      <c r="AB207">
        <f t="shared" si="17"/>
        <v>0</v>
      </c>
      <c r="AC207">
        <f t="shared" si="18"/>
        <v>1</v>
      </c>
      <c r="AD207" s="1">
        <f t="shared" si="19"/>
        <v>9.3333333333333339</v>
      </c>
    </row>
    <row r="208" spans="1:30" x14ac:dyDescent="0.35">
      <c r="A208" t="s">
        <v>34</v>
      </c>
      <c r="B208">
        <v>16</v>
      </c>
      <c r="C208" t="s">
        <v>35</v>
      </c>
      <c r="D208" t="s">
        <v>36</v>
      </c>
      <c r="E208" t="s">
        <v>37</v>
      </c>
      <c r="F208" t="s">
        <v>48</v>
      </c>
      <c r="G208" t="s">
        <v>45</v>
      </c>
      <c r="H208">
        <v>2</v>
      </c>
      <c r="I208">
        <v>3</v>
      </c>
      <c r="J208" t="s">
        <v>43</v>
      </c>
      <c r="K208" t="s">
        <v>42</v>
      </c>
      <c r="L208" t="s">
        <v>42</v>
      </c>
      <c r="M208" t="s">
        <v>43</v>
      </c>
      <c r="N208" t="s">
        <v>43</v>
      </c>
      <c r="O208">
        <v>2</v>
      </c>
      <c r="P208">
        <v>3</v>
      </c>
      <c r="Q208">
        <v>3</v>
      </c>
      <c r="R208">
        <v>2</v>
      </c>
      <c r="S208">
        <v>2</v>
      </c>
      <c r="T208">
        <f t="shared" si="15"/>
        <v>4</v>
      </c>
      <c r="U208" t="str" cm="1">
        <f t="array" ref="U208">_xlfn.IFS(T208&lt;3, "low", AND(T208&gt;=3, T208&lt;5), "med", T208&gt;=5, "high")</f>
        <v>med</v>
      </c>
      <c r="V208">
        <v>5</v>
      </c>
      <c r="W208" t="str" cm="1">
        <f t="array" ref="W208">_xlfn.IFS(V208&lt;5, "low", AND(V208&gt;=5, V208&lt;10), "med", V208&gt;=10, "high")</f>
        <v>med</v>
      </c>
      <c r="X208">
        <v>7</v>
      </c>
      <c r="Y208">
        <v>7</v>
      </c>
      <c r="Z208">
        <v>7</v>
      </c>
      <c r="AA208">
        <f t="shared" si="16"/>
        <v>0</v>
      </c>
      <c r="AB208">
        <f t="shared" si="17"/>
        <v>0</v>
      </c>
      <c r="AC208">
        <f t="shared" si="18"/>
        <v>0</v>
      </c>
      <c r="AD208" s="1">
        <f t="shared" si="19"/>
        <v>7</v>
      </c>
    </row>
    <row r="209" spans="1:30" x14ac:dyDescent="0.35">
      <c r="A209" t="s">
        <v>34</v>
      </c>
      <c r="B209">
        <v>16</v>
      </c>
      <c r="C209" t="s">
        <v>35</v>
      </c>
      <c r="D209" t="s">
        <v>36</v>
      </c>
      <c r="E209" t="s">
        <v>44</v>
      </c>
      <c r="F209" t="s">
        <v>39</v>
      </c>
      <c r="G209" t="s">
        <v>45</v>
      </c>
      <c r="H209">
        <v>2</v>
      </c>
      <c r="I209">
        <v>0</v>
      </c>
      <c r="J209" t="s">
        <v>43</v>
      </c>
      <c r="K209" t="s">
        <v>43</v>
      </c>
      <c r="L209" t="s">
        <v>42</v>
      </c>
      <c r="M209" t="s">
        <v>42</v>
      </c>
      <c r="N209" t="s">
        <v>42</v>
      </c>
      <c r="O209">
        <v>1</v>
      </c>
      <c r="P209">
        <v>3</v>
      </c>
      <c r="Q209">
        <v>2</v>
      </c>
      <c r="R209">
        <v>1</v>
      </c>
      <c r="S209">
        <v>1</v>
      </c>
      <c r="T209">
        <f t="shared" si="15"/>
        <v>2</v>
      </c>
      <c r="U209" t="str" cm="1">
        <f t="array" ref="U209">_xlfn.IFS(T209&lt;3, "low", AND(T209&gt;=3, T209&lt;5), "med", T209&gt;=5, "high")</f>
        <v>low</v>
      </c>
      <c r="V209">
        <v>10</v>
      </c>
      <c r="W209" t="str" cm="1">
        <f t="array" ref="W209">_xlfn.IFS(V209&lt;5, "low", AND(V209&gt;=5, V209&lt;10), "med", V209&gt;=10, "high")</f>
        <v>high</v>
      </c>
      <c r="X209">
        <v>11</v>
      </c>
      <c r="Y209">
        <v>12</v>
      </c>
      <c r="Z209">
        <v>13</v>
      </c>
      <c r="AA209">
        <f t="shared" si="16"/>
        <v>0</v>
      </c>
      <c r="AB209">
        <f t="shared" si="17"/>
        <v>0</v>
      </c>
      <c r="AC209">
        <f t="shared" si="18"/>
        <v>0</v>
      </c>
      <c r="AD209" s="1">
        <f t="shared" si="19"/>
        <v>12</v>
      </c>
    </row>
    <row r="210" spans="1:30" x14ac:dyDescent="0.35">
      <c r="A210" t="s">
        <v>34</v>
      </c>
      <c r="B210">
        <v>16</v>
      </c>
      <c r="C210" t="s">
        <v>35</v>
      </c>
      <c r="D210" t="s">
        <v>36</v>
      </c>
      <c r="E210" t="s">
        <v>44</v>
      </c>
      <c r="F210" t="s">
        <v>38</v>
      </c>
      <c r="G210" t="s">
        <v>45</v>
      </c>
      <c r="H210">
        <v>1</v>
      </c>
      <c r="I210">
        <v>0</v>
      </c>
      <c r="J210" t="s">
        <v>43</v>
      </c>
      <c r="K210" t="s">
        <v>42</v>
      </c>
      <c r="L210" t="s">
        <v>42</v>
      </c>
      <c r="M210" t="s">
        <v>43</v>
      </c>
      <c r="N210" t="s">
        <v>43</v>
      </c>
      <c r="O210">
        <v>4</v>
      </c>
      <c r="P210">
        <v>3</v>
      </c>
      <c r="Q210">
        <v>2</v>
      </c>
      <c r="R210">
        <v>1</v>
      </c>
      <c r="S210">
        <v>4</v>
      </c>
      <c r="T210">
        <f t="shared" si="15"/>
        <v>5</v>
      </c>
      <c r="U210" t="str" cm="1">
        <f t="array" ref="U210">_xlfn.IFS(T210&lt;3, "low", AND(T210&gt;=3, T210&lt;5), "med", T210&gt;=5, "high")</f>
        <v>high</v>
      </c>
      <c r="V210">
        <v>6</v>
      </c>
      <c r="W210" t="str" cm="1">
        <f t="array" ref="W210">_xlfn.IFS(V210&lt;5, "low", AND(V210&gt;=5, V210&lt;10), "med", V210&gt;=10, "high")</f>
        <v>med</v>
      </c>
      <c r="X210">
        <v>9</v>
      </c>
      <c r="Y210">
        <v>9</v>
      </c>
      <c r="Z210">
        <v>10</v>
      </c>
      <c r="AA210">
        <f t="shared" si="16"/>
        <v>0</v>
      </c>
      <c r="AB210">
        <f t="shared" si="17"/>
        <v>0</v>
      </c>
      <c r="AC210">
        <f t="shared" si="18"/>
        <v>0</v>
      </c>
      <c r="AD210" s="1">
        <f t="shared" si="19"/>
        <v>9.3333333333333339</v>
      </c>
    </row>
    <row r="211" spans="1:30" x14ac:dyDescent="0.35">
      <c r="A211" t="s">
        <v>34</v>
      </c>
      <c r="B211">
        <v>17</v>
      </c>
      <c r="C211" t="s">
        <v>52</v>
      </c>
      <c r="D211" t="s">
        <v>36</v>
      </c>
      <c r="E211" t="s">
        <v>44</v>
      </c>
      <c r="F211" t="s">
        <v>39</v>
      </c>
      <c r="G211" t="s">
        <v>45</v>
      </c>
      <c r="H211">
        <v>3</v>
      </c>
      <c r="I211">
        <v>0</v>
      </c>
      <c r="J211" t="s">
        <v>43</v>
      </c>
      <c r="K211" t="s">
        <v>42</v>
      </c>
      <c r="L211" t="s">
        <v>42</v>
      </c>
      <c r="M211" t="s">
        <v>42</v>
      </c>
      <c r="N211" t="s">
        <v>42</v>
      </c>
      <c r="O211">
        <v>4</v>
      </c>
      <c r="P211">
        <v>4</v>
      </c>
      <c r="Q211">
        <v>2</v>
      </c>
      <c r="R211">
        <v>1</v>
      </c>
      <c r="S211">
        <v>1</v>
      </c>
      <c r="T211">
        <f t="shared" si="15"/>
        <v>2</v>
      </c>
      <c r="U211" t="str" cm="1">
        <f t="array" ref="U211">_xlfn.IFS(T211&lt;3, "low", AND(T211&gt;=3, T211&lt;5), "med", T211&gt;=5, "high")</f>
        <v>low</v>
      </c>
      <c r="V211">
        <v>6</v>
      </c>
      <c r="W211" t="str" cm="1">
        <f t="array" ref="W211">_xlfn.IFS(V211&lt;5, "low", AND(V211&gt;=5, V211&lt;10), "med", V211&gt;=10, "high")</f>
        <v>med</v>
      </c>
      <c r="X211">
        <v>7</v>
      </c>
      <c r="Y211">
        <v>7</v>
      </c>
      <c r="Z211">
        <v>7</v>
      </c>
      <c r="AA211">
        <f t="shared" si="16"/>
        <v>0</v>
      </c>
      <c r="AB211">
        <f t="shared" si="17"/>
        <v>0</v>
      </c>
      <c r="AC211">
        <f t="shared" si="18"/>
        <v>0</v>
      </c>
      <c r="AD211" s="1">
        <f t="shared" si="19"/>
        <v>7</v>
      </c>
    </row>
    <row r="212" spans="1:30" x14ac:dyDescent="0.35">
      <c r="A212" t="s">
        <v>34</v>
      </c>
      <c r="B212">
        <v>19</v>
      </c>
      <c r="C212" t="s">
        <v>35</v>
      </c>
      <c r="D212" t="s">
        <v>36</v>
      </c>
      <c r="E212" t="s">
        <v>44</v>
      </c>
      <c r="F212" t="s">
        <v>45</v>
      </c>
      <c r="G212" t="s">
        <v>45</v>
      </c>
      <c r="H212">
        <v>4</v>
      </c>
      <c r="I212">
        <v>0</v>
      </c>
      <c r="J212" t="s">
        <v>43</v>
      </c>
      <c r="K212" t="s">
        <v>42</v>
      </c>
      <c r="L212" t="s">
        <v>42</v>
      </c>
      <c r="M212" t="s">
        <v>42</v>
      </c>
      <c r="N212" t="s">
        <v>43</v>
      </c>
      <c r="O212">
        <v>4</v>
      </c>
      <c r="P212">
        <v>3</v>
      </c>
      <c r="Q212">
        <v>3</v>
      </c>
      <c r="R212">
        <v>1</v>
      </c>
      <c r="S212">
        <v>2</v>
      </c>
      <c r="T212">
        <f t="shared" si="15"/>
        <v>3</v>
      </c>
      <c r="U212" t="str" cm="1">
        <f t="array" ref="U212">_xlfn.IFS(T212&lt;3, "low", AND(T212&gt;=3, T212&lt;5), "med", T212&gt;=5, "high")</f>
        <v>med</v>
      </c>
      <c r="V212">
        <v>10</v>
      </c>
      <c r="W212" t="str" cm="1">
        <f t="array" ref="W212">_xlfn.IFS(V212&lt;5, "low", AND(V212&gt;=5, V212&lt;10), "med", V212&gt;=10, "high")</f>
        <v>high</v>
      </c>
      <c r="X212">
        <v>8</v>
      </c>
      <c r="Y212">
        <v>8</v>
      </c>
      <c r="Z212">
        <v>8</v>
      </c>
      <c r="AA212">
        <f t="shared" si="16"/>
        <v>0</v>
      </c>
      <c r="AB212">
        <f t="shared" si="17"/>
        <v>0</v>
      </c>
      <c r="AC212">
        <f t="shared" si="18"/>
        <v>0</v>
      </c>
      <c r="AD212" s="1">
        <f t="shared" si="19"/>
        <v>8</v>
      </c>
    </row>
    <row r="213" spans="1:30" x14ac:dyDescent="0.35">
      <c r="A213" t="s">
        <v>50</v>
      </c>
      <c r="B213">
        <v>17</v>
      </c>
      <c r="C213" t="s">
        <v>35</v>
      </c>
      <c r="D213" t="s">
        <v>47</v>
      </c>
      <c r="E213" t="s">
        <v>44</v>
      </c>
      <c r="F213" t="s">
        <v>48</v>
      </c>
      <c r="G213" t="s">
        <v>45</v>
      </c>
      <c r="H213">
        <v>2</v>
      </c>
      <c r="I213">
        <v>0</v>
      </c>
      <c r="J213" t="s">
        <v>43</v>
      </c>
      <c r="K213" t="s">
        <v>42</v>
      </c>
      <c r="L213" t="s">
        <v>42</v>
      </c>
      <c r="M213" t="s">
        <v>43</v>
      </c>
      <c r="N213" t="s">
        <v>42</v>
      </c>
      <c r="O213">
        <v>5</v>
      </c>
      <c r="P213">
        <v>3</v>
      </c>
      <c r="Q213">
        <v>5</v>
      </c>
      <c r="R213">
        <v>4</v>
      </c>
      <c r="S213">
        <v>5</v>
      </c>
      <c r="T213">
        <f t="shared" si="15"/>
        <v>9</v>
      </c>
      <c r="U213" t="str" cm="1">
        <f t="array" ref="U213">_xlfn.IFS(T213&lt;3, "low", AND(T213&gt;=3, T213&lt;5), "med", T213&gt;=5, "high")</f>
        <v>high</v>
      </c>
      <c r="V213">
        <v>13</v>
      </c>
      <c r="W213" t="str" cm="1">
        <f t="array" ref="W213">_xlfn.IFS(V213&lt;5, "low", AND(V213&gt;=5, V213&lt;10), "med", V213&gt;=10, "high")</f>
        <v>high</v>
      </c>
      <c r="X213">
        <v>12</v>
      </c>
      <c r="Y213">
        <v>12</v>
      </c>
      <c r="Z213">
        <v>13</v>
      </c>
      <c r="AA213">
        <f t="shared" si="16"/>
        <v>0</v>
      </c>
      <c r="AB213">
        <f t="shared" si="17"/>
        <v>0</v>
      </c>
      <c r="AC213">
        <f t="shared" si="18"/>
        <v>0</v>
      </c>
      <c r="AD213" s="1">
        <f t="shared" si="19"/>
        <v>12.333333333333334</v>
      </c>
    </row>
    <row r="214" spans="1:30" x14ac:dyDescent="0.35">
      <c r="A214" t="s">
        <v>34</v>
      </c>
      <c r="B214">
        <v>16</v>
      </c>
      <c r="C214" t="s">
        <v>35</v>
      </c>
      <c r="D214" t="s">
        <v>36</v>
      </c>
      <c r="E214" t="s">
        <v>37</v>
      </c>
      <c r="F214" t="s">
        <v>45</v>
      </c>
      <c r="G214" t="s">
        <v>45</v>
      </c>
      <c r="H214">
        <v>2</v>
      </c>
      <c r="I214">
        <v>0</v>
      </c>
      <c r="J214" t="s">
        <v>42</v>
      </c>
      <c r="K214" t="s">
        <v>42</v>
      </c>
      <c r="L214" t="s">
        <v>42</v>
      </c>
      <c r="M214" t="s">
        <v>43</v>
      </c>
      <c r="N214" t="s">
        <v>43</v>
      </c>
      <c r="O214">
        <v>3</v>
      </c>
      <c r="P214">
        <v>3</v>
      </c>
      <c r="Q214">
        <v>4</v>
      </c>
      <c r="R214">
        <v>1</v>
      </c>
      <c r="S214">
        <v>1</v>
      </c>
      <c r="T214">
        <f t="shared" si="15"/>
        <v>2</v>
      </c>
      <c r="U214" t="str" cm="1">
        <f t="array" ref="U214">_xlfn.IFS(T214&lt;3, "low", AND(T214&gt;=3, T214&lt;5), "med", T214&gt;=5, "high")</f>
        <v>low</v>
      </c>
      <c r="V214">
        <v>0</v>
      </c>
      <c r="W214" t="str" cm="1">
        <f t="array" ref="W214">_xlfn.IFS(V214&lt;5, "low", AND(V214&gt;=5, V214&lt;10), "med", V214&gt;=10, "high")</f>
        <v>low</v>
      </c>
      <c r="X214">
        <v>12</v>
      </c>
      <c r="Y214">
        <v>13</v>
      </c>
      <c r="Z214">
        <v>14</v>
      </c>
      <c r="AA214">
        <f t="shared" si="16"/>
        <v>0</v>
      </c>
      <c r="AB214">
        <f t="shared" si="17"/>
        <v>0</v>
      </c>
      <c r="AC214">
        <f t="shared" si="18"/>
        <v>0</v>
      </c>
      <c r="AD214" s="1">
        <f t="shared" si="19"/>
        <v>13</v>
      </c>
    </row>
    <row r="215" spans="1:30" x14ac:dyDescent="0.35">
      <c r="A215" t="s">
        <v>50</v>
      </c>
      <c r="B215">
        <v>18</v>
      </c>
      <c r="C215" t="s">
        <v>35</v>
      </c>
      <c r="D215" t="s">
        <v>36</v>
      </c>
      <c r="E215" t="s">
        <v>44</v>
      </c>
      <c r="F215" t="s">
        <v>48</v>
      </c>
      <c r="G215" t="s">
        <v>45</v>
      </c>
      <c r="H215">
        <v>2</v>
      </c>
      <c r="I215">
        <v>1</v>
      </c>
      <c r="J215" t="s">
        <v>43</v>
      </c>
      <c r="K215" t="s">
        <v>42</v>
      </c>
      <c r="L215" t="s">
        <v>42</v>
      </c>
      <c r="M215" t="s">
        <v>42</v>
      </c>
      <c r="N215" t="s">
        <v>43</v>
      </c>
      <c r="O215">
        <v>4</v>
      </c>
      <c r="P215">
        <v>4</v>
      </c>
      <c r="Q215">
        <v>4</v>
      </c>
      <c r="R215">
        <v>2</v>
      </c>
      <c r="S215">
        <v>4</v>
      </c>
      <c r="T215">
        <f t="shared" si="15"/>
        <v>6</v>
      </c>
      <c r="U215" t="str" cm="1">
        <f t="array" ref="U215">_xlfn.IFS(T215&lt;3, "low", AND(T215&gt;=3, T215&lt;5), "med", T215&gt;=5, "high")</f>
        <v>high</v>
      </c>
      <c r="V215">
        <v>15</v>
      </c>
      <c r="W215" t="str" cm="1">
        <f t="array" ref="W215">_xlfn.IFS(V215&lt;5, "low", AND(V215&gt;=5, V215&lt;10), "med", V215&gt;=10, "high")</f>
        <v>high</v>
      </c>
      <c r="X215">
        <v>6</v>
      </c>
      <c r="Y215">
        <v>7</v>
      </c>
      <c r="Z215">
        <v>8</v>
      </c>
      <c r="AA215">
        <f t="shared" si="16"/>
        <v>0</v>
      </c>
      <c r="AB215">
        <f t="shared" si="17"/>
        <v>0</v>
      </c>
      <c r="AC215">
        <f t="shared" si="18"/>
        <v>0</v>
      </c>
      <c r="AD215" s="1">
        <f t="shared" si="19"/>
        <v>7</v>
      </c>
    </row>
    <row r="216" spans="1:30" x14ac:dyDescent="0.35">
      <c r="A216" t="s">
        <v>34</v>
      </c>
      <c r="B216">
        <v>17</v>
      </c>
      <c r="C216" t="s">
        <v>52</v>
      </c>
      <c r="D216" t="s">
        <v>47</v>
      </c>
      <c r="E216" t="s">
        <v>44</v>
      </c>
      <c r="F216" t="s">
        <v>48</v>
      </c>
      <c r="G216" t="s">
        <v>45</v>
      </c>
      <c r="H216">
        <v>1</v>
      </c>
      <c r="I216">
        <v>0</v>
      </c>
      <c r="J216" t="s">
        <v>43</v>
      </c>
      <c r="K216" t="s">
        <v>42</v>
      </c>
      <c r="L216" t="s">
        <v>42</v>
      </c>
      <c r="M216" t="s">
        <v>43</v>
      </c>
      <c r="N216" t="s">
        <v>43</v>
      </c>
      <c r="O216">
        <v>5</v>
      </c>
      <c r="P216">
        <v>2</v>
      </c>
      <c r="Q216">
        <v>1</v>
      </c>
      <c r="R216">
        <v>1</v>
      </c>
      <c r="S216">
        <v>2</v>
      </c>
      <c r="T216">
        <f t="shared" si="15"/>
        <v>3</v>
      </c>
      <c r="U216" t="str" cm="1">
        <f t="array" ref="U216">_xlfn.IFS(T216&lt;3, "low", AND(T216&gt;=3, T216&lt;5), "med", T216&gt;=5, "high")</f>
        <v>med</v>
      </c>
      <c r="V216">
        <v>12</v>
      </c>
      <c r="W216" t="str" cm="1">
        <f t="array" ref="W216">_xlfn.IFS(V216&lt;5, "low", AND(V216&gt;=5, V216&lt;10), "med", V216&gt;=10, "high")</f>
        <v>high</v>
      </c>
      <c r="X216">
        <v>8</v>
      </c>
      <c r="Y216">
        <v>10</v>
      </c>
      <c r="Z216">
        <v>10</v>
      </c>
      <c r="AA216">
        <f t="shared" si="16"/>
        <v>0</v>
      </c>
      <c r="AB216">
        <f t="shared" si="17"/>
        <v>0</v>
      </c>
      <c r="AC216">
        <f t="shared" si="18"/>
        <v>0</v>
      </c>
      <c r="AD216" s="1">
        <f t="shared" si="19"/>
        <v>9.3333333333333339</v>
      </c>
    </row>
    <row r="217" spans="1:30" x14ac:dyDescent="0.35">
      <c r="A217" t="s">
        <v>34</v>
      </c>
      <c r="B217">
        <v>17</v>
      </c>
      <c r="C217" t="s">
        <v>35</v>
      </c>
      <c r="D217" t="s">
        <v>47</v>
      </c>
      <c r="E217" t="s">
        <v>44</v>
      </c>
      <c r="F217" t="s">
        <v>45</v>
      </c>
      <c r="G217" t="s">
        <v>45</v>
      </c>
      <c r="H217">
        <v>2</v>
      </c>
      <c r="I217">
        <v>0</v>
      </c>
      <c r="J217" t="s">
        <v>43</v>
      </c>
      <c r="K217" t="s">
        <v>43</v>
      </c>
      <c r="L217" t="s">
        <v>42</v>
      </c>
      <c r="M217" t="s">
        <v>43</v>
      </c>
      <c r="N217" t="s">
        <v>43</v>
      </c>
      <c r="O217">
        <v>4</v>
      </c>
      <c r="P217">
        <v>4</v>
      </c>
      <c r="Q217">
        <v>4</v>
      </c>
      <c r="R217">
        <v>1</v>
      </c>
      <c r="S217">
        <v>3</v>
      </c>
      <c r="T217">
        <f t="shared" si="15"/>
        <v>4</v>
      </c>
      <c r="U217" t="str" cm="1">
        <f t="array" ref="U217">_xlfn.IFS(T217&lt;3, "low", AND(T217&gt;=3, T217&lt;5), "med", T217&gt;=5, "high")</f>
        <v>med</v>
      </c>
      <c r="V217">
        <v>2</v>
      </c>
      <c r="W217" t="str" cm="1">
        <f t="array" ref="W217">_xlfn.IFS(V217&lt;5, "low", AND(V217&gt;=5, V217&lt;10), "med", V217&gt;=10, "high")</f>
        <v>low</v>
      </c>
      <c r="X217">
        <v>14</v>
      </c>
      <c r="Y217">
        <v>15</v>
      </c>
      <c r="Z217">
        <v>15</v>
      </c>
      <c r="AA217">
        <f t="shared" si="16"/>
        <v>0</v>
      </c>
      <c r="AB217">
        <f t="shared" si="17"/>
        <v>0</v>
      </c>
      <c r="AC217">
        <f t="shared" si="18"/>
        <v>0</v>
      </c>
      <c r="AD217" s="1">
        <f t="shared" si="19"/>
        <v>14.666666666666666</v>
      </c>
    </row>
    <row r="218" spans="1:30" x14ac:dyDescent="0.35">
      <c r="A218" t="s">
        <v>34</v>
      </c>
      <c r="B218">
        <v>17</v>
      </c>
      <c r="C218" t="s">
        <v>35</v>
      </c>
      <c r="D218" t="s">
        <v>36</v>
      </c>
      <c r="E218" t="s">
        <v>44</v>
      </c>
      <c r="F218" t="s">
        <v>45</v>
      </c>
      <c r="G218" t="s">
        <v>45</v>
      </c>
      <c r="H218">
        <v>2</v>
      </c>
      <c r="I218">
        <v>2</v>
      </c>
      <c r="J218" t="s">
        <v>43</v>
      </c>
      <c r="K218" t="s">
        <v>43</v>
      </c>
      <c r="L218" t="s">
        <v>42</v>
      </c>
      <c r="M218" t="s">
        <v>43</v>
      </c>
      <c r="N218" t="s">
        <v>42</v>
      </c>
      <c r="O218">
        <v>3</v>
      </c>
      <c r="P218">
        <v>4</v>
      </c>
      <c r="Q218">
        <v>5</v>
      </c>
      <c r="R218">
        <v>2</v>
      </c>
      <c r="S218">
        <v>4</v>
      </c>
      <c r="T218">
        <f t="shared" si="15"/>
        <v>6</v>
      </c>
      <c r="U218" t="str" cm="1">
        <f t="array" ref="U218">_xlfn.IFS(T218&lt;3, "low", AND(T218&gt;=3, T218&lt;5), "med", T218&gt;=5, "high")</f>
        <v>high</v>
      </c>
      <c r="V218">
        <v>22</v>
      </c>
      <c r="W218" t="str" cm="1">
        <f t="array" ref="W218">_xlfn.IFS(V218&lt;5, "low", AND(V218&gt;=5, V218&lt;10), "med", V218&gt;=10, "high")</f>
        <v>high</v>
      </c>
      <c r="X218">
        <v>6</v>
      </c>
      <c r="Y218">
        <v>6</v>
      </c>
      <c r="Z218">
        <v>4</v>
      </c>
      <c r="AA218">
        <f t="shared" si="16"/>
        <v>0</v>
      </c>
      <c r="AB218">
        <f t="shared" si="17"/>
        <v>1</v>
      </c>
      <c r="AC218">
        <f t="shared" si="18"/>
        <v>1</v>
      </c>
      <c r="AD218" s="1">
        <f t="shared" si="19"/>
        <v>5.333333333333333</v>
      </c>
    </row>
    <row r="219" spans="1:30" x14ac:dyDescent="0.35">
      <c r="A219" t="s">
        <v>50</v>
      </c>
      <c r="B219">
        <v>18</v>
      </c>
      <c r="C219" t="s">
        <v>35</v>
      </c>
      <c r="D219" t="s">
        <v>47</v>
      </c>
      <c r="E219" t="s">
        <v>44</v>
      </c>
      <c r="F219" t="s">
        <v>48</v>
      </c>
      <c r="G219" t="s">
        <v>28</v>
      </c>
      <c r="H219">
        <v>2</v>
      </c>
      <c r="I219">
        <v>1</v>
      </c>
      <c r="J219" t="s">
        <v>43</v>
      </c>
      <c r="K219" t="s">
        <v>42</v>
      </c>
      <c r="L219" t="s">
        <v>42</v>
      </c>
      <c r="M219" t="s">
        <v>43</v>
      </c>
      <c r="N219" t="s">
        <v>43</v>
      </c>
      <c r="O219">
        <v>3</v>
      </c>
      <c r="P219">
        <v>2</v>
      </c>
      <c r="Q219">
        <v>4</v>
      </c>
      <c r="R219">
        <v>2</v>
      </c>
      <c r="S219">
        <v>4</v>
      </c>
      <c r="T219">
        <f t="shared" si="15"/>
        <v>6</v>
      </c>
      <c r="U219" t="str" cm="1">
        <f t="array" ref="U219">_xlfn.IFS(T219&lt;3, "low", AND(T219&gt;=3, T219&lt;5), "med", T219&gt;=5, "high")</f>
        <v>high</v>
      </c>
      <c r="V219">
        <v>13</v>
      </c>
      <c r="W219" t="str" cm="1">
        <f t="array" ref="W219">_xlfn.IFS(V219&lt;5, "low", AND(V219&gt;=5, V219&lt;10), "med", V219&gt;=10, "high")</f>
        <v>high</v>
      </c>
      <c r="X219">
        <v>6</v>
      </c>
      <c r="Y219">
        <v>6</v>
      </c>
      <c r="Z219">
        <v>8</v>
      </c>
      <c r="AA219">
        <f t="shared" si="16"/>
        <v>0</v>
      </c>
      <c r="AB219">
        <f t="shared" si="17"/>
        <v>0</v>
      </c>
      <c r="AC219">
        <f t="shared" si="18"/>
        <v>0</v>
      </c>
      <c r="AD219" s="1">
        <f t="shared" si="19"/>
        <v>6.666666666666667</v>
      </c>
    </row>
    <row r="220" spans="1:30" x14ac:dyDescent="0.35">
      <c r="A220" t="s">
        <v>34</v>
      </c>
      <c r="B220">
        <v>17</v>
      </c>
      <c r="C220" t="s">
        <v>35</v>
      </c>
      <c r="D220" t="s">
        <v>36</v>
      </c>
      <c r="E220" t="s">
        <v>44</v>
      </c>
      <c r="F220" t="s">
        <v>38</v>
      </c>
      <c r="G220" t="s">
        <v>45</v>
      </c>
      <c r="H220">
        <v>1</v>
      </c>
      <c r="I220">
        <v>0</v>
      </c>
      <c r="J220" t="s">
        <v>43</v>
      </c>
      <c r="K220" t="s">
        <v>42</v>
      </c>
      <c r="L220" t="s">
        <v>42</v>
      </c>
      <c r="M220" t="s">
        <v>43</v>
      </c>
      <c r="N220" t="s">
        <v>43</v>
      </c>
      <c r="O220">
        <v>3</v>
      </c>
      <c r="P220">
        <v>3</v>
      </c>
      <c r="Q220">
        <v>3</v>
      </c>
      <c r="R220">
        <v>1</v>
      </c>
      <c r="S220">
        <v>4</v>
      </c>
      <c r="T220">
        <f t="shared" si="15"/>
        <v>5</v>
      </c>
      <c r="U220" t="str" cm="1">
        <f t="array" ref="U220">_xlfn.IFS(T220&lt;3, "low", AND(T220&gt;=3, T220&lt;5), "med", T220&gt;=5, "high")</f>
        <v>high</v>
      </c>
      <c r="V220">
        <v>3</v>
      </c>
      <c r="W220" t="str" cm="1">
        <f t="array" ref="W220">_xlfn.IFS(V220&lt;5, "low", AND(V220&gt;=5, V220&lt;10), "med", V220&gt;=10, "high")</f>
        <v>low</v>
      </c>
      <c r="X220">
        <v>7</v>
      </c>
      <c r="Y220">
        <v>7</v>
      </c>
      <c r="Z220">
        <v>8</v>
      </c>
      <c r="AA220">
        <f t="shared" si="16"/>
        <v>0</v>
      </c>
      <c r="AB220">
        <f t="shared" si="17"/>
        <v>0</v>
      </c>
      <c r="AC220">
        <f t="shared" si="18"/>
        <v>0</v>
      </c>
      <c r="AD220" s="1">
        <f t="shared" si="19"/>
        <v>7.333333333333333</v>
      </c>
    </row>
    <row r="221" spans="1:30" x14ac:dyDescent="0.35">
      <c r="A221" t="s">
        <v>34</v>
      </c>
      <c r="B221">
        <v>17</v>
      </c>
      <c r="C221" t="s">
        <v>35</v>
      </c>
      <c r="D221" t="s">
        <v>36</v>
      </c>
      <c r="E221" t="s">
        <v>44</v>
      </c>
      <c r="F221" t="s">
        <v>38</v>
      </c>
      <c r="G221" t="s">
        <v>38</v>
      </c>
      <c r="H221">
        <v>3</v>
      </c>
      <c r="I221">
        <v>0</v>
      </c>
      <c r="J221" t="s">
        <v>43</v>
      </c>
      <c r="K221" t="s">
        <v>42</v>
      </c>
      <c r="L221" t="s">
        <v>42</v>
      </c>
      <c r="M221" t="s">
        <v>42</v>
      </c>
      <c r="N221" t="s">
        <v>43</v>
      </c>
      <c r="O221">
        <v>4</v>
      </c>
      <c r="P221">
        <v>3</v>
      </c>
      <c r="Q221">
        <v>3</v>
      </c>
      <c r="R221">
        <v>1</v>
      </c>
      <c r="S221">
        <v>1</v>
      </c>
      <c r="T221">
        <f t="shared" si="15"/>
        <v>2</v>
      </c>
      <c r="U221" t="str" cm="1">
        <f t="array" ref="U221">_xlfn.IFS(T221&lt;3, "low", AND(T221&gt;=3, T221&lt;5), "med", T221&gt;=5, "high")</f>
        <v>low</v>
      </c>
      <c r="V221">
        <v>4</v>
      </c>
      <c r="W221" t="str" cm="1">
        <f t="array" ref="W221">_xlfn.IFS(V221&lt;5, "low", AND(V221&gt;=5, V221&lt;10), "med", V221&gt;=10, "high")</f>
        <v>low</v>
      </c>
      <c r="X221">
        <v>9</v>
      </c>
      <c r="Y221">
        <v>10</v>
      </c>
      <c r="Z221">
        <v>10</v>
      </c>
      <c r="AA221">
        <f t="shared" si="16"/>
        <v>0</v>
      </c>
      <c r="AB221">
        <f t="shared" si="17"/>
        <v>0</v>
      </c>
      <c r="AC221">
        <f t="shared" si="18"/>
        <v>0</v>
      </c>
      <c r="AD221" s="1">
        <f t="shared" si="19"/>
        <v>9.6666666666666661</v>
      </c>
    </row>
    <row r="222" spans="1:30" x14ac:dyDescent="0.35">
      <c r="A222" t="s">
        <v>34</v>
      </c>
      <c r="B222">
        <v>17</v>
      </c>
      <c r="C222" t="s">
        <v>52</v>
      </c>
      <c r="D222" t="s">
        <v>36</v>
      </c>
      <c r="E222" t="s">
        <v>44</v>
      </c>
      <c r="F222" t="s">
        <v>38</v>
      </c>
      <c r="G222" t="s">
        <v>48</v>
      </c>
      <c r="H222">
        <v>2</v>
      </c>
      <c r="I222">
        <v>0</v>
      </c>
      <c r="J222" t="s">
        <v>43</v>
      </c>
      <c r="K222" t="s">
        <v>42</v>
      </c>
      <c r="L222" t="s">
        <v>43</v>
      </c>
      <c r="M222" t="s">
        <v>42</v>
      </c>
      <c r="N222" t="s">
        <v>43</v>
      </c>
      <c r="O222">
        <v>4</v>
      </c>
      <c r="P222">
        <v>2</v>
      </c>
      <c r="Q222">
        <v>5</v>
      </c>
      <c r="R222">
        <v>1</v>
      </c>
      <c r="S222">
        <v>2</v>
      </c>
      <c r="T222">
        <f t="shared" si="15"/>
        <v>3</v>
      </c>
      <c r="U222" t="str" cm="1">
        <f t="array" ref="U222">_xlfn.IFS(T222&lt;3, "low", AND(T222&gt;=3, T222&lt;5), "med", T222&gt;=5, "high")</f>
        <v>med</v>
      </c>
      <c r="V222">
        <v>2</v>
      </c>
      <c r="W222" t="str" cm="1">
        <f t="array" ref="W222">_xlfn.IFS(V222&lt;5, "low", AND(V222&gt;=5, V222&lt;10), "med", V222&gt;=10, "high")</f>
        <v>low</v>
      </c>
      <c r="X222">
        <v>6</v>
      </c>
      <c r="Y222">
        <v>6</v>
      </c>
      <c r="Z222">
        <v>6</v>
      </c>
      <c r="AA222">
        <f t="shared" si="16"/>
        <v>0</v>
      </c>
      <c r="AB222">
        <f t="shared" si="17"/>
        <v>0</v>
      </c>
      <c r="AC222">
        <f t="shared" si="18"/>
        <v>0</v>
      </c>
      <c r="AD222" s="1">
        <f t="shared" si="19"/>
        <v>6</v>
      </c>
    </row>
    <row r="223" spans="1:30" x14ac:dyDescent="0.35">
      <c r="A223" t="s">
        <v>34</v>
      </c>
      <c r="B223">
        <v>17</v>
      </c>
      <c r="C223" t="s">
        <v>35</v>
      </c>
      <c r="D223" t="s">
        <v>36</v>
      </c>
      <c r="E223" t="s">
        <v>44</v>
      </c>
      <c r="F223" t="s">
        <v>38</v>
      </c>
      <c r="G223" t="s">
        <v>45</v>
      </c>
      <c r="H223">
        <v>3</v>
      </c>
      <c r="I223">
        <v>1</v>
      </c>
      <c r="J223" t="s">
        <v>43</v>
      </c>
      <c r="K223" t="s">
        <v>42</v>
      </c>
      <c r="L223" t="s">
        <v>43</v>
      </c>
      <c r="M223" t="s">
        <v>42</v>
      </c>
      <c r="N223" t="s">
        <v>42</v>
      </c>
      <c r="O223">
        <v>4</v>
      </c>
      <c r="P223">
        <v>3</v>
      </c>
      <c r="Q223">
        <v>4</v>
      </c>
      <c r="R223">
        <v>1</v>
      </c>
      <c r="S223">
        <v>1</v>
      </c>
      <c r="T223">
        <f t="shared" si="15"/>
        <v>2</v>
      </c>
      <c r="U223" t="str" cm="1">
        <f t="array" ref="U223">_xlfn.IFS(T223&lt;3, "low", AND(T223&gt;=3, T223&lt;5), "med", T223&gt;=5, "high")</f>
        <v>low</v>
      </c>
      <c r="V223">
        <v>0</v>
      </c>
      <c r="W223" t="str" cm="1">
        <f t="array" ref="W223">_xlfn.IFS(V223&lt;5, "low", AND(V223&gt;=5, V223&lt;10), "med", V223&gt;=10, "high")</f>
        <v>low</v>
      </c>
      <c r="X223">
        <v>6</v>
      </c>
      <c r="Y223">
        <v>5</v>
      </c>
      <c r="Z223">
        <v>0</v>
      </c>
      <c r="AA223">
        <f t="shared" si="16"/>
        <v>1</v>
      </c>
      <c r="AB223">
        <f t="shared" si="17"/>
        <v>1</v>
      </c>
      <c r="AC223">
        <f t="shared" si="18"/>
        <v>2</v>
      </c>
      <c r="AD223" s="1">
        <f t="shared" si="19"/>
        <v>3.6666666666666665</v>
      </c>
    </row>
    <row r="224" spans="1:30" x14ac:dyDescent="0.35">
      <c r="A224" t="s">
        <v>34</v>
      </c>
      <c r="B224">
        <v>16</v>
      </c>
      <c r="C224" t="s">
        <v>35</v>
      </c>
      <c r="D224" t="s">
        <v>36</v>
      </c>
      <c r="E224" t="s">
        <v>44</v>
      </c>
      <c r="F224" t="s">
        <v>48</v>
      </c>
      <c r="G224" t="s">
        <v>39</v>
      </c>
      <c r="H224">
        <v>2</v>
      </c>
      <c r="I224">
        <v>0</v>
      </c>
      <c r="J224" t="s">
        <v>42</v>
      </c>
      <c r="K224" t="s">
        <v>43</v>
      </c>
      <c r="L224" t="s">
        <v>43</v>
      </c>
      <c r="M224" t="s">
        <v>43</v>
      </c>
      <c r="N224" t="s">
        <v>43</v>
      </c>
      <c r="O224">
        <v>2</v>
      </c>
      <c r="P224">
        <v>3</v>
      </c>
      <c r="Q224">
        <v>1</v>
      </c>
      <c r="R224">
        <v>1</v>
      </c>
      <c r="S224">
        <v>1</v>
      </c>
      <c r="T224">
        <f t="shared" si="15"/>
        <v>2</v>
      </c>
      <c r="U224" t="str" cm="1">
        <f t="array" ref="U224">_xlfn.IFS(T224&lt;3, "low", AND(T224&gt;=3, T224&lt;5), "med", T224&gt;=5, "high")</f>
        <v>low</v>
      </c>
      <c r="V224">
        <v>2</v>
      </c>
      <c r="W224" t="str" cm="1">
        <f t="array" ref="W224">_xlfn.IFS(V224&lt;5, "low", AND(V224&gt;=5, V224&lt;10), "med", V224&gt;=10, "high")</f>
        <v>low</v>
      </c>
      <c r="X224">
        <v>16</v>
      </c>
      <c r="Y224">
        <v>16</v>
      </c>
      <c r="Z224">
        <v>17</v>
      </c>
      <c r="AA224">
        <f t="shared" si="16"/>
        <v>0</v>
      </c>
      <c r="AB224">
        <f t="shared" si="17"/>
        <v>0</v>
      </c>
      <c r="AC224">
        <f t="shared" si="18"/>
        <v>0</v>
      </c>
      <c r="AD224" s="1">
        <f t="shared" si="19"/>
        <v>16.333333333333332</v>
      </c>
    </row>
    <row r="225" spans="1:30" x14ac:dyDescent="0.35">
      <c r="A225" t="s">
        <v>50</v>
      </c>
      <c r="B225">
        <v>18</v>
      </c>
      <c r="C225" t="s">
        <v>35</v>
      </c>
      <c r="D225" t="s">
        <v>36</v>
      </c>
      <c r="E225" t="s">
        <v>44</v>
      </c>
      <c r="F225" t="s">
        <v>45</v>
      </c>
      <c r="G225" t="s">
        <v>45</v>
      </c>
      <c r="H225">
        <v>2</v>
      </c>
      <c r="I225">
        <v>0</v>
      </c>
      <c r="J225" t="s">
        <v>43</v>
      </c>
      <c r="K225" t="s">
        <v>42</v>
      </c>
      <c r="L225" t="s">
        <v>42</v>
      </c>
      <c r="M225" t="s">
        <v>43</v>
      </c>
      <c r="N225" t="s">
        <v>43</v>
      </c>
      <c r="O225">
        <v>3</v>
      </c>
      <c r="P225">
        <v>3</v>
      </c>
      <c r="Q225">
        <v>3</v>
      </c>
      <c r="R225">
        <v>5</v>
      </c>
      <c r="S225">
        <v>5</v>
      </c>
      <c r="T225">
        <f t="shared" si="15"/>
        <v>10</v>
      </c>
      <c r="U225" t="str" cm="1">
        <f t="array" ref="U225">_xlfn.IFS(T225&lt;3, "low", AND(T225&gt;=3, T225&lt;5), "med", T225&gt;=5, "high")</f>
        <v>high</v>
      </c>
      <c r="V225">
        <v>0</v>
      </c>
      <c r="W225" t="str" cm="1">
        <f t="array" ref="W225">_xlfn.IFS(V225&lt;5, "low", AND(V225&gt;=5, V225&lt;10), "med", V225&gt;=10, "high")</f>
        <v>low</v>
      </c>
      <c r="X225">
        <v>12</v>
      </c>
      <c r="Y225">
        <v>13</v>
      </c>
      <c r="Z225">
        <v>13</v>
      </c>
      <c r="AA225">
        <f t="shared" si="16"/>
        <v>0</v>
      </c>
      <c r="AB225">
        <f t="shared" si="17"/>
        <v>0</v>
      </c>
      <c r="AC225">
        <f t="shared" si="18"/>
        <v>0</v>
      </c>
      <c r="AD225" s="1">
        <f t="shared" si="19"/>
        <v>12.666666666666666</v>
      </c>
    </row>
    <row r="226" spans="1:30" x14ac:dyDescent="0.35">
      <c r="A226" t="s">
        <v>34</v>
      </c>
      <c r="B226">
        <v>16</v>
      </c>
      <c r="C226" t="s">
        <v>35</v>
      </c>
      <c r="D226" t="s">
        <v>36</v>
      </c>
      <c r="E226" t="s">
        <v>44</v>
      </c>
      <c r="F226" t="s">
        <v>39</v>
      </c>
      <c r="G226" t="s">
        <v>48</v>
      </c>
      <c r="H226">
        <v>3</v>
      </c>
      <c r="I226">
        <v>0</v>
      </c>
      <c r="J226" t="s">
        <v>43</v>
      </c>
      <c r="K226" t="s">
        <v>42</v>
      </c>
      <c r="L226" t="s">
        <v>43</v>
      </c>
      <c r="M226" t="s">
        <v>42</v>
      </c>
      <c r="N226" t="s">
        <v>43</v>
      </c>
      <c r="O226">
        <v>5</v>
      </c>
      <c r="P226">
        <v>3</v>
      </c>
      <c r="Q226">
        <v>2</v>
      </c>
      <c r="R226">
        <v>1</v>
      </c>
      <c r="S226">
        <v>1</v>
      </c>
      <c r="T226">
        <f t="shared" si="15"/>
        <v>2</v>
      </c>
      <c r="U226" t="str" cm="1">
        <f t="array" ref="U226">_xlfn.IFS(T226&lt;3, "low", AND(T226&gt;=3, T226&lt;5), "med", T226&gt;=5, "high")</f>
        <v>low</v>
      </c>
      <c r="V226">
        <v>0</v>
      </c>
      <c r="W226" t="str" cm="1">
        <f t="array" ref="W226">_xlfn.IFS(V226&lt;5, "low", AND(V226&gt;=5, V226&lt;10), "med", V226&gt;=10, "high")</f>
        <v>low</v>
      </c>
      <c r="X226">
        <v>13</v>
      </c>
      <c r="Y226">
        <v>13</v>
      </c>
      <c r="Z226">
        <v>14</v>
      </c>
      <c r="AA226">
        <f t="shared" si="16"/>
        <v>0</v>
      </c>
      <c r="AB226">
        <f t="shared" si="17"/>
        <v>0</v>
      </c>
      <c r="AC226">
        <f t="shared" si="18"/>
        <v>0</v>
      </c>
      <c r="AD226" s="1">
        <f t="shared" si="19"/>
        <v>13.333333333333334</v>
      </c>
    </row>
    <row r="227" spans="1:30" x14ac:dyDescent="0.35">
      <c r="A227" t="s">
        <v>34</v>
      </c>
      <c r="B227">
        <v>18</v>
      </c>
      <c r="C227" t="s">
        <v>52</v>
      </c>
      <c r="D227" t="s">
        <v>36</v>
      </c>
      <c r="E227" t="s">
        <v>44</v>
      </c>
      <c r="F227" t="s">
        <v>45</v>
      </c>
      <c r="G227" t="s">
        <v>45</v>
      </c>
      <c r="H227">
        <v>2</v>
      </c>
      <c r="I227">
        <v>1</v>
      </c>
      <c r="J227" t="s">
        <v>43</v>
      </c>
      <c r="K227" t="s">
        <v>43</v>
      </c>
      <c r="L227" t="s">
        <v>43</v>
      </c>
      <c r="M227" t="s">
        <v>42</v>
      </c>
      <c r="N227" t="s">
        <v>42</v>
      </c>
      <c r="O227">
        <v>5</v>
      </c>
      <c r="P227">
        <v>3</v>
      </c>
      <c r="Q227">
        <v>3</v>
      </c>
      <c r="R227">
        <v>1</v>
      </c>
      <c r="S227">
        <v>1</v>
      </c>
      <c r="T227">
        <f t="shared" si="15"/>
        <v>2</v>
      </c>
      <c r="U227" t="str" cm="1">
        <f t="array" ref="U227">_xlfn.IFS(T227&lt;3, "low", AND(T227&gt;=3, T227&lt;5), "med", T227&gt;=5, "high")</f>
        <v>low</v>
      </c>
      <c r="V227">
        <v>16</v>
      </c>
      <c r="W227" t="str" cm="1">
        <f t="array" ref="W227">_xlfn.IFS(V227&lt;5, "low", AND(V227&gt;=5, V227&lt;10), "med", V227&gt;=10, "high")</f>
        <v>high</v>
      </c>
      <c r="X227">
        <v>9</v>
      </c>
      <c r="Y227">
        <v>8</v>
      </c>
      <c r="Z227">
        <v>7</v>
      </c>
      <c r="AA227">
        <f t="shared" si="16"/>
        <v>1</v>
      </c>
      <c r="AB227">
        <f t="shared" si="17"/>
        <v>1</v>
      </c>
      <c r="AC227">
        <f t="shared" si="18"/>
        <v>2</v>
      </c>
      <c r="AD227" s="1">
        <f t="shared" si="19"/>
        <v>8</v>
      </c>
    </row>
    <row r="228" spans="1:30" x14ac:dyDescent="0.35">
      <c r="A228" t="s">
        <v>34</v>
      </c>
      <c r="B228">
        <v>17</v>
      </c>
      <c r="C228" t="s">
        <v>35</v>
      </c>
      <c r="D228" t="s">
        <v>36</v>
      </c>
      <c r="E228" t="s">
        <v>44</v>
      </c>
      <c r="F228" t="s">
        <v>45</v>
      </c>
      <c r="G228" t="s">
        <v>45</v>
      </c>
      <c r="H228">
        <v>2</v>
      </c>
      <c r="I228">
        <v>0</v>
      </c>
      <c r="J228" t="s">
        <v>43</v>
      </c>
      <c r="K228" t="s">
        <v>43</v>
      </c>
      <c r="L228" t="s">
        <v>43</v>
      </c>
      <c r="M228" t="s">
        <v>42</v>
      </c>
      <c r="N228" t="s">
        <v>43</v>
      </c>
      <c r="O228">
        <v>5</v>
      </c>
      <c r="P228">
        <v>3</v>
      </c>
      <c r="Q228">
        <v>4</v>
      </c>
      <c r="R228">
        <v>1</v>
      </c>
      <c r="S228">
        <v>3</v>
      </c>
      <c r="T228">
        <f t="shared" si="15"/>
        <v>4</v>
      </c>
      <c r="U228" t="str" cm="1">
        <f t="array" ref="U228">_xlfn.IFS(T228&lt;3, "low", AND(T228&gt;=3, T228&lt;5), "med", T228&gt;=5, "high")</f>
        <v>med</v>
      </c>
      <c r="V228">
        <v>10</v>
      </c>
      <c r="W228" t="str" cm="1">
        <f t="array" ref="W228">_xlfn.IFS(V228&lt;5, "low", AND(V228&gt;=5, V228&lt;10), "med", V228&gt;=10, "high")</f>
        <v>high</v>
      </c>
      <c r="X228">
        <v>16</v>
      </c>
      <c r="Y228">
        <v>15</v>
      </c>
      <c r="Z228">
        <v>15</v>
      </c>
      <c r="AA228">
        <f t="shared" si="16"/>
        <v>1</v>
      </c>
      <c r="AB228">
        <f t="shared" si="17"/>
        <v>0</v>
      </c>
      <c r="AC228">
        <f t="shared" si="18"/>
        <v>1</v>
      </c>
      <c r="AD228" s="1">
        <f t="shared" si="19"/>
        <v>15.333333333333334</v>
      </c>
    </row>
    <row r="229" spans="1:30" x14ac:dyDescent="0.35">
      <c r="A229" t="s">
        <v>50</v>
      </c>
      <c r="B229">
        <v>17</v>
      </c>
      <c r="C229" t="s">
        <v>35</v>
      </c>
      <c r="D229" t="s">
        <v>47</v>
      </c>
      <c r="E229" t="s">
        <v>44</v>
      </c>
      <c r="F229" t="s">
        <v>48</v>
      </c>
      <c r="G229" t="s">
        <v>48</v>
      </c>
      <c r="H229">
        <v>2</v>
      </c>
      <c r="I229">
        <v>0</v>
      </c>
      <c r="J229" t="s">
        <v>43</v>
      </c>
      <c r="K229" t="s">
        <v>42</v>
      </c>
      <c r="L229" t="s">
        <v>42</v>
      </c>
      <c r="M229" t="s">
        <v>43</v>
      </c>
      <c r="N229" t="s">
        <v>43</v>
      </c>
      <c r="O229">
        <v>5</v>
      </c>
      <c r="P229">
        <v>3</v>
      </c>
      <c r="Q229">
        <v>3</v>
      </c>
      <c r="R229">
        <v>1</v>
      </c>
      <c r="S229">
        <v>3</v>
      </c>
      <c r="T229">
        <f t="shared" si="15"/>
        <v>4</v>
      </c>
      <c r="U229" t="str" cm="1">
        <f t="array" ref="U229">_xlfn.IFS(T229&lt;3, "low", AND(T229&gt;=3, T229&lt;5), "med", T229&gt;=5, "high")</f>
        <v>med</v>
      </c>
      <c r="V229">
        <v>2</v>
      </c>
      <c r="W229" t="str" cm="1">
        <f t="array" ref="W229">_xlfn.IFS(V229&lt;5, "low", AND(V229&gt;=5, V229&lt;10), "med", V229&gt;=10, "high")</f>
        <v>low</v>
      </c>
      <c r="X229">
        <v>12</v>
      </c>
      <c r="Y229">
        <v>11</v>
      </c>
      <c r="Z229">
        <v>12</v>
      </c>
      <c r="AA229">
        <f t="shared" si="16"/>
        <v>1</v>
      </c>
      <c r="AB229">
        <f t="shared" si="17"/>
        <v>0</v>
      </c>
      <c r="AC229">
        <f t="shared" si="18"/>
        <v>1</v>
      </c>
      <c r="AD229" s="1">
        <f t="shared" si="19"/>
        <v>11.666666666666666</v>
      </c>
    </row>
    <row r="230" spans="1:30" x14ac:dyDescent="0.35">
      <c r="A230" t="s">
        <v>50</v>
      </c>
      <c r="B230">
        <v>18</v>
      </c>
      <c r="C230" t="s">
        <v>35</v>
      </c>
      <c r="D230" t="s">
        <v>47</v>
      </c>
      <c r="E230" t="s">
        <v>44</v>
      </c>
      <c r="F230" t="s">
        <v>38</v>
      </c>
      <c r="G230" t="s">
        <v>45</v>
      </c>
      <c r="H230">
        <v>2</v>
      </c>
      <c r="I230">
        <v>0</v>
      </c>
      <c r="J230" t="s">
        <v>42</v>
      </c>
      <c r="K230" t="s">
        <v>42</v>
      </c>
      <c r="L230" t="s">
        <v>42</v>
      </c>
      <c r="M230" t="s">
        <v>42</v>
      </c>
      <c r="N230" t="s">
        <v>42</v>
      </c>
      <c r="O230">
        <v>4</v>
      </c>
      <c r="P230">
        <v>3</v>
      </c>
      <c r="Q230">
        <v>2</v>
      </c>
      <c r="R230">
        <v>4</v>
      </c>
      <c r="S230">
        <v>5</v>
      </c>
      <c r="T230">
        <f t="shared" si="15"/>
        <v>9</v>
      </c>
      <c r="U230" t="str" cm="1">
        <f t="array" ref="U230">_xlfn.IFS(T230&lt;3, "low", AND(T230&gt;=3, T230&lt;5), "med", T230&gt;=5, "high")</f>
        <v>high</v>
      </c>
      <c r="V230">
        <v>14</v>
      </c>
      <c r="W230" t="str" cm="1">
        <f t="array" ref="W230">_xlfn.IFS(V230&lt;5, "low", AND(V230&gt;=5, V230&lt;10), "med", V230&gt;=10, "high")</f>
        <v>high</v>
      </c>
      <c r="X230">
        <v>10</v>
      </c>
      <c r="Y230">
        <v>8</v>
      </c>
      <c r="Z230">
        <v>9</v>
      </c>
      <c r="AA230">
        <f t="shared" si="16"/>
        <v>1</v>
      </c>
      <c r="AB230">
        <f t="shared" si="17"/>
        <v>0</v>
      </c>
      <c r="AC230">
        <f t="shared" si="18"/>
        <v>1</v>
      </c>
      <c r="AD230" s="1">
        <f t="shared" si="19"/>
        <v>9</v>
      </c>
    </row>
    <row r="231" spans="1:30" x14ac:dyDescent="0.35">
      <c r="A231" t="s">
        <v>34</v>
      </c>
      <c r="B231">
        <v>17</v>
      </c>
      <c r="C231" t="s">
        <v>35</v>
      </c>
      <c r="D231" t="s">
        <v>36</v>
      </c>
      <c r="E231" t="s">
        <v>37</v>
      </c>
      <c r="F231" t="s">
        <v>45</v>
      </c>
      <c r="G231" t="s">
        <v>45</v>
      </c>
      <c r="H231">
        <v>3</v>
      </c>
      <c r="I231">
        <v>0</v>
      </c>
      <c r="J231" t="s">
        <v>43</v>
      </c>
      <c r="K231" t="s">
        <v>43</v>
      </c>
      <c r="L231" t="s">
        <v>43</v>
      </c>
      <c r="M231" t="s">
        <v>42</v>
      </c>
      <c r="N231" t="s">
        <v>42</v>
      </c>
      <c r="O231">
        <v>3</v>
      </c>
      <c r="P231">
        <v>2</v>
      </c>
      <c r="Q231">
        <v>3</v>
      </c>
      <c r="R231">
        <v>1</v>
      </c>
      <c r="S231">
        <v>2</v>
      </c>
      <c r="T231">
        <f t="shared" si="15"/>
        <v>3</v>
      </c>
      <c r="U231" t="str" cm="1">
        <f t="array" ref="U231">_xlfn.IFS(T231&lt;3, "low", AND(T231&gt;=3, T231&lt;5), "med", T231&gt;=5, "high")</f>
        <v>med</v>
      </c>
      <c r="V231">
        <v>10</v>
      </c>
      <c r="W231" t="str" cm="1">
        <f t="array" ref="W231">_xlfn.IFS(V231&lt;5, "low", AND(V231&gt;=5, V231&lt;10), "med", V231&gt;=10, "high")</f>
        <v>high</v>
      </c>
      <c r="X231">
        <v>12</v>
      </c>
      <c r="Y231">
        <v>10</v>
      </c>
      <c r="Z231">
        <v>12</v>
      </c>
      <c r="AA231">
        <f t="shared" si="16"/>
        <v>1</v>
      </c>
      <c r="AB231">
        <f t="shared" si="17"/>
        <v>0</v>
      </c>
      <c r="AC231">
        <f t="shared" si="18"/>
        <v>1</v>
      </c>
      <c r="AD231" s="1">
        <f t="shared" si="19"/>
        <v>11.333333333333334</v>
      </c>
    </row>
    <row r="232" spans="1:30" x14ac:dyDescent="0.35">
      <c r="A232" t="s">
        <v>34</v>
      </c>
      <c r="B232">
        <v>17</v>
      </c>
      <c r="C232" t="s">
        <v>35</v>
      </c>
      <c r="D232" t="s">
        <v>47</v>
      </c>
      <c r="E232" t="s">
        <v>44</v>
      </c>
      <c r="F232" t="s">
        <v>28</v>
      </c>
      <c r="G232" t="s">
        <v>45</v>
      </c>
      <c r="H232">
        <v>2</v>
      </c>
      <c r="I232">
        <v>0</v>
      </c>
      <c r="J232" t="s">
        <v>43</v>
      </c>
      <c r="K232" t="s">
        <v>43</v>
      </c>
      <c r="L232" t="s">
        <v>43</v>
      </c>
      <c r="M232" t="s">
        <v>42</v>
      </c>
      <c r="N232" t="s">
        <v>42</v>
      </c>
      <c r="O232">
        <v>3</v>
      </c>
      <c r="P232">
        <v>2</v>
      </c>
      <c r="Q232">
        <v>3</v>
      </c>
      <c r="R232">
        <v>1</v>
      </c>
      <c r="S232">
        <v>2</v>
      </c>
      <c r="T232">
        <f t="shared" si="15"/>
        <v>3</v>
      </c>
      <c r="U232" t="str" cm="1">
        <f t="array" ref="U232">_xlfn.IFS(T232&lt;3, "low", AND(T232&gt;=3, T232&lt;5), "med", T232&gt;=5, "high")</f>
        <v>med</v>
      </c>
      <c r="V232">
        <v>14</v>
      </c>
      <c r="W232" t="str" cm="1">
        <f t="array" ref="W232">_xlfn.IFS(V232&lt;5, "low", AND(V232&gt;=5, V232&lt;10), "med", V232&gt;=10, "high")</f>
        <v>high</v>
      </c>
      <c r="X232">
        <v>13</v>
      </c>
      <c r="Y232">
        <v>13</v>
      </c>
      <c r="Z232">
        <v>14</v>
      </c>
      <c r="AA232">
        <f t="shared" si="16"/>
        <v>0</v>
      </c>
      <c r="AB232">
        <f t="shared" si="17"/>
        <v>0</v>
      </c>
      <c r="AC232">
        <f t="shared" si="18"/>
        <v>0</v>
      </c>
      <c r="AD232" s="1">
        <f t="shared" si="19"/>
        <v>13.333333333333334</v>
      </c>
    </row>
    <row r="233" spans="1:30" x14ac:dyDescent="0.35">
      <c r="A233" t="s">
        <v>50</v>
      </c>
      <c r="B233">
        <v>17</v>
      </c>
      <c r="C233" t="s">
        <v>52</v>
      </c>
      <c r="D233" t="s">
        <v>36</v>
      </c>
      <c r="E233" t="s">
        <v>44</v>
      </c>
      <c r="F233" t="s">
        <v>45</v>
      </c>
      <c r="G233" t="s">
        <v>45</v>
      </c>
      <c r="H233">
        <v>2</v>
      </c>
      <c r="I233">
        <v>0</v>
      </c>
      <c r="J233" t="s">
        <v>43</v>
      </c>
      <c r="K233" t="s">
        <v>42</v>
      </c>
      <c r="L233" t="s">
        <v>42</v>
      </c>
      <c r="M233" t="s">
        <v>42</v>
      </c>
      <c r="N233" t="s">
        <v>43</v>
      </c>
      <c r="O233">
        <v>4</v>
      </c>
      <c r="P233">
        <v>5</v>
      </c>
      <c r="Q233">
        <v>2</v>
      </c>
      <c r="R233">
        <v>1</v>
      </c>
      <c r="S233">
        <v>1</v>
      </c>
      <c r="T233">
        <f t="shared" si="15"/>
        <v>2</v>
      </c>
      <c r="U233" t="str" cm="1">
        <f t="array" ref="U233">_xlfn.IFS(T233&lt;3, "low", AND(T233&gt;=3, T233&lt;5), "med", T233&gt;=5, "high")</f>
        <v>low</v>
      </c>
      <c r="V233">
        <v>4</v>
      </c>
      <c r="W233" t="str" cm="1">
        <f t="array" ref="W233">_xlfn.IFS(V233&lt;5, "low", AND(V233&gt;=5, V233&lt;10), "med", V233&gt;=10, "high")</f>
        <v>low</v>
      </c>
      <c r="X233">
        <v>11</v>
      </c>
      <c r="Y233">
        <v>11</v>
      </c>
      <c r="Z233">
        <v>11</v>
      </c>
      <c r="AA233">
        <f t="shared" si="16"/>
        <v>0</v>
      </c>
      <c r="AB233">
        <f t="shared" si="17"/>
        <v>0</v>
      </c>
      <c r="AC233">
        <f t="shared" si="18"/>
        <v>0</v>
      </c>
      <c r="AD233" s="1">
        <f t="shared" si="19"/>
        <v>11</v>
      </c>
    </row>
    <row r="234" spans="1:30" x14ac:dyDescent="0.35">
      <c r="A234" t="s">
        <v>50</v>
      </c>
      <c r="B234">
        <v>17</v>
      </c>
      <c r="C234" t="s">
        <v>35</v>
      </c>
      <c r="D234" t="s">
        <v>36</v>
      </c>
      <c r="E234" t="s">
        <v>44</v>
      </c>
      <c r="F234" t="s">
        <v>39</v>
      </c>
      <c r="G234" t="s">
        <v>39</v>
      </c>
      <c r="H234">
        <v>2</v>
      </c>
      <c r="I234">
        <v>0</v>
      </c>
      <c r="J234" t="s">
        <v>42</v>
      </c>
      <c r="K234" t="s">
        <v>42</v>
      </c>
      <c r="L234" t="s">
        <v>43</v>
      </c>
      <c r="M234" t="s">
        <v>42</v>
      </c>
      <c r="N234" t="s">
        <v>42</v>
      </c>
      <c r="O234">
        <v>4</v>
      </c>
      <c r="P234">
        <v>5</v>
      </c>
      <c r="Q234">
        <v>5</v>
      </c>
      <c r="R234">
        <v>1</v>
      </c>
      <c r="S234">
        <v>3</v>
      </c>
      <c r="T234">
        <f t="shared" si="15"/>
        <v>4</v>
      </c>
      <c r="U234" t="str" cm="1">
        <f t="array" ref="U234">_xlfn.IFS(T234&lt;3, "low", AND(T234&gt;=3, T234&lt;5), "med", T234&gt;=5, "high")</f>
        <v>med</v>
      </c>
      <c r="V234">
        <v>14</v>
      </c>
      <c r="W234" t="str" cm="1">
        <f t="array" ref="W234">_xlfn.IFS(V234&lt;5, "low", AND(V234&gt;=5, V234&lt;10), "med", V234&gt;=10, "high")</f>
        <v>high</v>
      </c>
      <c r="X234">
        <v>11</v>
      </c>
      <c r="Y234">
        <v>9</v>
      </c>
      <c r="Z234">
        <v>9</v>
      </c>
      <c r="AA234">
        <f t="shared" si="16"/>
        <v>1</v>
      </c>
      <c r="AB234">
        <f t="shared" si="17"/>
        <v>0</v>
      </c>
      <c r="AC234">
        <f t="shared" si="18"/>
        <v>1</v>
      </c>
      <c r="AD234" s="1">
        <f t="shared" si="19"/>
        <v>9.6666666666666661</v>
      </c>
    </row>
    <row r="235" spans="1:30" x14ac:dyDescent="0.35">
      <c r="A235" t="s">
        <v>50</v>
      </c>
      <c r="B235">
        <v>16</v>
      </c>
      <c r="C235" t="s">
        <v>35</v>
      </c>
      <c r="D235" t="s">
        <v>36</v>
      </c>
      <c r="E235" t="s">
        <v>44</v>
      </c>
      <c r="F235" t="s">
        <v>28</v>
      </c>
      <c r="G235" t="s">
        <v>45</v>
      </c>
      <c r="H235">
        <v>2</v>
      </c>
      <c r="I235">
        <v>0</v>
      </c>
      <c r="J235" t="s">
        <v>43</v>
      </c>
      <c r="K235" t="s">
        <v>42</v>
      </c>
      <c r="L235" t="s">
        <v>42</v>
      </c>
      <c r="M235" t="s">
        <v>42</v>
      </c>
      <c r="N235" t="s">
        <v>43</v>
      </c>
      <c r="O235">
        <v>4</v>
      </c>
      <c r="P235">
        <v>2</v>
      </c>
      <c r="Q235">
        <v>4</v>
      </c>
      <c r="R235">
        <v>2</v>
      </c>
      <c r="S235">
        <v>4</v>
      </c>
      <c r="T235">
        <f t="shared" si="15"/>
        <v>6</v>
      </c>
      <c r="U235" t="str" cm="1">
        <f t="array" ref="U235">_xlfn.IFS(T235&lt;3, "low", AND(T235&gt;=3, T235&lt;5), "med", T235&gt;=5, "high")</f>
        <v>high</v>
      </c>
      <c r="V235">
        <v>2</v>
      </c>
      <c r="W235" t="str" cm="1">
        <f t="array" ref="W235">_xlfn.IFS(V235&lt;5, "low", AND(V235&gt;=5, V235&lt;10), "med", V235&gt;=10, "high")</f>
        <v>low</v>
      </c>
      <c r="X235">
        <v>14</v>
      </c>
      <c r="Y235">
        <v>13</v>
      </c>
      <c r="Z235">
        <v>13</v>
      </c>
      <c r="AA235">
        <f t="shared" si="16"/>
        <v>1</v>
      </c>
      <c r="AB235">
        <f t="shared" si="17"/>
        <v>0</v>
      </c>
      <c r="AC235">
        <f t="shared" si="18"/>
        <v>1</v>
      </c>
      <c r="AD235" s="1">
        <f t="shared" si="19"/>
        <v>13.333333333333334</v>
      </c>
    </row>
    <row r="236" spans="1:30" x14ac:dyDescent="0.35">
      <c r="A236" t="s">
        <v>50</v>
      </c>
      <c r="B236">
        <v>16</v>
      </c>
      <c r="C236" t="s">
        <v>35</v>
      </c>
      <c r="D236" t="s">
        <v>47</v>
      </c>
      <c r="E236" t="s">
        <v>44</v>
      </c>
      <c r="F236" t="s">
        <v>45</v>
      </c>
      <c r="G236" t="s">
        <v>45</v>
      </c>
      <c r="H236">
        <v>2</v>
      </c>
      <c r="I236">
        <v>0</v>
      </c>
      <c r="J236" t="s">
        <v>43</v>
      </c>
      <c r="K236" t="s">
        <v>42</v>
      </c>
      <c r="L236" t="s">
        <v>42</v>
      </c>
      <c r="M236" t="s">
        <v>43</v>
      </c>
      <c r="N236" t="s">
        <v>43</v>
      </c>
      <c r="O236">
        <v>3</v>
      </c>
      <c r="P236">
        <v>4</v>
      </c>
      <c r="Q236">
        <v>2</v>
      </c>
      <c r="R236">
        <v>1</v>
      </c>
      <c r="S236">
        <v>1</v>
      </c>
      <c r="T236">
        <f t="shared" si="15"/>
        <v>2</v>
      </c>
      <c r="U236" t="str" cm="1">
        <f t="array" ref="U236">_xlfn.IFS(T236&lt;3, "low", AND(T236&gt;=3, T236&lt;5), "med", T236&gt;=5, "high")</f>
        <v>low</v>
      </c>
      <c r="V236">
        <v>18</v>
      </c>
      <c r="W236" t="str" cm="1">
        <f t="array" ref="W236">_xlfn.IFS(V236&lt;5, "low", AND(V236&gt;=5, V236&lt;10), "med", V236&gt;=10, "high")</f>
        <v>high</v>
      </c>
      <c r="X236">
        <v>9</v>
      </c>
      <c r="Y236">
        <v>7</v>
      </c>
      <c r="Z236">
        <v>6</v>
      </c>
      <c r="AA236">
        <f t="shared" si="16"/>
        <v>1</v>
      </c>
      <c r="AB236">
        <f t="shared" si="17"/>
        <v>1</v>
      </c>
      <c r="AC236">
        <f t="shared" si="18"/>
        <v>2</v>
      </c>
      <c r="AD236" s="1">
        <f t="shared" si="19"/>
        <v>7.333333333333333</v>
      </c>
    </row>
    <row r="237" spans="1:30" x14ac:dyDescent="0.35">
      <c r="A237" t="s">
        <v>50</v>
      </c>
      <c r="B237">
        <v>16</v>
      </c>
      <c r="C237" t="s">
        <v>35</v>
      </c>
      <c r="D237" t="s">
        <v>36</v>
      </c>
      <c r="E237" t="s">
        <v>44</v>
      </c>
      <c r="F237" t="s">
        <v>38</v>
      </c>
      <c r="G237" t="s">
        <v>45</v>
      </c>
      <c r="H237">
        <v>3</v>
      </c>
      <c r="I237">
        <v>0</v>
      </c>
      <c r="J237" t="s">
        <v>43</v>
      </c>
      <c r="K237" t="s">
        <v>43</v>
      </c>
      <c r="L237" t="s">
        <v>43</v>
      </c>
      <c r="M237" t="s">
        <v>42</v>
      </c>
      <c r="N237" t="s">
        <v>42</v>
      </c>
      <c r="O237">
        <v>5</v>
      </c>
      <c r="P237">
        <v>3</v>
      </c>
      <c r="Q237">
        <v>3</v>
      </c>
      <c r="R237">
        <v>1</v>
      </c>
      <c r="S237">
        <v>3</v>
      </c>
      <c r="T237">
        <f t="shared" si="15"/>
        <v>4</v>
      </c>
      <c r="U237" t="str" cm="1">
        <f t="array" ref="U237">_xlfn.IFS(T237&lt;3, "low", AND(T237&gt;=3, T237&lt;5), "med", T237&gt;=5, "high")</f>
        <v>med</v>
      </c>
      <c r="V237">
        <v>10</v>
      </c>
      <c r="W237" t="str" cm="1">
        <f t="array" ref="W237">_xlfn.IFS(V237&lt;5, "low", AND(V237&gt;=5, V237&lt;10), "med", V237&gt;=10, "high")</f>
        <v>high</v>
      </c>
      <c r="X237">
        <v>11</v>
      </c>
      <c r="Y237">
        <v>9</v>
      </c>
      <c r="Z237">
        <v>10</v>
      </c>
      <c r="AA237">
        <f t="shared" si="16"/>
        <v>1</v>
      </c>
      <c r="AB237">
        <f t="shared" si="17"/>
        <v>0</v>
      </c>
      <c r="AC237">
        <f t="shared" si="18"/>
        <v>1</v>
      </c>
      <c r="AD237" s="1">
        <f t="shared" si="19"/>
        <v>10</v>
      </c>
    </row>
    <row r="238" spans="1:30" x14ac:dyDescent="0.35">
      <c r="A238" t="s">
        <v>50</v>
      </c>
      <c r="B238">
        <v>17</v>
      </c>
      <c r="C238" t="s">
        <v>35</v>
      </c>
      <c r="D238" t="s">
        <v>47</v>
      </c>
      <c r="E238" t="s">
        <v>44</v>
      </c>
      <c r="F238" t="s">
        <v>45</v>
      </c>
      <c r="G238" t="s">
        <v>45</v>
      </c>
      <c r="H238">
        <v>2</v>
      </c>
      <c r="I238">
        <v>0</v>
      </c>
      <c r="J238" t="s">
        <v>43</v>
      </c>
      <c r="K238" t="s">
        <v>43</v>
      </c>
      <c r="L238" t="s">
        <v>42</v>
      </c>
      <c r="M238" t="s">
        <v>42</v>
      </c>
      <c r="N238" t="s">
        <v>42</v>
      </c>
      <c r="O238">
        <v>4</v>
      </c>
      <c r="P238">
        <v>4</v>
      </c>
      <c r="Q238">
        <v>2</v>
      </c>
      <c r="R238">
        <v>5</v>
      </c>
      <c r="S238">
        <v>5</v>
      </c>
      <c r="T238">
        <f t="shared" si="15"/>
        <v>10</v>
      </c>
      <c r="U238" t="str" cm="1">
        <f t="array" ref="U238">_xlfn.IFS(T238&lt;3, "low", AND(T238&gt;=3, T238&lt;5), "med", T238&gt;=5, "high")</f>
        <v>high</v>
      </c>
      <c r="V238">
        <v>4</v>
      </c>
      <c r="W238" t="str" cm="1">
        <f t="array" ref="W238">_xlfn.IFS(V238&lt;5, "low", AND(V238&gt;=5, V238&lt;10), "med", V238&gt;=10, "high")</f>
        <v>low</v>
      </c>
      <c r="X238">
        <v>14</v>
      </c>
      <c r="Y238">
        <v>13</v>
      </c>
      <c r="Z238">
        <v>13</v>
      </c>
      <c r="AA238">
        <f t="shared" si="16"/>
        <v>1</v>
      </c>
      <c r="AB238">
        <f t="shared" si="17"/>
        <v>0</v>
      </c>
      <c r="AC238">
        <f t="shared" si="18"/>
        <v>1</v>
      </c>
      <c r="AD238" s="1">
        <f t="shared" si="19"/>
        <v>13.333333333333334</v>
      </c>
    </row>
    <row r="239" spans="1:30" x14ac:dyDescent="0.35">
      <c r="A239" t="s">
        <v>34</v>
      </c>
      <c r="B239">
        <v>16</v>
      </c>
      <c r="C239" t="s">
        <v>35</v>
      </c>
      <c r="D239" t="s">
        <v>36</v>
      </c>
      <c r="E239" t="s">
        <v>44</v>
      </c>
      <c r="F239" t="s">
        <v>45</v>
      </c>
      <c r="G239" t="s">
        <v>45</v>
      </c>
      <c r="H239">
        <v>1</v>
      </c>
      <c r="I239">
        <v>0</v>
      </c>
      <c r="J239" t="s">
        <v>43</v>
      </c>
      <c r="K239" t="s">
        <v>43</v>
      </c>
      <c r="L239" t="s">
        <v>43</v>
      </c>
      <c r="M239" t="s">
        <v>43</v>
      </c>
      <c r="N239" t="s">
        <v>42</v>
      </c>
      <c r="O239">
        <v>4</v>
      </c>
      <c r="P239">
        <v>5</v>
      </c>
      <c r="Q239">
        <v>2</v>
      </c>
      <c r="R239">
        <v>1</v>
      </c>
      <c r="S239">
        <v>1</v>
      </c>
      <c r="T239">
        <f t="shared" si="15"/>
        <v>2</v>
      </c>
      <c r="U239" t="str" cm="1">
        <f t="array" ref="U239">_xlfn.IFS(T239&lt;3, "low", AND(T239&gt;=3, T239&lt;5), "med", T239&gt;=5, "high")</f>
        <v>low</v>
      </c>
      <c r="V239">
        <v>20</v>
      </c>
      <c r="W239" t="str" cm="1">
        <f t="array" ref="W239">_xlfn.IFS(V239&lt;5, "low", AND(V239&gt;=5, V239&lt;10), "med", V239&gt;=10, "high")</f>
        <v>high</v>
      </c>
      <c r="X239">
        <v>13</v>
      </c>
      <c r="Y239">
        <v>12</v>
      </c>
      <c r="Z239">
        <v>12</v>
      </c>
      <c r="AA239">
        <f t="shared" si="16"/>
        <v>1</v>
      </c>
      <c r="AB239">
        <f t="shared" si="17"/>
        <v>0</v>
      </c>
      <c r="AC239">
        <f t="shared" si="18"/>
        <v>1</v>
      </c>
      <c r="AD239" s="1">
        <f t="shared" si="19"/>
        <v>12.333333333333334</v>
      </c>
    </row>
    <row r="240" spans="1:30" x14ac:dyDescent="0.35">
      <c r="A240" t="s">
        <v>34</v>
      </c>
      <c r="B240">
        <v>17</v>
      </c>
      <c r="C240" t="s">
        <v>52</v>
      </c>
      <c r="D240" t="s">
        <v>36</v>
      </c>
      <c r="E240" t="s">
        <v>44</v>
      </c>
      <c r="F240" t="s">
        <v>38</v>
      </c>
      <c r="G240" t="s">
        <v>48</v>
      </c>
      <c r="H240">
        <v>2</v>
      </c>
      <c r="I240">
        <v>0</v>
      </c>
      <c r="J240" t="s">
        <v>43</v>
      </c>
      <c r="K240" t="s">
        <v>43</v>
      </c>
      <c r="L240" t="s">
        <v>43</v>
      </c>
      <c r="M240" t="s">
        <v>42</v>
      </c>
      <c r="N240" t="s">
        <v>43</v>
      </c>
      <c r="O240">
        <v>2</v>
      </c>
      <c r="P240">
        <v>1</v>
      </c>
      <c r="Q240">
        <v>1</v>
      </c>
      <c r="R240">
        <v>1</v>
      </c>
      <c r="S240">
        <v>1</v>
      </c>
      <c r="T240">
        <f t="shared" si="15"/>
        <v>2</v>
      </c>
      <c r="U240" t="str" cm="1">
        <f t="array" ref="U240">_xlfn.IFS(T240&lt;3, "low", AND(T240&gt;=3, T240&lt;5), "med", T240&gt;=5, "high")</f>
        <v>low</v>
      </c>
      <c r="V240">
        <v>2</v>
      </c>
      <c r="W240" t="str" cm="1">
        <f t="array" ref="W240">_xlfn.IFS(V240&lt;5, "low", AND(V240&gt;=5, V240&lt;10), "med", V240&gt;=10, "high")</f>
        <v>low</v>
      </c>
      <c r="X240">
        <v>13</v>
      </c>
      <c r="Y240">
        <v>11</v>
      </c>
      <c r="Z240">
        <v>11</v>
      </c>
      <c r="AA240">
        <f t="shared" si="16"/>
        <v>1</v>
      </c>
      <c r="AB240">
        <f t="shared" si="17"/>
        <v>0</v>
      </c>
      <c r="AC240">
        <f t="shared" si="18"/>
        <v>1</v>
      </c>
      <c r="AD240" s="1">
        <f t="shared" si="19"/>
        <v>11.666666666666666</v>
      </c>
    </row>
    <row r="241" spans="1:30" x14ac:dyDescent="0.35">
      <c r="A241" t="s">
        <v>50</v>
      </c>
      <c r="B241">
        <v>18</v>
      </c>
      <c r="C241" t="s">
        <v>35</v>
      </c>
      <c r="D241" t="s">
        <v>36</v>
      </c>
      <c r="E241" t="s">
        <v>44</v>
      </c>
      <c r="F241" t="s">
        <v>45</v>
      </c>
      <c r="G241" t="s">
        <v>48</v>
      </c>
      <c r="H241">
        <v>2</v>
      </c>
      <c r="I241">
        <v>1</v>
      </c>
      <c r="J241" t="s">
        <v>43</v>
      </c>
      <c r="K241" t="s">
        <v>43</v>
      </c>
      <c r="L241" t="s">
        <v>43</v>
      </c>
      <c r="M241" t="s">
        <v>43</v>
      </c>
      <c r="N241" t="s">
        <v>43</v>
      </c>
      <c r="O241">
        <v>5</v>
      </c>
      <c r="P241">
        <v>5</v>
      </c>
      <c r="Q241">
        <v>4</v>
      </c>
      <c r="R241">
        <v>3</v>
      </c>
      <c r="S241">
        <v>5</v>
      </c>
      <c r="T241">
        <f t="shared" si="15"/>
        <v>8</v>
      </c>
      <c r="U241" t="str" cm="1">
        <f t="array" ref="U241">_xlfn.IFS(T241&lt;3, "low", AND(T241&gt;=3, T241&lt;5), "med", T241&gt;=5, "high")</f>
        <v>high</v>
      </c>
      <c r="V241">
        <v>0</v>
      </c>
      <c r="W241" t="str" cm="1">
        <f t="array" ref="W241">_xlfn.IFS(V241&lt;5, "low", AND(V241&gt;=5, V241&lt;10), "med", V241&gt;=10, "high")</f>
        <v>low</v>
      </c>
      <c r="X241">
        <v>7</v>
      </c>
      <c r="Y241">
        <v>7</v>
      </c>
      <c r="Z241">
        <v>0</v>
      </c>
      <c r="AA241">
        <f t="shared" si="16"/>
        <v>0</v>
      </c>
      <c r="AB241">
        <f t="shared" si="17"/>
        <v>1</v>
      </c>
      <c r="AC241">
        <f t="shared" si="18"/>
        <v>1</v>
      </c>
      <c r="AD241" s="1">
        <f t="shared" si="19"/>
        <v>4.666666666666667</v>
      </c>
    </row>
    <row r="242" spans="1:30" x14ac:dyDescent="0.35">
      <c r="A242" t="s">
        <v>50</v>
      </c>
      <c r="B242">
        <v>17</v>
      </c>
      <c r="C242" t="s">
        <v>35</v>
      </c>
      <c r="D242" t="s">
        <v>47</v>
      </c>
      <c r="E242" t="s">
        <v>44</v>
      </c>
      <c r="F242" t="s">
        <v>28</v>
      </c>
      <c r="G242" t="s">
        <v>45</v>
      </c>
      <c r="H242">
        <v>2</v>
      </c>
      <c r="I242">
        <v>0</v>
      </c>
      <c r="J242" t="s">
        <v>43</v>
      </c>
      <c r="K242" t="s">
        <v>43</v>
      </c>
      <c r="L242" t="s">
        <v>43</v>
      </c>
      <c r="M242" t="s">
        <v>42</v>
      </c>
      <c r="N242" t="s">
        <v>42</v>
      </c>
      <c r="O242">
        <v>2</v>
      </c>
      <c r="P242">
        <v>5</v>
      </c>
      <c r="Q242">
        <v>5</v>
      </c>
      <c r="R242">
        <v>1</v>
      </c>
      <c r="S242">
        <v>4</v>
      </c>
      <c r="T242">
        <f t="shared" si="15"/>
        <v>5</v>
      </c>
      <c r="U242" t="str" cm="1">
        <f t="array" ref="U242">_xlfn.IFS(T242&lt;3, "low", AND(T242&gt;=3, T242&lt;5), "med", T242&gt;=5, "high")</f>
        <v>high</v>
      </c>
      <c r="V242">
        <v>14</v>
      </c>
      <c r="W242" t="str" cm="1">
        <f t="array" ref="W242">_xlfn.IFS(V242&lt;5, "low", AND(V242&gt;=5, V242&lt;10), "med", V242&gt;=10, "high")</f>
        <v>high</v>
      </c>
      <c r="X242">
        <v>12</v>
      </c>
      <c r="Y242">
        <v>12</v>
      </c>
      <c r="Z242">
        <v>12</v>
      </c>
      <c r="AA242">
        <f t="shared" si="16"/>
        <v>0</v>
      </c>
      <c r="AB242">
        <f t="shared" si="17"/>
        <v>0</v>
      </c>
      <c r="AC242">
        <f t="shared" si="18"/>
        <v>0</v>
      </c>
      <c r="AD242" s="1">
        <f t="shared" si="19"/>
        <v>12</v>
      </c>
    </row>
    <row r="243" spans="1:30" x14ac:dyDescent="0.35">
      <c r="A243" t="s">
        <v>50</v>
      </c>
      <c r="B243">
        <v>17</v>
      </c>
      <c r="C243" t="s">
        <v>52</v>
      </c>
      <c r="D243" t="s">
        <v>47</v>
      </c>
      <c r="E243" t="s">
        <v>37</v>
      </c>
      <c r="F243" t="s">
        <v>39</v>
      </c>
      <c r="G243" t="s">
        <v>45</v>
      </c>
      <c r="H243">
        <v>2</v>
      </c>
      <c r="I243">
        <v>0</v>
      </c>
      <c r="J243" t="s">
        <v>43</v>
      </c>
      <c r="K243" t="s">
        <v>42</v>
      </c>
      <c r="L243" t="s">
        <v>42</v>
      </c>
      <c r="M243" t="s">
        <v>43</v>
      </c>
      <c r="N243" t="s">
        <v>43</v>
      </c>
      <c r="O243">
        <v>3</v>
      </c>
      <c r="P243">
        <v>3</v>
      </c>
      <c r="Q243">
        <v>3</v>
      </c>
      <c r="R243">
        <v>2</v>
      </c>
      <c r="S243">
        <v>3</v>
      </c>
      <c r="T243">
        <f t="shared" si="15"/>
        <v>5</v>
      </c>
      <c r="U243" t="str" cm="1">
        <f t="array" ref="U243">_xlfn.IFS(T243&lt;3, "low", AND(T243&gt;=3, T243&lt;5), "med", T243&gt;=5, "high")</f>
        <v>high</v>
      </c>
      <c r="V243">
        <v>2</v>
      </c>
      <c r="W243" t="str" cm="1">
        <f t="array" ref="W243">_xlfn.IFS(V243&lt;5, "low", AND(V243&gt;=5, V243&lt;10), "med", V243&gt;=10, "high")</f>
        <v>low</v>
      </c>
      <c r="X243">
        <v>10</v>
      </c>
      <c r="Y243">
        <v>11</v>
      </c>
      <c r="Z243">
        <v>12</v>
      </c>
      <c r="AA243">
        <f t="shared" si="16"/>
        <v>0</v>
      </c>
      <c r="AB243">
        <f t="shared" si="17"/>
        <v>0</v>
      </c>
      <c r="AC243">
        <f t="shared" si="18"/>
        <v>0</v>
      </c>
      <c r="AD243" s="1">
        <f t="shared" si="19"/>
        <v>11</v>
      </c>
    </row>
    <row r="244" spans="1:30" x14ac:dyDescent="0.35">
      <c r="A244" t="s">
        <v>50</v>
      </c>
      <c r="B244">
        <v>16</v>
      </c>
      <c r="C244" t="s">
        <v>35</v>
      </c>
      <c r="D244" t="s">
        <v>47</v>
      </c>
      <c r="E244" t="s">
        <v>44</v>
      </c>
      <c r="F244" t="s">
        <v>39</v>
      </c>
      <c r="G244" t="s">
        <v>45</v>
      </c>
      <c r="H244">
        <v>1</v>
      </c>
      <c r="I244">
        <v>0</v>
      </c>
      <c r="J244" t="s">
        <v>43</v>
      </c>
      <c r="K244" t="s">
        <v>43</v>
      </c>
      <c r="L244" t="s">
        <v>43</v>
      </c>
      <c r="M244" t="s">
        <v>42</v>
      </c>
      <c r="N244" t="s">
        <v>43</v>
      </c>
      <c r="O244">
        <v>5</v>
      </c>
      <c r="P244">
        <v>4</v>
      </c>
      <c r="Q244">
        <v>5</v>
      </c>
      <c r="R244">
        <v>1</v>
      </c>
      <c r="S244">
        <v>1</v>
      </c>
      <c r="T244">
        <f t="shared" si="15"/>
        <v>2</v>
      </c>
      <c r="U244" t="str" cm="1">
        <f t="array" ref="U244">_xlfn.IFS(T244&lt;3, "low", AND(T244&gt;=3, T244&lt;5), "med", T244&gt;=5, "high")</f>
        <v>low</v>
      </c>
      <c r="V244">
        <v>0</v>
      </c>
      <c r="W244" t="str" cm="1">
        <f t="array" ref="W244">_xlfn.IFS(V244&lt;5, "low", AND(V244&gt;=5, V244&lt;10), "med", V244&gt;=10, "high")</f>
        <v>low</v>
      </c>
      <c r="X244">
        <v>6</v>
      </c>
      <c r="Y244">
        <v>0</v>
      </c>
      <c r="Z244">
        <v>0</v>
      </c>
      <c r="AA244">
        <f t="shared" si="16"/>
        <v>1</v>
      </c>
      <c r="AB244">
        <f t="shared" si="17"/>
        <v>0</v>
      </c>
      <c r="AC244">
        <f t="shared" si="18"/>
        <v>1</v>
      </c>
      <c r="AD244" s="1">
        <f t="shared" si="19"/>
        <v>2</v>
      </c>
    </row>
    <row r="245" spans="1:30" x14ac:dyDescent="0.35">
      <c r="A245" t="s">
        <v>50</v>
      </c>
      <c r="B245">
        <v>16</v>
      </c>
      <c r="C245" t="s">
        <v>35</v>
      </c>
      <c r="D245" t="s">
        <v>36</v>
      </c>
      <c r="E245" t="s">
        <v>44</v>
      </c>
      <c r="F245" t="s">
        <v>48</v>
      </c>
      <c r="G245" t="s">
        <v>48</v>
      </c>
      <c r="H245">
        <v>1</v>
      </c>
      <c r="I245">
        <v>0</v>
      </c>
      <c r="J245" t="s">
        <v>43</v>
      </c>
      <c r="K245" t="s">
        <v>43</v>
      </c>
      <c r="L245" t="s">
        <v>43</v>
      </c>
      <c r="M245" t="s">
        <v>42</v>
      </c>
      <c r="N245" t="s">
        <v>43</v>
      </c>
      <c r="O245">
        <v>5</v>
      </c>
      <c r="P245">
        <v>3</v>
      </c>
      <c r="Q245">
        <v>2</v>
      </c>
      <c r="R245">
        <v>1</v>
      </c>
      <c r="S245">
        <v>2</v>
      </c>
      <c r="T245">
        <f t="shared" si="15"/>
        <v>3</v>
      </c>
      <c r="U245" t="str" cm="1">
        <f t="array" ref="U245">_xlfn.IFS(T245&lt;3, "low", AND(T245&gt;=3, T245&lt;5), "med", T245&gt;=5, "high")</f>
        <v>med</v>
      </c>
      <c r="V245">
        <v>0</v>
      </c>
      <c r="W245" t="str" cm="1">
        <f t="array" ref="W245">_xlfn.IFS(V245&lt;5, "low", AND(V245&gt;=5, V245&lt;10), "med", V245&gt;=10, "high")</f>
        <v>low</v>
      </c>
      <c r="X245">
        <v>13</v>
      </c>
      <c r="Y245">
        <v>12</v>
      </c>
      <c r="Z245">
        <v>12</v>
      </c>
      <c r="AA245">
        <f t="shared" si="16"/>
        <v>1</v>
      </c>
      <c r="AB245">
        <f t="shared" si="17"/>
        <v>0</v>
      </c>
      <c r="AC245">
        <f t="shared" si="18"/>
        <v>1</v>
      </c>
      <c r="AD245" s="1">
        <f t="shared" si="19"/>
        <v>12.333333333333334</v>
      </c>
    </row>
    <row r="246" spans="1:30" x14ac:dyDescent="0.35">
      <c r="A246" t="s">
        <v>34</v>
      </c>
      <c r="B246">
        <v>18</v>
      </c>
      <c r="C246" t="s">
        <v>35</v>
      </c>
      <c r="D246" t="s">
        <v>36</v>
      </c>
      <c r="E246" t="s">
        <v>44</v>
      </c>
      <c r="F246" t="s">
        <v>45</v>
      </c>
      <c r="G246" t="s">
        <v>45</v>
      </c>
      <c r="H246">
        <v>3</v>
      </c>
      <c r="I246">
        <v>0</v>
      </c>
      <c r="J246" t="s">
        <v>43</v>
      </c>
      <c r="K246" t="s">
        <v>42</v>
      </c>
      <c r="L246" t="s">
        <v>42</v>
      </c>
      <c r="M246" t="s">
        <v>43</v>
      </c>
      <c r="N246" t="s">
        <v>42</v>
      </c>
      <c r="O246">
        <v>4</v>
      </c>
      <c r="P246">
        <v>4</v>
      </c>
      <c r="Q246">
        <v>4</v>
      </c>
      <c r="R246">
        <v>1</v>
      </c>
      <c r="S246">
        <v>1</v>
      </c>
      <c r="T246">
        <f t="shared" si="15"/>
        <v>2</v>
      </c>
      <c r="U246" t="str" cm="1">
        <f t="array" ref="U246">_xlfn.IFS(T246&lt;3, "low", AND(T246&gt;=3, T246&lt;5), "med", T246&gt;=5, "high")</f>
        <v>low</v>
      </c>
      <c r="V246">
        <v>0</v>
      </c>
      <c r="W246" t="str" cm="1">
        <f t="array" ref="W246">_xlfn.IFS(V246&lt;5, "low", AND(V246&gt;=5, V246&lt;10), "med", V246&gt;=10, "high")</f>
        <v>low</v>
      </c>
      <c r="X246">
        <v>7</v>
      </c>
      <c r="Y246">
        <v>0</v>
      </c>
      <c r="Z246">
        <v>0</v>
      </c>
      <c r="AA246">
        <f t="shared" si="16"/>
        <v>1</v>
      </c>
      <c r="AB246">
        <f t="shared" si="17"/>
        <v>0</v>
      </c>
      <c r="AC246">
        <f t="shared" si="18"/>
        <v>1</v>
      </c>
      <c r="AD246" s="1">
        <f t="shared" si="19"/>
        <v>2.3333333333333335</v>
      </c>
    </row>
    <row r="247" spans="1:30" x14ac:dyDescent="0.35">
      <c r="A247" t="s">
        <v>50</v>
      </c>
      <c r="B247">
        <v>16</v>
      </c>
      <c r="C247" t="s">
        <v>35</v>
      </c>
      <c r="D247" t="s">
        <v>36</v>
      </c>
      <c r="E247" t="s">
        <v>44</v>
      </c>
      <c r="F247" t="s">
        <v>45</v>
      </c>
      <c r="G247" t="s">
        <v>45</v>
      </c>
      <c r="H247">
        <v>1</v>
      </c>
      <c r="I247">
        <v>0</v>
      </c>
      <c r="J247" t="s">
        <v>43</v>
      </c>
      <c r="K247" t="s">
        <v>43</v>
      </c>
      <c r="L247" t="s">
        <v>43</v>
      </c>
      <c r="M247" t="s">
        <v>43</v>
      </c>
      <c r="N247" t="s">
        <v>43</v>
      </c>
      <c r="O247">
        <v>4</v>
      </c>
      <c r="P247">
        <v>3</v>
      </c>
      <c r="Q247">
        <v>3</v>
      </c>
      <c r="R247">
        <v>1</v>
      </c>
      <c r="S247">
        <v>1</v>
      </c>
      <c r="T247">
        <f t="shared" si="15"/>
        <v>2</v>
      </c>
      <c r="U247" t="str" cm="1">
        <f t="array" ref="U247">_xlfn.IFS(T247&lt;3, "low", AND(T247&gt;=3, T247&lt;5), "med", T247&gt;=5, "high")</f>
        <v>low</v>
      </c>
      <c r="V247">
        <v>6</v>
      </c>
      <c r="W247" t="str" cm="1">
        <f t="array" ref="W247">_xlfn.IFS(V247&lt;5, "low", AND(V247&gt;=5, V247&lt;10), "med", V247&gt;=10, "high")</f>
        <v>med</v>
      </c>
      <c r="X247">
        <v>18</v>
      </c>
      <c r="Y247">
        <v>18</v>
      </c>
      <c r="Z247">
        <v>18</v>
      </c>
      <c r="AA247">
        <f t="shared" si="16"/>
        <v>0</v>
      </c>
      <c r="AB247">
        <f t="shared" si="17"/>
        <v>0</v>
      </c>
      <c r="AC247">
        <f t="shared" si="18"/>
        <v>0</v>
      </c>
      <c r="AD247" s="1">
        <f t="shared" si="19"/>
        <v>18</v>
      </c>
    </row>
    <row r="248" spans="1:30" x14ac:dyDescent="0.35">
      <c r="A248" t="s">
        <v>50</v>
      </c>
      <c r="B248">
        <v>17</v>
      </c>
      <c r="C248" t="s">
        <v>35</v>
      </c>
      <c r="D248" t="s">
        <v>36</v>
      </c>
      <c r="E248" t="s">
        <v>44</v>
      </c>
      <c r="F248" t="s">
        <v>45</v>
      </c>
      <c r="G248" t="s">
        <v>45</v>
      </c>
      <c r="H248">
        <v>1</v>
      </c>
      <c r="I248">
        <v>0</v>
      </c>
      <c r="J248" t="s">
        <v>43</v>
      </c>
      <c r="K248" t="s">
        <v>43</v>
      </c>
      <c r="L248" t="s">
        <v>43</v>
      </c>
      <c r="M248" t="s">
        <v>43</v>
      </c>
      <c r="N248" t="s">
        <v>43</v>
      </c>
      <c r="O248">
        <v>5</v>
      </c>
      <c r="P248">
        <v>2</v>
      </c>
      <c r="Q248">
        <v>2</v>
      </c>
      <c r="R248">
        <v>1</v>
      </c>
      <c r="S248">
        <v>1</v>
      </c>
      <c r="T248">
        <f t="shared" si="15"/>
        <v>2</v>
      </c>
      <c r="U248" t="str" cm="1">
        <f t="array" ref="U248">_xlfn.IFS(T248&lt;3, "low", AND(T248&gt;=3, T248&lt;5), "med", T248&gt;=5, "high")</f>
        <v>low</v>
      </c>
      <c r="V248">
        <v>4</v>
      </c>
      <c r="W248" t="str" cm="1">
        <f t="array" ref="W248">_xlfn.IFS(V248&lt;5, "low", AND(V248&gt;=5, V248&lt;10), "med", V248&gt;=10, "high")</f>
        <v>low</v>
      </c>
      <c r="X248">
        <v>12</v>
      </c>
      <c r="Y248">
        <v>12</v>
      </c>
      <c r="Z248">
        <v>13</v>
      </c>
      <c r="AA248">
        <f t="shared" si="16"/>
        <v>0</v>
      </c>
      <c r="AB248">
        <f t="shared" si="17"/>
        <v>0</v>
      </c>
      <c r="AC248">
        <f t="shared" si="18"/>
        <v>0</v>
      </c>
      <c r="AD248" s="1">
        <f t="shared" si="19"/>
        <v>12.333333333333334</v>
      </c>
    </row>
    <row r="249" spans="1:30" x14ac:dyDescent="0.35">
      <c r="A249" t="s">
        <v>50</v>
      </c>
      <c r="B249">
        <v>22</v>
      </c>
      <c r="C249" t="s">
        <v>35</v>
      </c>
      <c r="D249" t="s">
        <v>36</v>
      </c>
      <c r="E249" t="s">
        <v>44</v>
      </c>
      <c r="F249" t="s">
        <v>48</v>
      </c>
      <c r="G249" t="s">
        <v>48</v>
      </c>
      <c r="H249">
        <v>1</v>
      </c>
      <c r="I249">
        <v>3</v>
      </c>
      <c r="J249" t="s">
        <v>43</v>
      </c>
      <c r="K249" t="s">
        <v>43</v>
      </c>
      <c r="L249" t="s">
        <v>43</v>
      </c>
      <c r="M249" t="s">
        <v>43</v>
      </c>
      <c r="N249" t="s">
        <v>42</v>
      </c>
      <c r="O249">
        <v>5</v>
      </c>
      <c r="P249">
        <v>4</v>
      </c>
      <c r="Q249">
        <v>5</v>
      </c>
      <c r="R249">
        <v>5</v>
      </c>
      <c r="S249">
        <v>5</v>
      </c>
      <c r="T249">
        <f t="shared" si="15"/>
        <v>10</v>
      </c>
      <c r="U249" t="str" cm="1">
        <f t="array" ref="U249">_xlfn.IFS(T249&lt;3, "low", AND(T249&gt;=3, T249&lt;5), "med", T249&gt;=5, "high")</f>
        <v>high</v>
      </c>
      <c r="V249">
        <v>16</v>
      </c>
      <c r="W249" t="str" cm="1">
        <f t="array" ref="W249">_xlfn.IFS(V249&lt;5, "low", AND(V249&gt;=5, V249&lt;10), "med", V249&gt;=10, "high")</f>
        <v>high</v>
      </c>
      <c r="X249">
        <v>6</v>
      </c>
      <c r="Y249">
        <v>8</v>
      </c>
      <c r="Z249">
        <v>8</v>
      </c>
      <c r="AA249">
        <f t="shared" si="16"/>
        <v>0</v>
      </c>
      <c r="AB249">
        <f t="shared" si="17"/>
        <v>0</v>
      </c>
      <c r="AC249">
        <f t="shared" si="18"/>
        <v>0</v>
      </c>
      <c r="AD249" s="1">
        <f t="shared" si="19"/>
        <v>7.333333333333333</v>
      </c>
    </row>
    <row r="250" spans="1:30" x14ac:dyDescent="0.35">
      <c r="A250" t="s">
        <v>50</v>
      </c>
      <c r="B250">
        <v>18</v>
      </c>
      <c r="C250" t="s">
        <v>52</v>
      </c>
      <c r="D250" t="s">
        <v>47</v>
      </c>
      <c r="E250" t="s">
        <v>44</v>
      </c>
      <c r="F250" t="s">
        <v>45</v>
      </c>
      <c r="G250" t="s">
        <v>48</v>
      </c>
      <c r="H250">
        <v>2</v>
      </c>
      <c r="I250">
        <v>1</v>
      </c>
      <c r="J250" t="s">
        <v>43</v>
      </c>
      <c r="K250" t="s">
        <v>42</v>
      </c>
      <c r="L250" t="s">
        <v>43</v>
      </c>
      <c r="M250" t="s">
        <v>43</v>
      </c>
      <c r="N250" t="s">
        <v>42</v>
      </c>
      <c r="O250">
        <v>4</v>
      </c>
      <c r="P250">
        <v>3</v>
      </c>
      <c r="Q250">
        <v>3</v>
      </c>
      <c r="R250">
        <v>1</v>
      </c>
      <c r="S250">
        <v>3</v>
      </c>
      <c r="T250">
        <f t="shared" si="15"/>
        <v>4</v>
      </c>
      <c r="U250" t="str" cm="1">
        <f t="array" ref="U250">_xlfn.IFS(T250&lt;3, "low", AND(T250&gt;=3, T250&lt;5), "med", T250&gt;=5, "high")</f>
        <v>med</v>
      </c>
      <c r="V250">
        <v>8</v>
      </c>
      <c r="W250" t="str" cm="1">
        <f t="array" ref="W250">_xlfn.IFS(V250&lt;5, "low", AND(V250&gt;=5, V250&lt;10), "med", V250&gt;=10, "high")</f>
        <v>med</v>
      </c>
      <c r="X250">
        <v>3</v>
      </c>
      <c r="Y250">
        <v>5</v>
      </c>
      <c r="Z250">
        <v>5</v>
      </c>
      <c r="AA250">
        <f t="shared" si="16"/>
        <v>0</v>
      </c>
      <c r="AB250">
        <f t="shared" si="17"/>
        <v>0</v>
      </c>
      <c r="AC250">
        <f t="shared" si="18"/>
        <v>0</v>
      </c>
      <c r="AD250" s="1">
        <f t="shared" si="19"/>
        <v>4.333333333333333</v>
      </c>
    </row>
    <row r="251" spans="1:30" x14ac:dyDescent="0.35">
      <c r="A251" t="s">
        <v>50</v>
      </c>
      <c r="B251">
        <v>16</v>
      </c>
      <c r="C251" t="s">
        <v>35</v>
      </c>
      <c r="D251" t="s">
        <v>36</v>
      </c>
      <c r="E251" t="s">
        <v>44</v>
      </c>
      <c r="F251" t="s">
        <v>45</v>
      </c>
      <c r="G251" t="s">
        <v>45</v>
      </c>
      <c r="H251">
        <v>1</v>
      </c>
      <c r="I251">
        <v>0</v>
      </c>
      <c r="J251" t="s">
        <v>43</v>
      </c>
      <c r="K251" t="s">
        <v>43</v>
      </c>
      <c r="L251" t="s">
        <v>42</v>
      </c>
      <c r="M251" t="s">
        <v>43</v>
      </c>
      <c r="N251" t="s">
        <v>43</v>
      </c>
      <c r="O251">
        <v>4</v>
      </c>
      <c r="P251">
        <v>3</v>
      </c>
      <c r="Q251">
        <v>2</v>
      </c>
      <c r="R251">
        <v>2</v>
      </c>
      <c r="S251">
        <v>4</v>
      </c>
      <c r="T251">
        <f t="shared" si="15"/>
        <v>6</v>
      </c>
      <c r="U251" t="str" cm="1">
        <f t="array" ref="U251">_xlfn.IFS(T251&lt;3, "low", AND(T251&gt;=3, T251&lt;5), "med", T251&gt;=5, "high")</f>
        <v>high</v>
      </c>
      <c r="V251">
        <v>0</v>
      </c>
      <c r="W251" t="str" cm="1">
        <f t="array" ref="W251">_xlfn.IFS(V251&lt;5, "low", AND(V251&gt;=5, V251&lt;10), "med", V251&gt;=10, "high")</f>
        <v>low</v>
      </c>
      <c r="X251">
        <v>13</v>
      </c>
      <c r="Y251">
        <v>15</v>
      </c>
      <c r="Z251">
        <v>15</v>
      </c>
      <c r="AA251">
        <f t="shared" si="16"/>
        <v>0</v>
      </c>
      <c r="AB251">
        <f t="shared" si="17"/>
        <v>0</v>
      </c>
      <c r="AC251">
        <f t="shared" si="18"/>
        <v>0</v>
      </c>
      <c r="AD251" s="1">
        <f t="shared" si="19"/>
        <v>14.333333333333334</v>
      </c>
    </row>
    <row r="252" spans="1:30" x14ac:dyDescent="0.35">
      <c r="A252" t="s">
        <v>50</v>
      </c>
      <c r="B252">
        <v>18</v>
      </c>
      <c r="C252" t="s">
        <v>35</v>
      </c>
      <c r="D252" t="s">
        <v>36</v>
      </c>
      <c r="E252" t="s">
        <v>44</v>
      </c>
      <c r="F252" t="s">
        <v>48</v>
      </c>
      <c r="G252" t="s">
        <v>45</v>
      </c>
      <c r="H252">
        <v>1</v>
      </c>
      <c r="I252">
        <v>1</v>
      </c>
      <c r="J252" t="s">
        <v>43</v>
      </c>
      <c r="K252" t="s">
        <v>43</v>
      </c>
      <c r="L252" t="s">
        <v>43</v>
      </c>
      <c r="M252" t="s">
        <v>43</v>
      </c>
      <c r="N252" t="s">
        <v>43</v>
      </c>
      <c r="O252">
        <v>4</v>
      </c>
      <c r="P252">
        <v>4</v>
      </c>
      <c r="Q252">
        <v>5</v>
      </c>
      <c r="R252">
        <v>2</v>
      </c>
      <c r="S252">
        <v>4</v>
      </c>
      <c r="T252">
        <f t="shared" si="15"/>
        <v>6</v>
      </c>
      <c r="U252" t="str" cm="1">
        <f t="array" ref="U252">_xlfn.IFS(T252&lt;3, "low", AND(T252&gt;=3, T252&lt;5), "med", T252&gt;=5, "high")</f>
        <v>high</v>
      </c>
      <c r="V252">
        <v>0</v>
      </c>
      <c r="W252" t="str" cm="1">
        <f t="array" ref="W252">_xlfn.IFS(V252&lt;5, "low", AND(V252&gt;=5, V252&lt;10), "med", V252&gt;=10, "high")</f>
        <v>low</v>
      </c>
      <c r="X252">
        <v>6</v>
      </c>
      <c r="Y252">
        <v>8</v>
      </c>
      <c r="Z252">
        <v>8</v>
      </c>
      <c r="AA252">
        <f t="shared" si="16"/>
        <v>0</v>
      </c>
      <c r="AB252">
        <f t="shared" si="17"/>
        <v>0</v>
      </c>
      <c r="AC252">
        <f t="shared" si="18"/>
        <v>0</v>
      </c>
      <c r="AD252" s="1">
        <f t="shared" si="19"/>
        <v>7.333333333333333</v>
      </c>
    </row>
    <row r="253" spans="1:30" x14ac:dyDescent="0.35">
      <c r="A253" t="s">
        <v>50</v>
      </c>
      <c r="B253">
        <v>16</v>
      </c>
      <c r="C253" t="s">
        <v>35</v>
      </c>
      <c r="D253" t="s">
        <v>36</v>
      </c>
      <c r="E253" t="s">
        <v>44</v>
      </c>
      <c r="F253" t="s">
        <v>38</v>
      </c>
      <c r="G253" t="s">
        <v>45</v>
      </c>
      <c r="H253">
        <v>2</v>
      </c>
      <c r="I253">
        <v>0</v>
      </c>
      <c r="J253" t="s">
        <v>42</v>
      </c>
      <c r="K253" t="s">
        <v>42</v>
      </c>
      <c r="L253" t="s">
        <v>43</v>
      </c>
      <c r="M253" t="s">
        <v>43</v>
      </c>
      <c r="N253" t="s">
        <v>43</v>
      </c>
      <c r="O253">
        <v>5</v>
      </c>
      <c r="P253">
        <v>3</v>
      </c>
      <c r="Q253">
        <v>3</v>
      </c>
      <c r="R253">
        <v>1</v>
      </c>
      <c r="S253">
        <v>3</v>
      </c>
      <c r="T253">
        <f t="shared" si="15"/>
        <v>4</v>
      </c>
      <c r="U253" t="str" cm="1">
        <f t="array" ref="U253">_xlfn.IFS(T253&lt;3, "low", AND(T253&gt;=3, T253&lt;5), "med", T253&gt;=5, "high")</f>
        <v>med</v>
      </c>
      <c r="V253">
        <v>6</v>
      </c>
      <c r="W253" t="str" cm="1">
        <f t="array" ref="W253">_xlfn.IFS(V253&lt;5, "low", AND(V253&gt;=5, V253&lt;10), "med", V253&gt;=10, "high")</f>
        <v>med</v>
      </c>
      <c r="X253">
        <v>7</v>
      </c>
      <c r="Y253">
        <v>10</v>
      </c>
      <c r="Z253">
        <v>10</v>
      </c>
      <c r="AA253">
        <f t="shared" si="16"/>
        <v>0</v>
      </c>
      <c r="AB253">
        <f t="shared" si="17"/>
        <v>0</v>
      </c>
      <c r="AC253">
        <f t="shared" si="18"/>
        <v>0</v>
      </c>
      <c r="AD253" s="1">
        <f t="shared" si="19"/>
        <v>9</v>
      </c>
    </row>
    <row r="254" spans="1:30" x14ac:dyDescent="0.35">
      <c r="A254" t="s">
        <v>50</v>
      </c>
      <c r="B254">
        <v>18</v>
      </c>
      <c r="C254" t="s">
        <v>35</v>
      </c>
      <c r="D254" t="s">
        <v>36</v>
      </c>
      <c r="E254" t="s">
        <v>44</v>
      </c>
      <c r="F254" t="s">
        <v>48</v>
      </c>
      <c r="G254" t="s">
        <v>48</v>
      </c>
      <c r="H254">
        <v>1</v>
      </c>
      <c r="I254">
        <v>1</v>
      </c>
      <c r="J254" t="s">
        <v>43</v>
      </c>
      <c r="K254" t="s">
        <v>43</v>
      </c>
      <c r="L254" t="s">
        <v>43</v>
      </c>
      <c r="M254" t="s">
        <v>43</v>
      </c>
      <c r="N254" t="s">
        <v>43</v>
      </c>
      <c r="O254">
        <v>3</v>
      </c>
      <c r="P254">
        <v>2</v>
      </c>
      <c r="Q254">
        <v>5</v>
      </c>
      <c r="R254">
        <v>2</v>
      </c>
      <c r="S254">
        <v>5</v>
      </c>
      <c r="T254">
        <f t="shared" si="15"/>
        <v>7</v>
      </c>
      <c r="U254" t="str" cm="1">
        <f t="array" ref="U254">_xlfn.IFS(T254&lt;3, "low", AND(T254&gt;=3, T254&lt;5), "med", T254&gt;=5, "high")</f>
        <v>high</v>
      </c>
      <c r="V254">
        <v>4</v>
      </c>
      <c r="W254" t="str" cm="1">
        <f t="array" ref="W254">_xlfn.IFS(V254&lt;5, "low", AND(V254&gt;=5, V254&lt;10), "med", V254&gt;=10, "high")</f>
        <v>low</v>
      </c>
      <c r="X254">
        <v>6</v>
      </c>
      <c r="Y254">
        <v>9</v>
      </c>
      <c r="Z254">
        <v>8</v>
      </c>
      <c r="AA254">
        <f t="shared" si="16"/>
        <v>0</v>
      </c>
      <c r="AB254">
        <f t="shared" si="17"/>
        <v>1</v>
      </c>
      <c r="AC254">
        <f t="shared" si="18"/>
        <v>1</v>
      </c>
      <c r="AD254" s="1">
        <f t="shared" si="19"/>
        <v>7.666666666666667</v>
      </c>
    </row>
    <row r="255" spans="1:30" x14ac:dyDescent="0.35">
      <c r="A255" t="s">
        <v>50</v>
      </c>
      <c r="B255">
        <v>16</v>
      </c>
      <c r="C255" t="s">
        <v>52</v>
      </c>
      <c r="D255" t="s">
        <v>36</v>
      </c>
      <c r="E255" t="s">
        <v>44</v>
      </c>
      <c r="F255" t="s">
        <v>45</v>
      </c>
      <c r="G255" t="s">
        <v>45</v>
      </c>
      <c r="H255">
        <v>1</v>
      </c>
      <c r="I255">
        <v>0</v>
      </c>
      <c r="J255" t="s">
        <v>43</v>
      </c>
      <c r="K255" t="s">
        <v>43</v>
      </c>
      <c r="L255" t="s">
        <v>43</v>
      </c>
      <c r="M255" t="s">
        <v>42</v>
      </c>
      <c r="N255" t="s">
        <v>43</v>
      </c>
      <c r="O255">
        <v>3</v>
      </c>
      <c r="P255">
        <v>3</v>
      </c>
      <c r="Q255">
        <v>2</v>
      </c>
      <c r="R255">
        <v>1</v>
      </c>
      <c r="S255">
        <v>3</v>
      </c>
      <c r="T255">
        <f t="shared" si="15"/>
        <v>4</v>
      </c>
      <c r="U255" t="str" cm="1">
        <f t="array" ref="U255">_xlfn.IFS(T255&lt;3, "low", AND(T255&gt;=3, T255&lt;5), "med", T255&gt;=5, "high")</f>
        <v>med</v>
      </c>
      <c r="V255">
        <v>0</v>
      </c>
      <c r="W255" t="str" cm="1">
        <f t="array" ref="W255">_xlfn.IFS(V255&lt;5, "low", AND(V255&gt;=5, V255&lt;10), "med", V255&gt;=10, "high")</f>
        <v>low</v>
      </c>
      <c r="X255">
        <v>8</v>
      </c>
      <c r="Y255">
        <v>9</v>
      </c>
      <c r="Z255">
        <v>8</v>
      </c>
      <c r="AA255">
        <f t="shared" si="16"/>
        <v>0</v>
      </c>
      <c r="AB255">
        <f t="shared" si="17"/>
        <v>1</v>
      </c>
      <c r="AC255">
        <f t="shared" si="18"/>
        <v>1</v>
      </c>
      <c r="AD255" s="1">
        <f t="shared" si="19"/>
        <v>8.3333333333333339</v>
      </c>
    </row>
    <row r="256" spans="1:30" x14ac:dyDescent="0.35">
      <c r="A256" t="s">
        <v>50</v>
      </c>
      <c r="B256">
        <v>17</v>
      </c>
      <c r="C256" t="s">
        <v>52</v>
      </c>
      <c r="D256" t="s">
        <v>36</v>
      </c>
      <c r="E256" t="s">
        <v>44</v>
      </c>
      <c r="F256" t="s">
        <v>45</v>
      </c>
      <c r="G256" t="s">
        <v>45</v>
      </c>
      <c r="H256">
        <v>1</v>
      </c>
      <c r="I256">
        <v>0</v>
      </c>
      <c r="J256" t="s">
        <v>43</v>
      </c>
      <c r="K256" t="s">
        <v>43</v>
      </c>
      <c r="L256" t="s">
        <v>43</v>
      </c>
      <c r="M256" t="s">
        <v>43</v>
      </c>
      <c r="N256" t="s">
        <v>43</v>
      </c>
      <c r="O256">
        <v>4</v>
      </c>
      <c r="P256">
        <v>4</v>
      </c>
      <c r="Q256">
        <v>2</v>
      </c>
      <c r="R256">
        <v>2</v>
      </c>
      <c r="S256">
        <v>4</v>
      </c>
      <c r="T256">
        <f t="shared" si="15"/>
        <v>6</v>
      </c>
      <c r="U256" t="str" cm="1">
        <f t="array" ref="U256">_xlfn.IFS(T256&lt;3, "low", AND(T256&gt;=3, T256&lt;5), "med", T256&gt;=5, "high")</f>
        <v>high</v>
      </c>
      <c r="V256">
        <v>0</v>
      </c>
      <c r="W256" t="str" cm="1">
        <f t="array" ref="W256">_xlfn.IFS(V256&lt;5, "low", AND(V256&gt;=5, V256&lt;10), "med", V256&gt;=10, "high")</f>
        <v>low</v>
      </c>
      <c r="X256">
        <v>8</v>
      </c>
      <c r="Y256">
        <v>12</v>
      </c>
      <c r="Z256">
        <v>12</v>
      </c>
      <c r="AA256">
        <f t="shared" si="16"/>
        <v>0</v>
      </c>
      <c r="AB256">
        <f t="shared" si="17"/>
        <v>0</v>
      </c>
      <c r="AC256">
        <f t="shared" si="18"/>
        <v>0</v>
      </c>
      <c r="AD256" s="1">
        <f t="shared" si="19"/>
        <v>10.666666666666666</v>
      </c>
    </row>
    <row r="257" spans="1:30" x14ac:dyDescent="0.35">
      <c r="A257" t="s">
        <v>50</v>
      </c>
      <c r="B257">
        <v>17</v>
      </c>
      <c r="C257" t="s">
        <v>35</v>
      </c>
      <c r="D257" t="s">
        <v>47</v>
      </c>
      <c r="E257" t="s">
        <v>44</v>
      </c>
      <c r="F257" t="s">
        <v>28</v>
      </c>
      <c r="G257" t="s">
        <v>45</v>
      </c>
      <c r="H257">
        <v>1</v>
      </c>
      <c r="I257">
        <v>1</v>
      </c>
      <c r="J257" t="s">
        <v>43</v>
      </c>
      <c r="K257" t="s">
        <v>42</v>
      </c>
      <c r="L257" t="s">
        <v>43</v>
      </c>
      <c r="M257" t="s">
        <v>42</v>
      </c>
      <c r="N257" t="s">
        <v>43</v>
      </c>
      <c r="O257">
        <v>4</v>
      </c>
      <c r="P257">
        <v>4</v>
      </c>
      <c r="Q257">
        <v>4</v>
      </c>
      <c r="R257">
        <v>1</v>
      </c>
      <c r="S257">
        <v>2</v>
      </c>
      <c r="T257">
        <f t="shared" si="15"/>
        <v>3</v>
      </c>
      <c r="U257" t="str" cm="1">
        <f t="array" ref="U257">_xlfn.IFS(T257&lt;3, "low", AND(T257&gt;=3, T257&lt;5), "med", T257&gt;=5, "high")</f>
        <v>med</v>
      </c>
      <c r="V257">
        <v>2</v>
      </c>
      <c r="W257" t="str" cm="1">
        <f t="array" ref="W257">_xlfn.IFS(V257&lt;5, "low", AND(V257&gt;=5, V257&lt;10), "med", V257&gt;=10, "high")</f>
        <v>low</v>
      </c>
      <c r="X257">
        <v>7</v>
      </c>
      <c r="Y257">
        <v>9</v>
      </c>
      <c r="Z257">
        <v>8</v>
      </c>
      <c r="AA257">
        <f t="shared" si="16"/>
        <v>0</v>
      </c>
      <c r="AB257">
        <f t="shared" si="17"/>
        <v>1</v>
      </c>
      <c r="AC257">
        <f t="shared" si="18"/>
        <v>1</v>
      </c>
      <c r="AD257" s="1">
        <f t="shared" si="19"/>
        <v>8</v>
      </c>
    </row>
    <row r="258" spans="1:30" x14ac:dyDescent="0.35">
      <c r="A258" t="s">
        <v>34</v>
      </c>
      <c r="B258">
        <v>17</v>
      </c>
      <c r="C258" t="s">
        <v>35</v>
      </c>
      <c r="D258" t="s">
        <v>47</v>
      </c>
      <c r="E258" t="s">
        <v>44</v>
      </c>
      <c r="F258" t="s">
        <v>39</v>
      </c>
      <c r="G258" t="s">
        <v>48</v>
      </c>
      <c r="H258">
        <v>4</v>
      </c>
      <c r="I258">
        <v>0</v>
      </c>
      <c r="J258" t="s">
        <v>43</v>
      </c>
      <c r="K258" t="s">
        <v>42</v>
      </c>
      <c r="L258" t="s">
        <v>42</v>
      </c>
      <c r="M258" t="s">
        <v>42</v>
      </c>
      <c r="N258" t="s">
        <v>43</v>
      </c>
      <c r="O258">
        <v>4</v>
      </c>
      <c r="P258">
        <v>2</v>
      </c>
      <c r="Q258">
        <v>3</v>
      </c>
      <c r="R258">
        <v>1</v>
      </c>
      <c r="S258">
        <v>1</v>
      </c>
      <c r="T258">
        <f t="shared" si="15"/>
        <v>2</v>
      </c>
      <c r="U258" t="str" cm="1">
        <f t="array" ref="U258">_xlfn.IFS(T258&lt;3, "low", AND(T258&gt;=3, T258&lt;5), "med", T258&gt;=5, "high")</f>
        <v>low</v>
      </c>
      <c r="V258">
        <v>6</v>
      </c>
      <c r="W258" t="str" cm="1">
        <f t="array" ref="W258">_xlfn.IFS(V258&lt;5, "low", AND(V258&gt;=5, V258&lt;10), "med", V258&gt;=10, "high")</f>
        <v>med</v>
      </c>
      <c r="X258">
        <v>14</v>
      </c>
      <c r="Y258">
        <v>12</v>
      </c>
      <c r="Z258">
        <v>13</v>
      </c>
      <c r="AA258">
        <f t="shared" si="16"/>
        <v>1</v>
      </c>
      <c r="AB258">
        <f t="shared" si="17"/>
        <v>0</v>
      </c>
      <c r="AC258">
        <f t="shared" si="18"/>
        <v>1</v>
      </c>
      <c r="AD258" s="1">
        <f t="shared" si="19"/>
        <v>13</v>
      </c>
    </row>
    <row r="259" spans="1:30" x14ac:dyDescent="0.35">
      <c r="A259" t="s">
        <v>50</v>
      </c>
      <c r="B259">
        <v>19</v>
      </c>
      <c r="C259" t="s">
        <v>35</v>
      </c>
      <c r="D259" t="s">
        <v>47</v>
      </c>
      <c r="E259" t="s">
        <v>37</v>
      </c>
      <c r="F259" t="s">
        <v>48</v>
      </c>
      <c r="G259" t="s">
        <v>38</v>
      </c>
      <c r="H259">
        <v>2</v>
      </c>
      <c r="I259">
        <v>0</v>
      </c>
      <c r="J259" t="s">
        <v>43</v>
      </c>
      <c r="K259" t="s">
        <v>42</v>
      </c>
      <c r="L259" t="s">
        <v>43</v>
      </c>
      <c r="M259" t="s">
        <v>43</v>
      </c>
      <c r="N259" t="s">
        <v>43</v>
      </c>
      <c r="O259">
        <v>4</v>
      </c>
      <c r="P259">
        <v>3</v>
      </c>
      <c r="Q259">
        <v>1</v>
      </c>
      <c r="R259">
        <v>1</v>
      </c>
      <c r="S259">
        <v>1</v>
      </c>
      <c r="T259">
        <f t="shared" ref="T259:T322" si="20">R259+S259</f>
        <v>2</v>
      </c>
      <c r="U259" t="str" cm="1">
        <f t="array" ref="U259">_xlfn.IFS(T259&lt;3, "low", AND(T259&gt;=3, T259&lt;5), "med", T259&gt;=5, "high")</f>
        <v>low</v>
      </c>
      <c r="V259">
        <v>12</v>
      </c>
      <c r="W259" t="str" cm="1">
        <f t="array" ref="W259">_xlfn.IFS(V259&lt;5, "low", AND(V259&gt;=5, V259&lt;10), "med", V259&gt;=10, "high")</f>
        <v>high</v>
      </c>
      <c r="X259">
        <v>11</v>
      </c>
      <c r="Y259">
        <v>11</v>
      </c>
      <c r="Z259">
        <v>11</v>
      </c>
      <c r="AA259">
        <f t="shared" ref="AA259:AA322" si="21">IF(Y259&lt;X259,1,0)</f>
        <v>0</v>
      </c>
      <c r="AB259">
        <f t="shared" ref="AB259:AB322" si="22">IF(Z259&lt;Y259,1,0)</f>
        <v>0</v>
      </c>
      <c r="AC259">
        <f t="shared" ref="AC259:AC322" si="23">SUM(AA259:AB259)</f>
        <v>0</v>
      </c>
      <c r="AD259" s="1">
        <f t="shared" ref="AD259:AD322" si="24">AVERAGE(X259:Z259)</f>
        <v>11</v>
      </c>
    </row>
    <row r="260" spans="1:30" x14ac:dyDescent="0.35">
      <c r="A260" t="s">
        <v>50</v>
      </c>
      <c r="B260">
        <v>18</v>
      </c>
      <c r="C260" t="s">
        <v>35</v>
      </c>
      <c r="D260" t="s">
        <v>36</v>
      </c>
      <c r="E260" t="s">
        <v>44</v>
      </c>
      <c r="F260" t="s">
        <v>45</v>
      </c>
      <c r="G260" t="s">
        <v>45</v>
      </c>
      <c r="H260">
        <v>2</v>
      </c>
      <c r="I260">
        <v>0</v>
      </c>
      <c r="J260" t="s">
        <v>43</v>
      </c>
      <c r="K260" t="s">
        <v>43</v>
      </c>
      <c r="L260" t="s">
        <v>43</v>
      </c>
      <c r="M260" t="s">
        <v>42</v>
      </c>
      <c r="N260" t="s">
        <v>43</v>
      </c>
      <c r="O260">
        <v>5</v>
      </c>
      <c r="P260">
        <v>2</v>
      </c>
      <c r="Q260">
        <v>4</v>
      </c>
      <c r="R260">
        <v>1</v>
      </c>
      <c r="S260">
        <v>2</v>
      </c>
      <c r="T260">
        <f t="shared" si="20"/>
        <v>3</v>
      </c>
      <c r="U260" t="str" cm="1">
        <f t="array" ref="U260">_xlfn.IFS(T260&lt;3, "low", AND(T260&gt;=3, T260&lt;5), "med", T260&gt;=5, "high")</f>
        <v>med</v>
      </c>
      <c r="V260">
        <v>8</v>
      </c>
      <c r="W260" t="str" cm="1">
        <f t="array" ref="W260">_xlfn.IFS(V260&lt;5, "low", AND(V260&gt;=5, V260&lt;10), "med", V260&gt;=10, "high")</f>
        <v>med</v>
      </c>
      <c r="X260">
        <v>15</v>
      </c>
      <c r="Y260">
        <v>14</v>
      </c>
      <c r="Z260">
        <v>14</v>
      </c>
      <c r="AA260">
        <f t="shared" si="21"/>
        <v>1</v>
      </c>
      <c r="AB260">
        <f t="shared" si="22"/>
        <v>0</v>
      </c>
      <c r="AC260">
        <f t="shared" si="23"/>
        <v>1</v>
      </c>
      <c r="AD260" s="1">
        <f t="shared" si="24"/>
        <v>14.333333333333334</v>
      </c>
    </row>
    <row r="261" spans="1:30" x14ac:dyDescent="0.35">
      <c r="A261" t="s">
        <v>34</v>
      </c>
      <c r="B261">
        <v>17</v>
      </c>
      <c r="C261" t="s">
        <v>35</v>
      </c>
      <c r="D261" t="s">
        <v>47</v>
      </c>
      <c r="E261" t="s">
        <v>44</v>
      </c>
      <c r="F261" t="s">
        <v>48</v>
      </c>
      <c r="G261" t="s">
        <v>48</v>
      </c>
      <c r="H261">
        <v>4</v>
      </c>
      <c r="I261">
        <v>0</v>
      </c>
      <c r="J261" t="s">
        <v>43</v>
      </c>
      <c r="K261" t="s">
        <v>43</v>
      </c>
      <c r="L261" t="s">
        <v>42</v>
      </c>
      <c r="M261" t="s">
        <v>42</v>
      </c>
      <c r="N261" t="s">
        <v>42</v>
      </c>
      <c r="O261">
        <v>3</v>
      </c>
      <c r="P261">
        <v>4</v>
      </c>
      <c r="Q261">
        <v>1</v>
      </c>
      <c r="R261">
        <v>1</v>
      </c>
      <c r="S261">
        <v>1</v>
      </c>
      <c r="T261">
        <f t="shared" si="20"/>
        <v>2</v>
      </c>
      <c r="U261" t="str" cm="1">
        <f t="array" ref="U261">_xlfn.IFS(T261&lt;3, "low", AND(T261&gt;=3, T261&lt;5), "med", T261&gt;=5, "high")</f>
        <v>low</v>
      </c>
      <c r="V261">
        <v>0</v>
      </c>
      <c r="W261" t="str" cm="1">
        <f t="array" ref="W261">_xlfn.IFS(V261&lt;5, "low", AND(V261&gt;=5, V261&lt;10), "med", V261&gt;=10, "high")</f>
        <v>low</v>
      </c>
      <c r="X261">
        <v>10</v>
      </c>
      <c r="Y261">
        <v>9</v>
      </c>
      <c r="Z261">
        <v>0</v>
      </c>
      <c r="AA261">
        <f t="shared" si="21"/>
        <v>1</v>
      </c>
      <c r="AB261">
        <f t="shared" si="22"/>
        <v>1</v>
      </c>
      <c r="AC261">
        <f t="shared" si="23"/>
        <v>2</v>
      </c>
      <c r="AD261" s="1">
        <f t="shared" si="24"/>
        <v>6.333333333333333</v>
      </c>
    </row>
    <row r="262" spans="1:30" x14ac:dyDescent="0.35">
      <c r="A262" t="s">
        <v>34</v>
      </c>
      <c r="B262">
        <v>18</v>
      </c>
      <c r="C262" t="s">
        <v>35</v>
      </c>
      <c r="D262" t="s">
        <v>36</v>
      </c>
      <c r="E262" t="s">
        <v>44</v>
      </c>
      <c r="F262" t="s">
        <v>48</v>
      </c>
      <c r="G262" t="s">
        <v>45</v>
      </c>
      <c r="H262">
        <v>2</v>
      </c>
      <c r="I262">
        <v>0</v>
      </c>
      <c r="J262" t="s">
        <v>43</v>
      </c>
      <c r="K262" t="s">
        <v>42</v>
      </c>
      <c r="L262" t="s">
        <v>42</v>
      </c>
      <c r="M262" t="s">
        <v>43</v>
      </c>
      <c r="N262" t="s">
        <v>42</v>
      </c>
      <c r="O262">
        <v>3</v>
      </c>
      <c r="P262">
        <v>1</v>
      </c>
      <c r="Q262">
        <v>2</v>
      </c>
      <c r="R262">
        <v>1</v>
      </c>
      <c r="S262">
        <v>3</v>
      </c>
      <c r="T262">
        <f t="shared" si="20"/>
        <v>4</v>
      </c>
      <c r="U262" t="str" cm="1">
        <f t="array" ref="U262">_xlfn.IFS(T262&lt;3, "low", AND(T262&gt;=3, T262&lt;5), "med", T262&gt;=5, "high")</f>
        <v>med</v>
      </c>
      <c r="V262">
        <v>21</v>
      </c>
      <c r="W262" t="str" cm="1">
        <f t="array" ref="W262">_xlfn.IFS(V262&lt;5, "low", AND(V262&gt;=5, V262&lt;10), "med", V262&gt;=10, "high")</f>
        <v>high</v>
      </c>
      <c r="X262">
        <v>17</v>
      </c>
      <c r="Y262">
        <v>18</v>
      </c>
      <c r="Z262">
        <v>18</v>
      </c>
      <c r="AA262">
        <f t="shared" si="21"/>
        <v>0</v>
      </c>
      <c r="AB262">
        <f t="shared" si="22"/>
        <v>0</v>
      </c>
      <c r="AC262">
        <f t="shared" si="23"/>
        <v>0</v>
      </c>
      <c r="AD262" s="1">
        <f t="shared" si="24"/>
        <v>17.666666666666668</v>
      </c>
    </row>
    <row r="263" spans="1:30" x14ac:dyDescent="0.35">
      <c r="A263" t="s">
        <v>50</v>
      </c>
      <c r="B263">
        <v>18</v>
      </c>
      <c r="C263" t="s">
        <v>35</v>
      </c>
      <c r="D263" t="s">
        <v>36</v>
      </c>
      <c r="E263" t="s">
        <v>44</v>
      </c>
      <c r="F263" t="s">
        <v>39</v>
      </c>
      <c r="G263" t="s">
        <v>45</v>
      </c>
      <c r="H263">
        <v>2</v>
      </c>
      <c r="I263">
        <v>0</v>
      </c>
      <c r="J263" t="s">
        <v>43</v>
      </c>
      <c r="K263" t="s">
        <v>42</v>
      </c>
      <c r="L263" t="s">
        <v>42</v>
      </c>
      <c r="M263" t="s">
        <v>43</v>
      </c>
      <c r="N263" t="s">
        <v>43</v>
      </c>
      <c r="O263">
        <v>4</v>
      </c>
      <c r="P263">
        <v>3</v>
      </c>
      <c r="Q263">
        <v>2</v>
      </c>
      <c r="R263">
        <v>1</v>
      </c>
      <c r="S263">
        <v>1</v>
      </c>
      <c r="T263">
        <f t="shared" si="20"/>
        <v>2</v>
      </c>
      <c r="U263" t="str" cm="1">
        <f t="array" ref="U263">_xlfn.IFS(T263&lt;3, "low", AND(T263&gt;=3, T263&lt;5), "med", T263&gt;=5, "high")</f>
        <v>low</v>
      </c>
      <c r="V263">
        <v>2</v>
      </c>
      <c r="W263" t="str" cm="1">
        <f t="array" ref="W263">_xlfn.IFS(V263&lt;5, "low", AND(V263&gt;=5, V263&lt;10), "med", V263&gt;=10, "high")</f>
        <v>low</v>
      </c>
      <c r="X263">
        <v>8</v>
      </c>
      <c r="Y263">
        <v>8</v>
      </c>
      <c r="Z263">
        <v>8</v>
      </c>
      <c r="AA263">
        <f t="shared" si="21"/>
        <v>0</v>
      </c>
      <c r="AB263">
        <f t="shared" si="22"/>
        <v>0</v>
      </c>
      <c r="AC263">
        <f t="shared" si="23"/>
        <v>0</v>
      </c>
      <c r="AD263" s="1">
        <f t="shared" si="24"/>
        <v>8</v>
      </c>
    </row>
    <row r="264" spans="1:30" x14ac:dyDescent="0.35">
      <c r="A264" t="s">
        <v>50</v>
      </c>
      <c r="B264">
        <v>18</v>
      </c>
      <c r="C264" t="s">
        <v>52</v>
      </c>
      <c r="D264" t="s">
        <v>36</v>
      </c>
      <c r="E264" t="s">
        <v>44</v>
      </c>
      <c r="F264" t="s">
        <v>45</v>
      </c>
      <c r="G264" t="s">
        <v>45</v>
      </c>
      <c r="H264">
        <v>3</v>
      </c>
      <c r="I264">
        <v>0</v>
      </c>
      <c r="J264" t="s">
        <v>43</v>
      </c>
      <c r="K264" t="s">
        <v>43</v>
      </c>
      <c r="L264" t="s">
        <v>43</v>
      </c>
      <c r="M264" t="s">
        <v>42</v>
      </c>
      <c r="N264" t="s">
        <v>43</v>
      </c>
      <c r="O264">
        <v>5</v>
      </c>
      <c r="P264">
        <v>3</v>
      </c>
      <c r="Q264">
        <v>2</v>
      </c>
      <c r="R264">
        <v>1</v>
      </c>
      <c r="S264">
        <v>1</v>
      </c>
      <c r="T264">
        <f t="shared" si="20"/>
        <v>2</v>
      </c>
      <c r="U264" t="str" cm="1">
        <f t="array" ref="U264">_xlfn.IFS(T264&lt;3, "low", AND(T264&gt;=3, T264&lt;5), "med", T264&gt;=5, "high")</f>
        <v>low</v>
      </c>
      <c r="V264">
        <v>1</v>
      </c>
      <c r="W264" t="str" cm="1">
        <f t="array" ref="W264">_xlfn.IFS(V264&lt;5, "low", AND(V264&gt;=5, V264&lt;10), "med", V264&gt;=10, "high")</f>
        <v>low</v>
      </c>
      <c r="X264">
        <v>13</v>
      </c>
      <c r="Y264">
        <v>12</v>
      </c>
      <c r="Z264">
        <v>12</v>
      </c>
      <c r="AA264">
        <f t="shared" si="21"/>
        <v>1</v>
      </c>
      <c r="AB264">
        <f t="shared" si="22"/>
        <v>0</v>
      </c>
      <c r="AC264">
        <f t="shared" si="23"/>
        <v>1</v>
      </c>
      <c r="AD264" s="1">
        <f t="shared" si="24"/>
        <v>12.333333333333334</v>
      </c>
    </row>
    <row r="265" spans="1:30" x14ac:dyDescent="0.35">
      <c r="A265" t="s">
        <v>34</v>
      </c>
      <c r="B265">
        <v>17</v>
      </c>
      <c r="C265" t="s">
        <v>35</v>
      </c>
      <c r="D265" t="s">
        <v>36</v>
      </c>
      <c r="E265" t="s">
        <v>44</v>
      </c>
      <c r="F265" t="s">
        <v>45</v>
      </c>
      <c r="G265" t="s">
        <v>45</v>
      </c>
      <c r="H265">
        <v>3</v>
      </c>
      <c r="I265">
        <v>0</v>
      </c>
      <c r="J265" t="s">
        <v>43</v>
      </c>
      <c r="K265" t="s">
        <v>43</v>
      </c>
      <c r="L265" t="s">
        <v>43</v>
      </c>
      <c r="M265" t="s">
        <v>42</v>
      </c>
      <c r="N265" t="s">
        <v>43</v>
      </c>
      <c r="O265">
        <v>3</v>
      </c>
      <c r="P265">
        <v>2</v>
      </c>
      <c r="Q265">
        <v>3</v>
      </c>
      <c r="R265">
        <v>1</v>
      </c>
      <c r="S265">
        <v>1</v>
      </c>
      <c r="T265">
        <f t="shared" si="20"/>
        <v>2</v>
      </c>
      <c r="U265" t="str" cm="1">
        <f t="array" ref="U265">_xlfn.IFS(T265&lt;3, "low", AND(T265&gt;=3, T265&lt;5), "med", T265&gt;=5, "high")</f>
        <v>low</v>
      </c>
      <c r="V265">
        <v>4</v>
      </c>
      <c r="W265" t="str" cm="1">
        <f t="array" ref="W265">_xlfn.IFS(V265&lt;5, "low", AND(V265&gt;=5, V265&lt;10), "med", V265&gt;=10, "high")</f>
        <v>low</v>
      </c>
      <c r="X265">
        <v>10</v>
      </c>
      <c r="Y265">
        <v>9</v>
      </c>
      <c r="Z265">
        <v>9</v>
      </c>
      <c r="AA265">
        <f t="shared" si="21"/>
        <v>1</v>
      </c>
      <c r="AB265">
        <f t="shared" si="22"/>
        <v>0</v>
      </c>
      <c r="AC265">
        <f t="shared" si="23"/>
        <v>1</v>
      </c>
      <c r="AD265" s="1">
        <f t="shared" si="24"/>
        <v>9.3333333333333339</v>
      </c>
    </row>
    <row r="266" spans="1:30" x14ac:dyDescent="0.35">
      <c r="A266" t="s">
        <v>34</v>
      </c>
      <c r="B266">
        <v>18</v>
      </c>
      <c r="C266" t="s">
        <v>35</v>
      </c>
      <c r="D266" t="s">
        <v>36</v>
      </c>
      <c r="E266" t="s">
        <v>44</v>
      </c>
      <c r="F266" t="s">
        <v>38</v>
      </c>
      <c r="G266" t="s">
        <v>48</v>
      </c>
      <c r="H266">
        <v>3</v>
      </c>
      <c r="I266">
        <v>0</v>
      </c>
      <c r="J266" t="s">
        <v>43</v>
      </c>
      <c r="K266" t="s">
        <v>42</v>
      </c>
      <c r="L266" t="s">
        <v>42</v>
      </c>
      <c r="M266" t="s">
        <v>42</v>
      </c>
      <c r="N266" t="s">
        <v>42</v>
      </c>
      <c r="O266">
        <v>4</v>
      </c>
      <c r="P266">
        <v>3</v>
      </c>
      <c r="Q266">
        <v>3</v>
      </c>
      <c r="R266">
        <v>1</v>
      </c>
      <c r="S266">
        <v>1</v>
      </c>
      <c r="T266">
        <f t="shared" si="20"/>
        <v>2</v>
      </c>
      <c r="U266" t="str" cm="1">
        <f t="array" ref="U266">_xlfn.IFS(T266&lt;3, "low", AND(T266&gt;=3, T266&lt;5), "med", T266&gt;=5, "high")</f>
        <v>low</v>
      </c>
      <c r="V266">
        <v>0</v>
      </c>
      <c r="W266" t="str" cm="1">
        <f t="array" ref="W266">_xlfn.IFS(V266&lt;5, "low", AND(V266&gt;=5, V266&lt;10), "med", V266&gt;=10, "high")</f>
        <v>low</v>
      </c>
      <c r="X266">
        <v>9</v>
      </c>
      <c r="Y266">
        <v>10</v>
      </c>
      <c r="Z266">
        <v>0</v>
      </c>
      <c r="AA266">
        <f t="shared" si="21"/>
        <v>0</v>
      </c>
      <c r="AB266">
        <f t="shared" si="22"/>
        <v>1</v>
      </c>
      <c r="AC266">
        <f t="shared" si="23"/>
        <v>1</v>
      </c>
      <c r="AD266" s="1">
        <f t="shared" si="24"/>
        <v>6.333333333333333</v>
      </c>
    </row>
    <row r="267" spans="1:30" x14ac:dyDescent="0.35">
      <c r="A267" t="s">
        <v>50</v>
      </c>
      <c r="B267">
        <v>18</v>
      </c>
      <c r="C267" t="s">
        <v>52</v>
      </c>
      <c r="D267" t="s">
        <v>47</v>
      </c>
      <c r="E267" t="s">
        <v>37</v>
      </c>
      <c r="F267" t="s">
        <v>45</v>
      </c>
      <c r="G267" t="s">
        <v>45</v>
      </c>
      <c r="H267">
        <v>2</v>
      </c>
      <c r="I267">
        <v>0</v>
      </c>
      <c r="J267" t="s">
        <v>43</v>
      </c>
      <c r="K267" t="s">
        <v>42</v>
      </c>
      <c r="L267" t="s">
        <v>42</v>
      </c>
      <c r="M267" t="s">
        <v>42</v>
      </c>
      <c r="N267" t="s">
        <v>43</v>
      </c>
      <c r="O267">
        <v>4</v>
      </c>
      <c r="P267">
        <v>2</v>
      </c>
      <c r="Q267">
        <v>5</v>
      </c>
      <c r="R267">
        <v>3</v>
      </c>
      <c r="S267">
        <v>4</v>
      </c>
      <c r="T267">
        <f t="shared" si="20"/>
        <v>7</v>
      </c>
      <c r="U267" t="str" cm="1">
        <f t="array" ref="U267">_xlfn.IFS(T267&lt;3, "low", AND(T267&gt;=3, T267&lt;5), "med", T267&gt;=5, "high")</f>
        <v>high</v>
      </c>
      <c r="V267">
        <v>13</v>
      </c>
      <c r="W267" t="str" cm="1">
        <f t="array" ref="W267">_xlfn.IFS(V267&lt;5, "low", AND(V267&gt;=5, V267&lt;10), "med", V267&gt;=10, "high")</f>
        <v>high</v>
      </c>
      <c r="X267">
        <v>17</v>
      </c>
      <c r="Y267">
        <v>17</v>
      </c>
      <c r="Z267">
        <v>17</v>
      </c>
      <c r="AA267">
        <f t="shared" si="21"/>
        <v>0</v>
      </c>
      <c r="AB267">
        <f t="shared" si="22"/>
        <v>0</v>
      </c>
      <c r="AC267">
        <f t="shared" si="23"/>
        <v>0</v>
      </c>
      <c r="AD267" s="1">
        <f t="shared" si="24"/>
        <v>17</v>
      </c>
    </row>
    <row r="268" spans="1:30" x14ac:dyDescent="0.35">
      <c r="A268" t="s">
        <v>50</v>
      </c>
      <c r="B268">
        <v>17</v>
      </c>
      <c r="C268" t="s">
        <v>35</v>
      </c>
      <c r="D268" t="s">
        <v>36</v>
      </c>
      <c r="E268" t="s">
        <v>44</v>
      </c>
      <c r="F268" t="s">
        <v>48</v>
      </c>
      <c r="G268" t="s">
        <v>45</v>
      </c>
      <c r="H268">
        <v>2</v>
      </c>
      <c r="I268">
        <v>0</v>
      </c>
      <c r="J268" t="s">
        <v>43</v>
      </c>
      <c r="K268" t="s">
        <v>43</v>
      </c>
      <c r="L268" t="s">
        <v>42</v>
      </c>
      <c r="M268" t="s">
        <v>42</v>
      </c>
      <c r="N268" t="s">
        <v>42</v>
      </c>
      <c r="O268">
        <v>5</v>
      </c>
      <c r="P268">
        <v>4</v>
      </c>
      <c r="Q268">
        <v>4</v>
      </c>
      <c r="R268">
        <v>3</v>
      </c>
      <c r="S268">
        <v>4</v>
      </c>
      <c r="T268">
        <f t="shared" si="20"/>
        <v>7</v>
      </c>
      <c r="U268" t="str" cm="1">
        <f t="array" ref="U268">_xlfn.IFS(T268&lt;3, "low", AND(T268&gt;=3, T268&lt;5), "med", T268&gt;=5, "high")</f>
        <v>high</v>
      </c>
      <c r="V268">
        <v>2</v>
      </c>
      <c r="W268" t="str" cm="1">
        <f t="array" ref="W268">_xlfn.IFS(V268&lt;5, "low", AND(V268&gt;=5, V268&lt;10), "med", V268&gt;=10, "high")</f>
        <v>low</v>
      </c>
      <c r="X268">
        <v>9</v>
      </c>
      <c r="Y268">
        <v>9</v>
      </c>
      <c r="Z268">
        <v>10</v>
      </c>
      <c r="AA268">
        <f t="shared" si="21"/>
        <v>0</v>
      </c>
      <c r="AB268">
        <f t="shared" si="22"/>
        <v>0</v>
      </c>
      <c r="AC268">
        <f t="shared" si="23"/>
        <v>0</v>
      </c>
      <c r="AD268" s="1">
        <f t="shared" si="24"/>
        <v>9.3333333333333339</v>
      </c>
    </row>
    <row r="269" spans="1:30" x14ac:dyDescent="0.35">
      <c r="A269" t="s">
        <v>34</v>
      </c>
      <c r="B269">
        <v>18</v>
      </c>
      <c r="C269" t="s">
        <v>52</v>
      </c>
      <c r="D269" t="s">
        <v>36</v>
      </c>
      <c r="E269" t="s">
        <v>44</v>
      </c>
      <c r="F269" t="s">
        <v>39</v>
      </c>
      <c r="G269" t="s">
        <v>45</v>
      </c>
      <c r="H269">
        <v>2</v>
      </c>
      <c r="I269">
        <v>0</v>
      </c>
      <c r="J269" t="s">
        <v>43</v>
      </c>
      <c r="K269" t="s">
        <v>43</v>
      </c>
      <c r="L269" t="s">
        <v>42</v>
      </c>
      <c r="M269" t="s">
        <v>42</v>
      </c>
      <c r="N269" t="s">
        <v>43</v>
      </c>
      <c r="O269">
        <v>4</v>
      </c>
      <c r="P269">
        <v>3</v>
      </c>
      <c r="Q269">
        <v>4</v>
      </c>
      <c r="R269">
        <v>2</v>
      </c>
      <c r="S269">
        <v>2</v>
      </c>
      <c r="T269">
        <f t="shared" si="20"/>
        <v>4</v>
      </c>
      <c r="U269" t="str" cm="1">
        <f t="array" ref="U269">_xlfn.IFS(T269&lt;3, "low", AND(T269&gt;=3, T269&lt;5), "med", T269&gt;=5, "high")</f>
        <v>med</v>
      </c>
      <c r="V269">
        <v>8</v>
      </c>
      <c r="W269" t="str" cm="1">
        <f t="array" ref="W269">_xlfn.IFS(V269&lt;5, "low", AND(V269&gt;=5, V269&lt;10), "med", V269&gt;=10, "high")</f>
        <v>med</v>
      </c>
      <c r="X269">
        <v>12</v>
      </c>
      <c r="Y269">
        <v>10</v>
      </c>
      <c r="Z269">
        <v>11</v>
      </c>
      <c r="AA269">
        <f t="shared" si="21"/>
        <v>1</v>
      </c>
      <c r="AB269">
        <f t="shared" si="22"/>
        <v>0</v>
      </c>
      <c r="AC269">
        <f t="shared" si="23"/>
        <v>1</v>
      </c>
      <c r="AD269" s="1">
        <f t="shared" si="24"/>
        <v>11</v>
      </c>
    </row>
    <row r="270" spans="1:30" x14ac:dyDescent="0.35">
      <c r="A270" t="s">
        <v>50</v>
      </c>
      <c r="B270">
        <v>18</v>
      </c>
      <c r="C270" t="s">
        <v>35</v>
      </c>
      <c r="D270" t="s">
        <v>36</v>
      </c>
      <c r="E270" t="s">
        <v>44</v>
      </c>
      <c r="F270" t="s">
        <v>28</v>
      </c>
      <c r="G270" t="s">
        <v>45</v>
      </c>
      <c r="H270">
        <v>2</v>
      </c>
      <c r="I270">
        <v>0</v>
      </c>
      <c r="J270" t="s">
        <v>43</v>
      </c>
      <c r="K270" t="s">
        <v>42</v>
      </c>
      <c r="L270" t="s">
        <v>42</v>
      </c>
      <c r="M270" t="s">
        <v>42</v>
      </c>
      <c r="N270" t="s">
        <v>42</v>
      </c>
      <c r="O270">
        <v>5</v>
      </c>
      <c r="P270">
        <v>4</v>
      </c>
      <c r="Q270">
        <v>5</v>
      </c>
      <c r="R270">
        <v>1</v>
      </c>
      <c r="S270">
        <v>3</v>
      </c>
      <c r="T270">
        <f t="shared" si="20"/>
        <v>4</v>
      </c>
      <c r="U270" t="str" cm="1">
        <f t="array" ref="U270">_xlfn.IFS(T270&lt;3, "low", AND(T270&gt;=3, T270&lt;5), "med", T270&gt;=5, "high")</f>
        <v>med</v>
      </c>
      <c r="V270">
        <v>10</v>
      </c>
      <c r="W270" t="str" cm="1">
        <f t="array" ref="W270">_xlfn.IFS(V270&lt;5, "low", AND(V270&gt;=5, V270&lt;10), "med", V270&gt;=10, "high")</f>
        <v>high</v>
      </c>
      <c r="X270">
        <v>10</v>
      </c>
      <c r="Y270">
        <v>9</v>
      </c>
      <c r="Z270">
        <v>10</v>
      </c>
      <c r="AA270">
        <f t="shared" si="21"/>
        <v>1</v>
      </c>
      <c r="AB270">
        <f t="shared" si="22"/>
        <v>0</v>
      </c>
      <c r="AC270">
        <f t="shared" si="23"/>
        <v>1</v>
      </c>
      <c r="AD270" s="1">
        <f t="shared" si="24"/>
        <v>9.6666666666666661</v>
      </c>
    </row>
    <row r="271" spans="1:30" x14ac:dyDescent="0.35">
      <c r="A271" t="s">
        <v>34</v>
      </c>
      <c r="B271">
        <v>18</v>
      </c>
      <c r="C271" t="s">
        <v>52</v>
      </c>
      <c r="D271" t="s">
        <v>36</v>
      </c>
      <c r="E271" t="s">
        <v>44</v>
      </c>
      <c r="F271" t="s">
        <v>45</v>
      </c>
      <c r="G271" t="s">
        <v>45</v>
      </c>
      <c r="H271">
        <v>2</v>
      </c>
      <c r="I271">
        <v>0</v>
      </c>
      <c r="J271" t="s">
        <v>43</v>
      </c>
      <c r="K271" t="s">
        <v>42</v>
      </c>
      <c r="L271" t="s">
        <v>43</v>
      </c>
      <c r="M271" t="s">
        <v>43</v>
      </c>
      <c r="N271" t="s">
        <v>42</v>
      </c>
      <c r="O271">
        <v>4</v>
      </c>
      <c r="P271">
        <v>3</v>
      </c>
      <c r="Q271">
        <v>5</v>
      </c>
      <c r="R271">
        <v>1</v>
      </c>
      <c r="S271">
        <v>2</v>
      </c>
      <c r="T271">
        <f t="shared" si="20"/>
        <v>3</v>
      </c>
      <c r="U271" t="str" cm="1">
        <f t="array" ref="U271">_xlfn.IFS(T271&lt;3, "low", AND(T271&gt;=3, T271&lt;5), "med", T271&gt;=5, "high")</f>
        <v>med</v>
      </c>
      <c r="V271">
        <v>0</v>
      </c>
      <c r="W271" t="str" cm="1">
        <f t="array" ref="W271">_xlfn.IFS(V271&lt;5, "low", AND(V271&gt;=5, V271&lt;10), "med", V271&gt;=10, "high")</f>
        <v>low</v>
      </c>
      <c r="X271">
        <v>6</v>
      </c>
      <c r="Y271">
        <v>0</v>
      </c>
      <c r="Z271">
        <v>0</v>
      </c>
      <c r="AA271">
        <f t="shared" si="21"/>
        <v>1</v>
      </c>
      <c r="AB271">
        <f t="shared" si="22"/>
        <v>0</v>
      </c>
      <c r="AC271">
        <f t="shared" si="23"/>
        <v>1</v>
      </c>
      <c r="AD271" s="1">
        <f t="shared" si="24"/>
        <v>2</v>
      </c>
    </row>
    <row r="272" spans="1:30" x14ac:dyDescent="0.35">
      <c r="A272" t="s">
        <v>34</v>
      </c>
      <c r="B272">
        <v>19</v>
      </c>
      <c r="C272" t="s">
        <v>35</v>
      </c>
      <c r="D272" t="s">
        <v>36</v>
      </c>
      <c r="E272" t="s">
        <v>44</v>
      </c>
      <c r="F272" t="s">
        <v>45</v>
      </c>
      <c r="G272" t="s">
        <v>48</v>
      </c>
      <c r="H272">
        <v>2</v>
      </c>
      <c r="I272">
        <v>2</v>
      </c>
      <c r="J272" t="s">
        <v>43</v>
      </c>
      <c r="K272" t="s">
        <v>42</v>
      </c>
      <c r="L272" t="s">
        <v>42</v>
      </c>
      <c r="M272" t="s">
        <v>42</v>
      </c>
      <c r="N272" t="s">
        <v>43</v>
      </c>
      <c r="O272">
        <v>4</v>
      </c>
      <c r="P272">
        <v>3</v>
      </c>
      <c r="Q272">
        <v>5</v>
      </c>
      <c r="R272">
        <v>3</v>
      </c>
      <c r="S272">
        <v>3</v>
      </c>
      <c r="T272">
        <f t="shared" si="20"/>
        <v>6</v>
      </c>
      <c r="U272" t="str" cm="1">
        <f t="array" ref="U272">_xlfn.IFS(T272&lt;3, "low", AND(T272&gt;=3, T272&lt;5), "med", T272&gt;=5, "high")</f>
        <v>high</v>
      </c>
      <c r="V272">
        <v>15</v>
      </c>
      <c r="W272" t="str" cm="1">
        <f t="array" ref="W272">_xlfn.IFS(V272&lt;5, "low", AND(V272&gt;=5, V272&lt;10), "med", V272&gt;=10, "high")</f>
        <v>high</v>
      </c>
      <c r="X272">
        <v>9</v>
      </c>
      <c r="Y272">
        <v>9</v>
      </c>
      <c r="Z272">
        <v>9</v>
      </c>
      <c r="AA272">
        <f t="shared" si="21"/>
        <v>0</v>
      </c>
      <c r="AB272">
        <f t="shared" si="22"/>
        <v>0</v>
      </c>
      <c r="AC272">
        <f t="shared" si="23"/>
        <v>0</v>
      </c>
      <c r="AD272" s="1">
        <f t="shared" si="24"/>
        <v>9</v>
      </c>
    </row>
    <row r="273" spans="1:30" x14ac:dyDescent="0.35">
      <c r="A273" t="s">
        <v>34</v>
      </c>
      <c r="B273">
        <v>18</v>
      </c>
      <c r="C273" t="s">
        <v>35</v>
      </c>
      <c r="D273" t="s">
        <v>36</v>
      </c>
      <c r="E273" t="s">
        <v>44</v>
      </c>
      <c r="F273" t="s">
        <v>45</v>
      </c>
      <c r="G273" t="s">
        <v>48</v>
      </c>
      <c r="H273">
        <v>4</v>
      </c>
      <c r="I273">
        <v>0</v>
      </c>
      <c r="J273" t="s">
        <v>43</v>
      </c>
      <c r="K273" t="s">
        <v>42</v>
      </c>
      <c r="L273" t="s">
        <v>42</v>
      </c>
      <c r="M273" t="s">
        <v>42</v>
      </c>
      <c r="N273" t="s">
        <v>42</v>
      </c>
      <c r="O273">
        <v>4</v>
      </c>
      <c r="P273">
        <v>5</v>
      </c>
      <c r="Q273">
        <v>5</v>
      </c>
      <c r="R273">
        <v>1</v>
      </c>
      <c r="S273">
        <v>3</v>
      </c>
      <c r="T273">
        <f t="shared" si="20"/>
        <v>4</v>
      </c>
      <c r="U273" t="str" cm="1">
        <f t="array" ref="U273">_xlfn.IFS(T273&lt;3, "low", AND(T273&gt;=3, T273&lt;5), "med", T273&gt;=5, "high")</f>
        <v>med</v>
      </c>
      <c r="V273">
        <v>4</v>
      </c>
      <c r="W273" t="str" cm="1">
        <f t="array" ref="W273">_xlfn.IFS(V273&lt;5, "low", AND(V273&gt;=5, V273&lt;10), "med", V273&gt;=10, "high")</f>
        <v>low</v>
      </c>
      <c r="X273">
        <v>15</v>
      </c>
      <c r="Y273">
        <v>14</v>
      </c>
      <c r="Z273">
        <v>14</v>
      </c>
      <c r="AA273">
        <f t="shared" si="21"/>
        <v>1</v>
      </c>
      <c r="AB273">
        <f t="shared" si="22"/>
        <v>0</v>
      </c>
      <c r="AC273">
        <f t="shared" si="23"/>
        <v>1</v>
      </c>
      <c r="AD273" s="1">
        <f t="shared" si="24"/>
        <v>14.333333333333334</v>
      </c>
    </row>
    <row r="274" spans="1:30" x14ac:dyDescent="0.35">
      <c r="A274" t="s">
        <v>34</v>
      </c>
      <c r="B274">
        <v>18</v>
      </c>
      <c r="C274" t="s">
        <v>35</v>
      </c>
      <c r="D274" t="s">
        <v>47</v>
      </c>
      <c r="E274" t="s">
        <v>44</v>
      </c>
      <c r="F274" t="s">
        <v>45</v>
      </c>
      <c r="G274" t="s">
        <v>45</v>
      </c>
      <c r="H274">
        <v>2</v>
      </c>
      <c r="I274">
        <v>0</v>
      </c>
      <c r="J274" t="s">
        <v>43</v>
      </c>
      <c r="K274" t="s">
        <v>42</v>
      </c>
      <c r="L274" t="s">
        <v>42</v>
      </c>
      <c r="M274" t="s">
        <v>43</v>
      </c>
      <c r="N274" t="s">
        <v>43</v>
      </c>
      <c r="O274">
        <v>4</v>
      </c>
      <c r="P274">
        <v>4</v>
      </c>
      <c r="Q274">
        <v>3</v>
      </c>
      <c r="R274">
        <v>1</v>
      </c>
      <c r="S274">
        <v>1</v>
      </c>
      <c r="T274">
        <f t="shared" si="20"/>
        <v>2</v>
      </c>
      <c r="U274" t="str" cm="1">
        <f t="array" ref="U274">_xlfn.IFS(T274&lt;3, "low", AND(T274&gt;=3, T274&lt;5), "med", T274&gt;=5, "high")</f>
        <v>low</v>
      </c>
      <c r="V274">
        <v>2</v>
      </c>
      <c r="W274" t="str" cm="1">
        <f t="array" ref="W274">_xlfn.IFS(V274&lt;5, "low", AND(V274&gt;=5, V274&lt;10), "med", V274&gt;=10, "high")</f>
        <v>low</v>
      </c>
      <c r="X274">
        <v>11</v>
      </c>
      <c r="Y274">
        <v>11</v>
      </c>
      <c r="Z274">
        <v>11</v>
      </c>
      <c r="AA274">
        <f t="shared" si="21"/>
        <v>0</v>
      </c>
      <c r="AB274">
        <f t="shared" si="22"/>
        <v>0</v>
      </c>
      <c r="AC274">
        <f t="shared" si="23"/>
        <v>0</v>
      </c>
      <c r="AD274" s="1">
        <f t="shared" si="24"/>
        <v>11</v>
      </c>
    </row>
    <row r="275" spans="1:30" x14ac:dyDescent="0.35">
      <c r="A275" t="s">
        <v>50</v>
      </c>
      <c r="B275">
        <v>17</v>
      </c>
      <c r="C275" t="s">
        <v>52</v>
      </c>
      <c r="D275" t="s">
        <v>36</v>
      </c>
      <c r="E275" t="s">
        <v>44</v>
      </c>
      <c r="F275" t="s">
        <v>38</v>
      </c>
      <c r="G275" t="s">
        <v>38</v>
      </c>
      <c r="H275">
        <v>2</v>
      </c>
      <c r="I275">
        <v>0</v>
      </c>
      <c r="J275" t="s">
        <v>43</v>
      </c>
      <c r="K275" t="s">
        <v>42</v>
      </c>
      <c r="L275" t="s">
        <v>42</v>
      </c>
      <c r="M275" t="s">
        <v>42</v>
      </c>
      <c r="N275" t="s">
        <v>42</v>
      </c>
      <c r="O275">
        <v>3</v>
      </c>
      <c r="P275">
        <v>5</v>
      </c>
      <c r="Q275">
        <v>2</v>
      </c>
      <c r="R275">
        <v>2</v>
      </c>
      <c r="S275">
        <v>2</v>
      </c>
      <c r="T275">
        <f t="shared" si="20"/>
        <v>4</v>
      </c>
      <c r="U275" t="str" cm="1">
        <f t="array" ref="U275">_xlfn.IFS(T275&lt;3, "low", AND(T275&gt;=3, T275&lt;5), "med", T275&gt;=5, "high")</f>
        <v>med</v>
      </c>
      <c r="V275">
        <v>2</v>
      </c>
      <c r="W275" t="str" cm="1">
        <f t="array" ref="W275">_xlfn.IFS(V275&lt;5, "low", AND(V275&gt;=5, V275&lt;10), "med", V275&gt;=10, "high")</f>
        <v>low</v>
      </c>
      <c r="X275">
        <v>15</v>
      </c>
      <c r="Y275">
        <v>14</v>
      </c>
      <c r="Z275">
        <v>14</v>
      </c>
      <c r="AA275">
        <f t="shared" si="21"/>
        <v>1</v>
      </c>
      <c r="AB275">
        <f t="shared" si="22"/>
        <v>0</v>
      </c>
      <c r="AC275">
        <f t="shared" si="23"/>
        <v>1</v>
      </c>
      <c r="AD275" s="1">
        <f t="shared" si="24"/>
        <v>14.333333333333334</v>
      </c>
    </row>
    <row r="276" spans="1:30" x14ac:dyDescent="0.35">
      <c r="A276" t="s">
        <v>34</v>
      </c>
      <c r="B276">
        <v>17</v>
      </c>
      <c r="C276" t="s">
        <v>35</v>
      </c>
      <c r="D276" t="s">
        <v>36</v>
      </c>
      <c r="E276" t="s">
        <v>44</v>
      </c>
      <c r="F276" t="s">
        <v>38</v>
      </c>
      <c r="G276" t="s">
        <v>28</v>
      </c>
      <c r="H276">
        <v>2</v>
      </c>
      <c r="I276">
        <v>0</v>
      </c>
      <c r="J276" t="s">
        <v>43</v>
      </c>
      <c r="K276" t="s">
        <v>42</v>
      </c>
      <c r="L276" t="s">
        <v>42</v>
      </c>
      <c r="M276" t="s">
        <v>43</v>
      </c>
      <c r="N276" t="s">
        <v>42</v>
      </c>
      <c r="O276">
        <v>4</v>
      </c>
      <c r="P276">
        <v>3</v>
      </c>
      <c r="Q276">
        <v>3</v>
      </c>
      <c r="R276">
        <v>1</v>
      </c>
      <c r="S276">
        <v>1</v>
      </c>
      <c r="T276">
        <f t="shared" si="20"/>
        <v>2</v>
      </c>
      <c r="U276" t="str" cm="1">
        <f t="array" ref="U276">_xlfn.IFS(T276&lt;3, "low", AND(T276&gt;=3, T276&lt;5), "med", T276&gt;=5, "high")</f>
        <v>low</v>
      </c>
      <c r="V276">
        <v>2</v>
      </c>
      <c r="W276" t="str" cm="1">
        <f t="array" ref="W276">_xlfn.IFS(V276&lt;5, "low", AND(V276&gt;=5, V276&lt;10), "med", V276&gt;=10, "high")</f>
        <v>low</v>
      </c>
      <c r="X276">
        <v>10</v>
      </c>
      <c r="Y276">
        <v>10</v>
      </c>
      <c r="Z276">
        <v>10</v>
      </c>
      <c r="AA276">
        <f t="shared" si="21"/>
        <v>0</v>
      </c>
      <c r="AB276">
        <f t="shared" si="22"/>
        <v>0</v>
      </c>
      <c r="AC276">
        <f t="shared" si="23"/>
        <v>0</v>
      </c>
      <c r="AD276" s="1">
        <f t="shared" si="24"/>
        <v>10</v>
      </c>
    </row>
    <row r="277" spans="1:30" x14ac:dyDescent="0.35">
      <c r="A277" t="s">
        <v>34</v>
      </c>
      <c r="B277">
        <v>17</v>
      </c>
      <c r="C277" t="s">
        <v>35</v>
      </c>
      <c r="D277" t="s">
        <v>47</v>
      </c>
      <c r="E277" t="s">
        <v>44</v>
      </c>
      <c r="F277" t="s">
        <v>48</v>
      </c>
      <c r="G277" t="s">
        <v>45</v>
      </c>
      <c r="H277">
        <v>2</v>
      </c>
      <c r="I277">
        <v>0</v>
      </c>
      <c r="J277" t="s">
        <v>42</v>
      </c>
      <c r="K277" t="s">
        <v>42</v>
      </c>
      <c r="L277" t="s">
        <v>42</v>
      </c>
      <c r="M277" t="s">
        <v>43</v>
      </c>
      <c r="N277" t="s">
        <v>42</v>
      </c>
      <c r="O277">
        <v>4</v>
      </c>
      <c r="P277">
        <v>4</v>
      </c>
      <c r="Q277">
        <v>4</v>
      </c>
      <c r="R277">
        <v>2</v>
      </c>
      <c r="S277">
        <v>3</v>
      </c>
      <c r="T277">
        <f t="shared" si="20"/>
        <v>5</v>
      </c>
      <c r="U277" t="str" cm="1">
        <f t="array" ref="U277">_xlfn.IFS(T277&lt;3, "low", AND(T277&gt;=3, T277&lt;5), "med", T277&gt;=5, "high")</f>
        <v>high</v>
      </c>
      <c r="V277">
        <v>6</v>
      </c>
      <c r="W277" t="str" cm="1">
        <f t="array" ref="W277">_xlfn.IFS(V277&lt;5, "low", AND(V277&gt;=5, V277&lt;10), "med", V277&gt;=10, "high")</f>
        <v>med</v>
      </c>
      <c r="X277">
        <v>12</v>
      </c>
      <c r="Y277">
        <v>12</v>
      </c>
      <c r="Z277">
        <v>12</v>
      </c>
      <c r="AA277">
        <f t="shared" si="21"/>
        <v>0</v>
      </c>
      <c r="AB277">
        <f t="shared" si="22"/>
        <v>0</v>
      </c>
      <c r="AC277">
        <f t="shared" si="23"/>
        <v>0</v>
      </c>
      <c r="AD277" s="1">
        <f t="shared" si="24"/>
        <v>12</v>
      </c>
    </row>
    <row r="278" spans="1:30" x14ac:dyDescent="0.35">
      <c r="A278" t="s">
        <v>34</v>
      </c>
      <c r="B278">
        <v>18</v>
      </c>
      <c r="C278" t="s">
        <v>52</v>
      </c>
      <c r="D278" t="s">
        <v>36</v>
      </c>
      <c r="E278" t="s">
        <v>37</v>
      </c>
      <c r="F278" t="s">
        <v>45</v>
      </c>
      <c r="G278" t="s">
        <v>48</v>
      </c>
      <c r="H278">
        <v>2</v>
      </c>
      <c r="I278">
        <v>0</v>
      </c>
      <c r="J278" t="s">
        <v>43</v>
      </c>
      <c r="K278" t="s">
        <v>43</v>
      </c>
      <c r="L278" t="s">
        <v>43</v>
      </c>
      <c r="M278" t="s">
        <v>43</v>
      </c>
      <c r="N278" t="s">
        <v>42</v>
      </c>
      <c r="O278">
        <v>4</v>
      </c>
      <c r="P278">
        <v>1</v>
      </c>
      <c r="Q278">
        <v>1</v>
      </c>
      <c r="R278">
        <v>1</v>
      </c>
      <c r="S278">
        <v>1</v>
      </c>
      <c r="T278">
        <f t="shared" si="20"/>
        <v>2</v>
      </c>
      <c r="U278" t="str" cm="1">
        <f t="array" ref="U278">_xlfn.IFS(T278&lt;3, "low", AND(T278&gt;=3, T278&lt;5), "med", T278&gt;=5, "high")</f>
        <v>low</v>
      </c>
      <c r="V278">
        <v>75</v>
      </c>
      <c r="W278" t="str" cm="1">
        <f t="array" ref="W278">_xlfn.IFS(V278&lt;5, "low", AND(V278&gt;=5, V278&lt;10), "med", V278&gt;=10, "high")</f>
        <v>high</v>
      </c>
      <c r="X278">
        <v>10</v>
      </c>
      <c r="Y278">
        <v>9</v>
      </c>
      <c r="Z278">
        <v>9</v>
      </c>
      <c r="AA278">
        <f t="shared" si="21"/>
        <v>1</v>
      </c>
      <c r="AB278">
        <f t="shared" si="22"/>
        <v>0</v>
      </c>
      <c r="AC278">
        <f t="shared" si="23"/>
        <v>1</v>
      </c>
      <c r="AD278" s="1">
        <f t="shared" si="24"/>
        <v>9.3333333333333339</v>
      </c>
    </row>
    <row r="279" spans="1:30" x14ac:dyDescent="0.35">
      <c r="A279" t="s">
        <v>50</v>
      </c>
      <c r="B279">
        <v>18</v>
      </c>
      <c r="C279" t="s">
        <v>35</v>
      </c>
      <c r="D279" t="s">
        <v>36</v>
      </c>
      <c r="E279" t="s">
        <v>44</v>
      </c>
      <c r="F279" t="s">
        <v>39</v>
      </c>
      <c r="G279" t="s">
        <v>48</v>
      </c>
      <c r="H279">
        <v>1</v>
      </c>
      <c r="I279">
        <v>0</v>
      </c>
      <c r="J279" t="s">
        <v>43</v>
      </c>
      <c r="K279" t="s">
        <v>43</v>
      </c>
      <c r="L279" t="s">
        <v>42</v>
      </c>
      <c r="M279" t="s">
        <v>42</v>
      </c>
      <c r="N279" t="s">
        <v>43</v>
      </c>
      <c r="O279">
        <v>3</v>
      </c>
      <c r="P279">
        <v>2</v>
      </c>
      <c r="Q279">
        <v>4</v>
      </c>
      <c r="R279">
        <v>1</v>
      </c>
      <c r="S279">
        <v>4</v>
      </c>
      <c r="T279">
        <f t="shared" si="20"/>
        <v>5</v>
      </c>
      <c r="U279" t="str" cm="1">
        <f t="array" ref="U279">_xlfn.IFS(T279&lt;3, "low", AND(T279&gt;=3, T279&lt;5), "med", T279&gt;=5, "high")</f>
        <v>high</v>
      </c>
      <c r="V279">
        <v>22</v>
      </c>
      <c r="W279" t="str" cm="1">
        <f t="array" ref="W279">_xlfn.IFS(V279&lt;5, "low", AND(V279&gt;=5, V279&lt;10), "med", V279&gt;=10, "high")</f>
        <v>high</v>
      </c>
      <c r="X279">
        <v>9</v>
      </c>
      <c r="Y279">
        <v>9</v>
      </c>
      <c r="Z279">
        <v>9</v>
      </c>
      <c r="AA279">
        <f t="shared" si="21"/>
        <v>0</v>
      </c>
      <c r="AB279">
        <f t="shared" si="22"/>
        <v>0</v>
      </c>
      <c r="AC279">
        <f t="shared" si="23"/>
        <v>0</v>
      </c>
      <c r="AD279" s="1">
        <f t="shared" si="24"/>
        <v>9</v>
      </c>
    </row>
    <row r="280" spans="1:30" x14ac:dyDescent="0.35">
      <c r="A280" t="s">
        <v>34</v>
      </c>
      <c r="B280">
        <v>18</v>
      </c>
      <c r="C280" t="s">
        <v>35</v>
      </c>
      <c r="D280" t="s">
        <v>36</v>
      </c>
      <c r="E280" t="s">
        <v>44</v>
      </c>
      <c r="F280" t="s">
        <v>28</v>
      </c>
      <c r="G280" t="s">
        <v>28</v>
      </c>
      <c r="H280">
        <v>2</v>
      </c>
      <c r="I280">
        <v>1</v>
      </c>
      <c r="J280" t="s">
        <v>42</v>
      </c>
      <c r="K280" t="s">
        <v>42</v>
      </c>
      <c r="L280" t="s">
        <v>43</v>
      </c>
      <c r="M280" t="s">
        <v>42</v>
      </c>
      <c r="N280" t="s">
        <v>42</v>
      </c>
      <c r="O280">
        <v>2</v>
      </c>
      <c r="P280">
        <v>4</v>
      </c>
      <c r="Q280">
        <v>4</v>
      </c>
      <c r="R280">
        <v>1</v>
      </c>
      <c r="S280">
        <v>1</v>
      </c>
      <c r="T280">
        <f t="shared" si="20"/>
        <v>2</v>
      </c>
      <c r="U280" t="str" cm="1">
        <f t="array" ref="U280">_xlfn.IFS(T280&lt;3, "low", AND(T280&gt;=3, T280&lt;5), "med", T280&gt;=5, "high")</f>
        <v>low</v>
      </c>
      <c r="V280">
        <v>15</v>
      </c>
      <c r="W280" t="str" cm="1">
        <f t="array" ref="W280">_xlfn.IFS(V280&lt;5, "low", AND(V280&gt;=5, V280&lt;10), "med", V280&gt;=10, "high")</f>
        <v>high</v>
      </c>
      <c r="X280">
        <v>9</v>
      </c>
      <c r="Y280">
        <v>8</v>
      </c>
      <c r="Z280">
        <v>8</v>
      </c>
      <c r="AA280">
        <f t="shared" si="21"/>
        <v>1</v>
      </c>
      <c r="AB280">
        <f t="shared" si="22"/>
        <v>0</v>
      </c>
      <c r="AC280">
        <f t="shared" si="23"/>
        <v>1</v>
      </c>
      <c r="AD280" s="1">
        <f t="shared" si="24"/>
        <v>8.3333333333333339</v>
      </c>
    </row>
    <row r="281" spans="1:30" x14ac:dyDescent="0.35">
      <c r="A281" t="s">
        <v>50</v>
      </c>
      <c r="B281">
        <v>18</v>
      </c>
      <c r="C281" t="s">
        <v>35</v>
      </c>
      <c r="D281" t="s">
        <v>47</v>
      </c>
      <c r="E281" t="s">
        <v>44</v>
      </c>
      <c r="F281" t="s">
        <v>39</v>
      </c>
      <c r="G281" t="s">
        <v>48</v>
      </c>
      <c r="H281">
        <v>1</v>
      </c>
      <c r="I281">
        <v>0</v>
      </c>
      <c r="J281" t="s">
        <v>43</v>
      </c>
      <c r="K281" t="s">
        <v>43</v>
      </c>
      <c r="L281" t="s">
        <v>42</v>
      </c>
      <c r="M281" t="s">
        <v>42</v>
      </c>
      <c r="N281" t="s">
        <v>43</v>
      </c>
      <c r="O281">
        <v>4</v>
      </c>
      <c r="P281">
        <v>2</v>
      </c>
      <c r="Q281">
        <v>3</v>
      </c>
      <c r="R281">
        <v>1</v>
      </c>
      <c r="S281">
        <v>2</v>
      </c>
      <c r="T281">
        <f t="shared" si="20"/>
        <v>3</v>
      </c>
      <c r="U281" t="str" cm="1">
        <f t="array" ref="U281">_xlfn.IFS(T281&lt;3, "low", AND(T281&gt;=3, T281&lt;5), "med", T281&gt;=5, "high")</f>
        <v>med</v>
      </c>
      <c r="V281">
        <v>8</v>
      </c>
      <c r="W281" t="str" cm="1">
        <f t="array" ref="W281">_xlfn.IFS(V281&lt;5, "low", AND(V281&gt;=5, V281&lt;10), "med", V281&gt;=10, "high")</f>
        <v>med</v>
      </c>
      <c r="X281">
        <v>10</v>
      </c>
      <c r="Y281">
        <v>11</v>
      </c>
      <c r="Z281">
        <v>10</v>
      </c>
      <c r="AA281">
        <f t="shared" si="21"/>
        <v>0</v>
      </c>
      <c r="AB281">
        <f t="shared" si="22"/>
        <v>1</v>
      </c>
      <c r="AC281">
        <f t="shared" si="23"/>
        <v>1</v>
      </c>
      <c r="AD281" s="1">
        <f t="shared" si="24"/>
        <v>10.333333333333334</v>
      </c>
    </row>
    <row r="282" spans="1:30" x14ac:dyDescent="0.35">
      <c r="A282" t="s">
        <v>50</v>
      </c>
      <c r="B282">
        <v>17</v>
      </c>
      <c r="C282" t="s">
        <v>35</v>
      </c>
      <c r="D282" t="s">
        <v>47</v>
      </c>
      <c r="E282" t="s">
        <v>37</v>
      </c>
      <c r="F282" t="s">
        <v>48</v>
      </c>
      <c r="G282" t="s">
        <v>45</v>
      </c>
      <c r="H282">
        <v>1</v>
      </c>
      <c r="I282">
        <v>0</v>
      </c>
      <c r="J282" t="s">
        <v>43</v>
      </c>
      <c r="K282" t="s">
        <v>43</v>
      </c>
      <c r="L282" t="s">
        <v>42</v>
      </c>
      <c r="M282" t="s">
        <v>42</v>
      </c>
      <c r="N282" t="s">
        <v>42</v>
      </c>
      <c r="O282">
        <v>4</v>
      </c>
      <c r="P282">
        <v>5</v>
      </c>
      <c r="Q282">
        <v>4</v>
      </c>
      <c r="R282">
        <v>2</v>
      </c>
      <c r="S282">
        <v>4</v>
      </c>
      <c r="T282">
        <f t="shared" si="20"/>
        <v>6</v>
      </c>
      <c r="U282" t="str" cm="1">
        <f t="array" ref="U282">_xlfn.IFS(T282&lt;3, "low", AND(T282&gt;=3, T282&lt;5), "med", T282&gt;=5, "high")</f>
        <v>high</v>
      </c>
      <c r="V282">
        <v>30</v>
      </c>
      <c r="W282" t="str" cm="1">
        <f t="array" ref="W282">_xlfn.IFS(V282&lt;5, "low", AND(V282&gt;=5, V282&lt;10), "med", V282&gt;=10, "high")</f>
        <v>high</v>
      </c>
      <c r="X282">
        <v>8</v>
      </c>
      <c r="Y282">
        <v>8</v>
      </c>
      <c r="Z282">
        <v>8</v>
      </c>
      <c r="AA282">
        <f t="shared" si="21"/>
        <v>0</v>
      </c>
      <c r="AB282">
        <f t="shared" si="22"/>
        <v>0</v>
      </c>
      <c r="AC282">
        <f t="shared" si="23"/>
        <v>0</v>
      </c>
      <c r="AD282" s="1">
        <f t="shared" si="24"/>
        <v>8</v>
      </c>
    </row>
    <row r="283" spans="1:30" x14ac:dyDescent="0.35">
      <c r="A283" t="s">
        <v>50</v>
      </c>
      <c r="B283">
        <v>17</v>
      </c>
      <c r="C283" t="s">
        <v>35</v>
      </c>
      <c r="D283" t="s">
        <v>47</v>
      </c>
      <c r="E283" t="s">
        <v>37</v>
      </c>
      <c r="F283" t="s">
        <v>39</v>
      </c>
      <c r="G283" t="s">
        <v>48</v>
      </c>
      <c r="H283">
        <v>1</v>
      </c>
      <c r="I283">
        <v>1</v>
      </c>
      <c r="J283" t="s">
        <v>43</v>
      </c>
      <c r="K283" t="s">
        <v>43</v>
      </c>
      <c r="L283" t="s">
        <v>43</v>
      </c>
      <c r="M283" t="s">
        <v>43</v>
      </c>
      <c r="N283" t="s">
        <v>43</v>
      </c>
      <c r="O283">
        <v>4</v>
      </c>
      <c r="P283">
        <v>4</v>
      </c>
      <c r="Q283">
        <v>4</v>
      </c>
      <c r="R283">
        <v>3</v>
      </c>
      <c r="S283">
        <v>4</v>
      </c>
      <c r="T283">
        <f t="shared" si="20"/>
        <v>7</v>
      </c>
      <c r="U283" t="str" cm="1">
        <f t="array" ref="U283">_xlfn.IFS(T283&lt;3, "low", AND(T283&gt;=3, T283&lt;5), "med", T283&gt;=5, "high")</f>
        <v>high</v>
      </c>
      <c r="V283">
        <v>19</v>
      </c>
      <c r="W283" t="str" cm="1">
        <f t="array" ref="W283">_xlfn.IFS(V283&lt;5, "low", AND(V283&gt;=5, V283&lt;10), "med", V283&gt;=10, "high")</f>
        <v>high</v>
      </c>
      <c r="X283">
        <v>11</v>
      </c>
      <c r="Y283">
        <v>9</v>
      </c>
      <c r="Z283">
        <v>10</v>
      </c>
      <c r="AA283">
        <f t="shared" si="21"/>
        <v>1</v>
      </c>
      <c r="AB283">
        <f t="shared" si="22"/>
        <v>0</v>
      </c>
      <c r="AC283">
        <f t="shared" si="23"/>
        <v>1</v>
      </c>
      <c r="AD283" s="1">
        <f t="shared" si="24"/>
        <v>10</v>
      </c>
    </row>
    <row r="284" spans="1:30" x14ac:dyDescent="0.35">
      <c r="A284" t="s">
        <v>34</v>
      </c>
      <c r="B284">
        <v>18</v>
      </c>
      <c r="C284" t="s">
        <v>52</v>
      </c>
      <c r="D284" t="s">
        <v>47</v>
      </c>
      <c r="E284" t="s">
        <v>44</v>
      </c>
      <c r="F284" t="s">
        <v>38</v>
      </c>
      <c r="G284" t="s">
        <v>45</v>
      </c>
      <c r="H284">
        <v>4</v>
      </c>
      <c r="I284">
        <v>0</v>
      </c>
      <c r="J284" t="s">
        <v>43</v>
      </c>
      <c r="K284" t="s">
        <v>42</v>
      </c>
      <c r="L284" t="s">
        <v>42</v>
      </c>
      <c r="M284" t="s">
        <v>42</v>
      </c>
      <c r="N284" t="s">
        <v>43</v>
      </c>
      <c r="O284">
        <v>5</v>
      </c>
      <c r="P284">
        <v>2</v>
      </c>
      <c r="Q284">
        <v>2</v>
      </c>
      <c r="R284">
        <v>1</v>
      </c>
      <c r="S284">
        <v>1</v>
      </c>
      <c r="T284">
        <f t="shared" si="20"/>
        <v>2</v>
      </c>
      <c r="U284" t="str" cm="1">
        <f t="array" ref="U284">_xlfn.IFS(T284&lt;3, "low", AND(T284&gt;=3, T284&lt;5), "med", T284&gt;=5, "high")</f>
        <v>low</v>
      </c>
      <c r="V284">
        <v>1</v>
      </c>
      <c r="W284" t="str" cm="1">
        <f t="array" ref="W284">_xlfn.IFS(V284&lt;5, "low", AND(V284&gt;=5, V284&lt;10), "med", V284&gt;=10, "high")</f>
        <v>low</v>
      </c>
      <c r="X284">
        <v>12</v>
      </c>
      <c r="Y284">
        <v>12</v>
      </c>
      <c r="Z284">
        <v>12</v>
      </c>
      <c r="AA284">
        <f t="shared" si="21"/>
        <v>0</v>
      </c>
      <c r="AB284">
        <f t="shared" si="22"/>
        <v>0</v>
      </c>
      <c r="AC284">
        <f t="shared" si="23"/>
        <v>0</v>
      </c>
      <c r="AD284" s="1">
        <f t="shared" si="24"/>
        <v>12</v>
      </c>
    </row>
    <row r="285" spans="1:30" x14ac:dyDescent="0.35">
      <c r="A285" t="s">
        <v>34</v>
      </c>
      <c r="B285">
        <v>18</v>
      </c>
      <c r="C285" t="s">
        <v>35</v>
      </c>
      <c r="D285" t="s">
        <v>36</v>
      </c>
      <c r="E285" t="s">
        <v>44</v>
      </c>
      <c r="F285" t="s">
        <v>45</v>
      </c>
      <c r="G285" t="s">
        <v>45</v>
      </c>
      <c r="H285">
        <v>2</v>
      </c>
      <c r="I285">
        <v>0</v>
      </c>
      <c r="J285" t="s">
        <v>42</v>
      </c>
      <c r="K285" t="s">
        <v>43</v>
      </c>
      <c r="L285" t="s">
        <v>43</v>
      </c>
      <c r="M285" t="s">
        <v>42</v>
      </c>
      <c r="N285" t="s">
        <v>43</v>
      </c>
      <c r="O285">
        <v>5</v>
      </c>
      <c r="P285">
        <v>4</v>
      </c>
      <c r="Q285">
        <v>4</v>
      </c>
      <c r="R285">
        <v>1</v>
      </c>
      <c r="S285">
        <v>1</v>
      </c>
      <c r="T285">
        <f t="shared" si="20"/>
        <v>2</v>
      </c>
      <c r="U285" t="str" cm="1">
        <f t="array" ref="U285">_xlfn.IFS(T285&lt;3, "low", AND(T285&gt;=3, T285&lt;5), "med", T285&gt;=5, "high")</f>
        <v>low</v>
      </c>
      <c r="V285">
        <v>4</v>
      </c>
      <c r="W285" t="str" cm="1">
        <f t="array" ref="W285">_xlfn.IFS(V285&lt;5, "low", AND(V285&gt;=5, V285&lt;10), "med", V285&gt;=10, "high")</f>
        <v>low</v>
      </c>
      <c r="X285">
        <v>8</v>
      </c>
      <c r="Y285">
        <v>9</v>
      </c>
      <c r="Z285">
        <v>10</v>
      </c>
      <c r="AA285">
        <f t="shared" si="21"/>
        <v>0</v>
      </c>
      <c r="AB285">
        <f t="shared" si="22"/>
        <v>0</v>
      </c>
      <c r="AC285">
        <f t="shared" si="23"/>
        <v>0</v>
      </c>
      <c r="AD285" s="1">
        <f t="shared" si="24"/>
        <v>9</v>
      </c>
    </row>
    <row r="286" spans="1:30" x14ac:dyDescent="0.35">
      <c r="A286" t="s">
        <v>34</v>
      </c>
      <c r="B286">
        <v>17</v>
      </c>
      <c r="C286" t="s">
        <v>35</v>
      </c>
      <c r="D286" t="s">
        <v>36</v>
      </c>
      <c r="E286" t="s">
        <v>44</v>
      </c>
      <c r="F286" t="s">
        <v>45</v>
      </c>
      <c r="G286" t="s">
        <v>45</v>
      </c>
      <c r="H286">
        <v>2</v>
      </c>
      <c r="I286">
        <v>0</v>
      </c>
      <c r="J286" t="s">
        <v>43</v>
      </c>
      <c r="K286" t="s">
        <v>42</v>
      </c>
      <c r="L286" t="s">
        <v>43</v>
      </c>
      <c r="M286" t="s">
        <v>43</v>
      </c>
      <c r="N286" t="s">
        <v>43</v>
      </c>
      <c r="O286">
        <v>5</v>
      </c>
      <c r="P286">
        <v>4</v>
      </c>
      <c r="Q286">
        <v>5</v>
      </c>
      <c r="R286">
        <v>1</v>
      </c>
      <c r="S286">
        <v>2</v>
      </c>
      <c r="T286">
        <f t="shared" si="20"/>
        <v>3</v>
      </c>
      <c r="U286" t="str" cm="1">
        <f t="array" ref="U286">_xlfn.IFS(T286&lt;3, "low", AND(T286&gt;=3, T286&lt;5), "med", T286&gt;=5, "high")</f>
        <v>med</v>
      </c>
      <c r="V286">
        <v>4</v>
      </c>
      <c r="W286" t="str" cm="1">
        <f t="array" ref="W286">_xlfn.IFS(V286&lt;5, "low", AND(V286&gt;=5, V286&lt;10), "med", V286&gt;=10, "high")</f>
        <v>low</v>
      </c>
      <c r="X286">
        <v>10</v>
      </c>
      <c r="Y286">
        <v>9</v>
      </c>
      <c r="Z286">
        <v>11</v>
      </c>
      <c r="AA286">
        <f t="shared" si="21"/>
        <v>1</v>
      </c>
      <c r="AB286">
        <f t="shared" si="22"/>
        <v>0</v>
      </c>
      <c r="AC286">
        <f t="shared" si="23"/>
        <v>1</v>
      </c>
      <c r="AD286" s="1">
        <f t="shared" si="24"/>
        <v>10</v>
      </c>
    </row>
    <row r="287" spans="1:30" x14ac:dyDescent="0.35">
      <c r="A287" t="s">
        <v>50</v>
      </c>
      <c r="B287">
        <v>17</v>
      </c>
      <c r="C287" t="s">
        <v>35</v>
      </c>
      <c r="D287" t="s">
        <v>36</v>
      </c>
      <c r="E287" t="s">
        <v>44</v>
      </c>
      <c r="F287" t="s">
        <v>45</v>
      </c>
      <c r="G287" t="s">
        <v>45</v>
      </c>
      <c r="H287">
        <v>2</v>
      </c>
      <c r="I287">
        <v>0</v>
      </c>
      <c r="J287" t="s">
        <v>43</v>
      </c>
      <c r="K287" t="s">
        <v>43</v>
      </c>
      <c r="L287" t="s">
        <v>42</v>
      </c>
      <c r="M287" t="s">
        <v>43</v>
      </c>
      <c r="N287" t="s">
        <v>43</v>
      </c>
      <c r="O287">
        <v>4</v>
      </c>
      <c r="P287">
        <v>3</v>
      </c>
      <c r="Q287">
        <v>3</v>
      </c>
      <c r="R287">
        <v>1</v>
      </c>
      <c r="S287">
        <v>2</v>
      </c>
      <c r="T287">
        <f t="shared" si="20"/>
        <v>3</v>
      </c>
      <c r="U287" t="str" cm="1">
        <f t="array" ref="U287">_xlfn.IFS(T287&lt;3, "low", AND(T287&gt;=3, T287&lt;5), "med", T287&gt;=5, "high")</f>
        <v>med</v>
      </c>
      <c r="V287">
        <v>2</v>
      </c>
      <c r="W287" t="str" cm="1">
        <f t="array" ref="W287">_xlfn.IFS(V287&lt;5, "low", AND(V287&gt;=5, V287&lt;10), "med", V287&gt;=10, "high")</f>
        <v>low</v>
      </c>
      <c r="X287">
        <v>12</v>
      </c>
      <c r="Y287">
        <v>10</v>
      </c>
      <c r="Z287">
        <v>11</v>
      </c>
      <c r="AA287">
        <f t="shared" si="21"/>
        <v>1</v>
      </c>
      <c r="AB287">
        <f t="shared" si="22"/>
        <v>0</v>
      </c>
      <c r="AC287">
        <f t="shared" si="23"/>
        <v>1</v>
      </c>
      <c r="AD287" s="1">
        <f t="shared" si="24"/>
        <v>11</v>
      </c>
    </row>
    <row r="288" spans="1:30" x14ac:dyDescent="0.35">
      <c r="A288" t="s">
        <v>34</v>
      </c>
      <c r="B288">
        <v>18</v>
      </c>
      <c r="C288" t="s">
        <v>35</v>
      </c>
      <c r="D288" t="s">
        <v>36</v>
      </c>
      <c r="E288" t="s">
        <v>44</v>
      </c>
      <c r="F288" t="s">
        <v>38</v>
      </c>
      <c r="G288" t="s">
        <v>38</v>
      </c>
      <c r="H288">
        <v>3</v>
      </c>
      <c r="I288">
        <v>0</v>
      </c>
      <c r="J288" t="s">
        <v>43</v>
      </c>
      <c r="K288" t="s">
        <v>42</v>
      </c>
      <c r="L288" t="s">
        <v>42</v>
      </c>
      <c r="M288" t="s">
        <v>43</v>
      </c>
      <c r="N288" t="s">
        <v>43</v>
      </c>
      <c r="O288">
        <v>4</v>
      </c>
      <c r="P288">
        <v>3</v>
      </c>
      <c r="Q288">
        <v>3</v>
      </c>
      <c r="R288">
        <v>1</v>
      </c>
      <c r="S288">
        <v>2</v>
      </c>
      <c r="T288">
        <f t="shared" si="20"/>
        <v>3</v>
      </c>
      <c r="U288" t="str" cm="1">
        <f t="array" ref="U288">_xlfn.IFS(T288&lt;3, "low", AND(T288&gt;=3, T288&lt;5), "med", T288&gt;=5, "high")</f>
        <v>med</v>
      </c>
      <c r="V288">
        <v>5</v>
      </c>
      <c r="W288" t="str" cm="1">
        <f t="array" ref="W288">_xlfn.IFS(V288&lt;5, "low", AND(V288&gt;=5, V288&lt;10), "med", V288&gt;=10, "high")</f>
        <v>med</v>
      </c>
      <c r="X288">
        <v>18</v>
      </c>
      <c r="Y288">
        <v>18</v>
      </c>
      <c r="Z288">
        <v>19</v>
      </c>
      <c r="AA288">
        <f t="shared" si="21"/>
        <v>0</v>
      </c>
      <c r="AB288">
        <f t="shared" si="22"/>
        <v>0</v>
      </c>
      <c r="AC288">
        <f t="shared" si="23"/>
        <v>0</v>
      </c>
      <c r="AD288" s="1">
        <f t="shared" si="24"/>
        <v>18.333333333333332</v>
      </c>
    </row>
    <row r="289" spans="1:30" x14ac:dyDescent="0.35">
      <c r="A289" t="s">
        <v>34</v>
      </c>
      <c r="B289">
        <v>17</v>
      </c>
      <c r="C289" t="s">
        <v>35</v>
      </c>
      <c r="D289" t="s">
        <v>36</v>
      </c>
      <c r="E289" t="s">
        <v>44</v>
      </c>
      <c r="F289" t="s">
        <v>48</v>
      </c>
      <c r="G289" t="s">
        <v>39</v>
      </c>
      <c r="H289">
        <v>3</v>
      </c>
      <c r="I289">
        <v>0</v>
      </c>
      <c r="J289" t="s">
        <v>43</v>
      </c>
      <c r="K289" t="s">
        <v>42</v>
      </c>
      <c r="L289" t="s">
        <v>42</v>
      </c>
      <c r="M289" t="s">
        <v>43</v>
      </c>
      <c r="N289" t="s">
        <v>43</v>
      </c>
      <c r="O289">
        <v>4</v>
      </c>
      <c r="P289">
        <v>3</v>
      </c>
      <c r="Q289">
        <v>3</v>
      </c>
      <c r="R289">
        <v>1</v>
      </c>
      <c r="S289">
        <v>1</v>
      </c>
      <c r="T289">
        <f t="shared" si="20"/>
        <v>2</v>
      </c>
      <c r="U289" t="str" cm="1">
        <f t="array" ref="U289">_xlfn.IFS(T289&lt;3, "low", AND(T289&gt;=3, T289&lt;5), "med", T289&gt;=5, "high")</f>
        <v>low</v>
      </c>
      <c r="V289">
        <v>6</v>
      </c>
      <c r="W289" t="str" cm="1">
        <f t="array" ref="W289">_xlfn.IFS(V289&lt;5, "low", AND(V289&gt;=5, V289&lt;10), "med", V289&gt;=10, "high")</f>
        <v>med</v>
      </c>
      <c r="X289">
        <v>13</v>
      </c>
      <c r="Y289">
        <v>12</v>
      </c>
      <c r="Z289">
        <v>12</v>
      </c>
      <c r="AA289">
        <f t="shared" si="21"/>
        <v>1</v>
      </c>
      <c r="AB289">
        <f t="shared" si="22"/>
        <v>0</v>
      </c>
      <c r="AC289">
        <f t="shared" si="23"/>
        <v>1</v>
      </c>
      <c r="AD289" s="1">
        <f t="shared" si="24"/>
        <v>12.333333333333334</v>
      </c>
    </row>
    <row r="290" spans="1:30" x14ac:dyDescent="0.35">
      <c r="A290" t="s">
        <v>50</v>
      </c>
      <c r="B290">
        <v>18</v>
      </c>
      <c r="C290" t="s">
        <v>35</v>
      </c>
      <c r="D290" t="s">
        <v>36</v>
      </c>
      <c r="E290" t="s">
        <v>44</v>
      </c>
      <c r="F290" t="s">
        <v>48</v>
      </c>
      <c r="G290" t="s">
        <v>48</v>
      </c>
      <c r="H290">
        <v>3</v>
      </c>
      <c r="I290">
        <v>0</v>
      </c>
      <c r="J290" t="s">
        <v>43</v>
      </c>
      <c r="K290" t="s">
        <v>43</v>
      </c>
      <c r="L290" t="s">
        <v>42</v>
      </c>
      <c r="M290" t="s">
        <v>42</v>
      </c>
      <c r="N290" t="s">
        <v>43</v>
      </c>
      <c r="O290">
        <v>4</v>
      </c>
      <c r="P290">
        <v>2</v>
      </c>
      <c r="Q290">
        <v>4</v>
      </c>
      <c r="R290">
        <v>1</v>
      </c>
      <c r="S290">
        <v>3</v>
      </c>
      <c r="T290">
        <f t="shared" si="20"/>
        <v>4</v>
      </c>
      <c r="U290" t="str" cm="1">
        <f t="array" ref="U290">_xlfn.IFS(T290&lt;3, "low", AND(T290&gt;=3, T290&lt;5), "med", T290&gt;=5, "high")</f>
        <v>med</v>
      </c>
      <c r="V290">
        <v>6</v>
      </c>
      <c r="W290" t="str" cm="1">
        <f t="array" ref="W290">_xlfn.IFS(V290&lt;5, "low", AND(V290&gt;=5, V290&lt;10), "med", V290&gt;=10, "high")</f>
        <v>med</v>
      </c>
      <c r="X290">
        <v>15</v>
      </c>
      <c r="Y290">
        <v>14</v>
      </c>
      <c r="Z290">
        <v>14</v>
      </c>
      <c r="AA290">
        <f t="shared" si="21"/>
        <v>1</v>
      </c>
      <c r="AB290">
        <f t="shared" si="22"/>
        <v>0</v>
      </c>
      <c r="AC290">
        <f t="shared" si="23"/>
        <v>1</v>
      </c>
      <c r="AD290" s="1">
        <f t="shared" si="24"/>
        <v>14.333333333333334</v>
      </c>
    </row>
    <row r="291" spans="1:30" x14ac:dyDescent="0.35">
      <c r="A291" t="s">
        <v>50</v>
      </c>
      <c r="B291">
        <v>18</v>
      </c>
      <c r="C291" t="s">
        <v>35</v>
      </c>
      <c r="D291" t="s">
        <v>47</v>
      </c>
      <c r="E291" t="s">
        <v>37</v>
      </c>
      <c r="F291" t="s">
        <v>39</v>
      </c>
      <c r="G291" t="s">
        <v>39</v>
      </c>
      <c r="H291">
        <v>2</v>
      </c>
      <c r="I291">
        <v>0</v>
      </c>
      <c r="J291" t="s">
        <v>43</v>
      </c>
      <c r="K291" t="s">
        <v>42</v>
      </c>
      <c r="L291" t="s">
        <v>42</v>
      </c>
      <c r="M291" t="s">
        <v>42</v>
      </c>
      <c r="N291" t="s">
        <v>43</v>
      </c>
      <c r="O291">
        <v>5</v>
      </c>
      <c r="P291">
        <v>4</v>
      </c>
      <c r="Q291">
        <v>3</v>
      </c>
      <c r="R291">
        <v>1</v>
      </c>
      <c r="S291">
        <v>1</v>
      </c>
      <c r="T291">
        <f t="shared" si="20"/>
        <v>2</v>
      </c>
      <c r="U291" t="str" cm="1">
        <f t="array" ref="U291">_xlfn.IFS(T291&lt;3, "low", AND(T291&gt;=3, T291&lt;5), "med", T291&gt;=5, "high")</f>
        <v>low</v>
      </c>
      <c r="V291">
        <v>9</v>
      </c>
      <c r="W291" t="str" cm="1">
        <f t="array" ref="W291">_xlfn.IFS(V291&lt;5, "low", AND(V291&gt;=5, V291&lt;10), "med", V291&gt;=10, "high")</f>
        <v>med</v>
      </c>
      <c r="X291">
        <v>15</v>
      </c>
      <c r="Y291">
        <v>13</v>
      </c>
      <c r="Z291">
        <v>15</v>
      </c>
      <c r="AA291">
        <f t="shared" si="21"/>
        <v>1</v>
      </c>
      <c r="AB291">
        <f t="shared" si="22"/>
        <v>0</v>
      </c>
      <c r="AC291">
        <f t="shared" si="23"/>
        <v>1</v>
      </c>
      <c r="AD291" s="1">
        <f t="shared" si="24"/>
        <v>14.333333333333334</v>
      </c>
    </row>
    <row r="292" spans="1:30" x14ac:dyDescent="0.35">
      <c r="A292" t="s">
        <v>50</v>
      </c>
      <c r="B292">
        <v>18</v>
      </c>
      <c r="C292" t="s">
        <v>35</v>
      </c>
      <c r="D292" t="s">
        <v>36</v>
      </c>
      <c r="E292" t="s">
        <v>44</v>
      </c>
      <c r="F292" t="s">
        <v>39</v>
      </c>
      <c r="G292" t="s">
        <v>45</v>
      </c>
      <c r="H292">
        <v>2</v>
      </c>
      <c r="I292">
        <v>0</v>
      </c>
      <c r="J292" t="s">
        <v>43</v>
      </c>
      <c r="K292" t="s">
        <v>42</v>
      </c>
      <c r="L292" t="s">
        <v>42</v>
      </c>
      <c r="M292" t="s">
        <v>42</v>
      </c>
      <c r="N292" t="s">
        <v>42</v>
      </c>
      <c r="O292">
        <v>4</v>
      </c>
      <c r="P292">
        <v>3</v>
      </c>
      <c r="Q292">
        <v>2</v>
      </c>
      <c r="R292">
        <v>1</v>
      </c>
      <c r="S292">
        <v>4</v>
      </c>
      <c r="T292">
        <f t="shared" si="20"/>
        <v>5</v>
      </c>
      <c r="U292" t="str" cm="1">
        <f t="array" ref="U292">_xlfn.IFS(T292&lt;3, "low", AND(T292&gt;=3, T292&lt;5), "med", T292&gt;=5, "high")</f>
        <v>high</v>
      </c>
      <c r="V292">
        <v>11</v>
      </c>
      <c r="W292" t="str" cm="1">
        <f t="array" ref="W292">_xlfn.IFS(V292&lt;5, "low", AND(V292&gt;=5, V292&lt;10), "med", V292&gt;=10, "high")</f>
        <v>high</v>
      </c>
      <c r="X292">
        <v>12</v>
      </c>
      <c r="Y292">
        <v>11</v>
      </c>
      <c r="Z292">
        <v>11</v>
      </c>
      <c r="AA292">
        <f t="shared" si="21"/>
        <v>1</v>
      </c>
      <c r="AB292">
        <f t="shared" si="22"/>
        <v>0</v>
      </c>
      <c r="AC292">
        <f t="shared" si="23"/>
        <v>1</v>
      </c>
      <c r="AD292" s="1">
        <f t="shared" si="24"/>
        <v>11.333333333333334</v>
      </c>
    </row>
    <row r="293" spans="1:30" x14ac:dyDescent="0.35">
      <c r="A293" t="s">
        <v>34</v>
      </c>
      <c r="B293">
        <v>17</v>
      </c>
      <c r="C293" t="s">
        <v>35</v>
      </c>
      <c r="D293" t="s">
        <v>36</v>
      </c>
      <c r="E293" t="s">
        <v>44</v>
      </c>
      <c r="F293" t="s">
        <v>28</v>
      </c>
      <c r="G293" t="s">
        <v>48</v>
      </c>
      <c r="H293">
        <v>3</v>
      </c>
      <c r="I293">
        <v>0</v>
      </c>
      <c r="J293" t="s">
        <v>43</v>
      </c>
      <c r="K293" t="s">
        <v>42</v>
      </c>
      <c r="L293" t="s">
        <v>42</v>
      </c>
      <c r="M293" t="s">
        <v>43</v>
      </c>
      <c r="N293" t="s">
        <v>43</v>
      </c>
      <c r="O293">
        <v>4</v>
      </c>
      <c r="P293">
        <v>2</v>
      </c>
      <c r="Q293">
        <v>2</v>
      </c>
      <c r="R293">
        <v>1</v>
      </c>
      <c r="S293">
        <v>2</v>
      </c>
      <c r="T293">
        <f t="shared" si="20"/>
        <v>3</v>
      </c>
      <c r="U293" t="str" cm="1">
        <f t="array" ref="U293">_xlfn.IFS(T293&lt;3, "low", AND(T293&gt;=3, T293&lt;5), "med", T293&gt;=5, "high")</f>
        <v>med</v>
      </c>
      <c r="V293">
        <v>0</v>
      </c>
      <c r="W293" t="str" cm="1">
        <f t="array" ref="W293">_xlfn.IFS(V293&lt;5, "low", AND(V293&gt;=5, V293&lt;10), "med", V293&gt;=10, "high")</f>
        <v>low</v>
      </c>
      <c r="X293">
        <v>15</v>
      </c>
      <c r="Y293">
        <v>15</v>
      </c>
      <c r="Z293">
        <v>15</v>
      </c>
      <c r="AA293">
        <f t="shared" si="21"/>
        <v>0</v>
      </c>
      <c r="AB293">
        <f t="shared" si="22"/>
        <v>0</v>
      </c>
      <c r="AC293">
        <f t="shared" si="23"/>
        <v>0</v>
      </c>
      <c r="AD293" s="1">
        <f t="shared" si="24"/>
        <v>15</v>
      </c>
    </row>
    <row r="294" spans="1:30" x14ac:dyDescent="0.35">
      <c r="A294" t="s">
        <v>34</v>
      </c>
      <c r="B294">
        <v>18</v>
      </c>
      <c r="C294" t="s">
        <v>35</v>
      </c>
      <c r="D294" t="s">
        <v>47</v>
      </c>
      <c r="E294" t="s">
        <v>44</v>
      </c>
      <c r="F294" t="s">
        <v>48</v>
      </c>
      <c r="G294" t="s">
        <v>38</v>
      </c>
      <c r="H294">
        <v>2</v>
      </c>
      <c r="I294">
        <v>1</v>
      </c>
      <c r="J294" t="s">
        <v>43</v>
      </c>
      <c r="K294" t="s">
        <v>43</v>
      </c>
      <c r="L294" t="s">
        <v>43</v>
      </c>
      <c r="M294" t="s">
        <v>43</v>
      </c>
      <c r="N294" t="s">
        <v>42</v>
      </c>
      <c r="O294">
        <v>5</v>
      </c>
      <c r="P294">
        <v>4</v>
      </c>
      <c r="Q294">
        <v>3</v>
      </c>
      <c r="R294">
        <v>1</v>
      </c>
      <c r="S294">
        <v>1</v>
      </c>
      <c r="T294">
        <f t="shared" si="20"/>
        <v>2</v>
      </c>
      <c r="U294" t="str" cm="1">
        <f t="array" ref="U294">_xlfn.IFS(T294&lt;3, "low", AND(T294&gt;=3, T294&lt;5), "med", T294&gt;=5, "high")</f>
        <v>low</v>
      </c>
      <c r="V294">
        <v>12</v>
      </c>
      <c r="W294" t="str" cm="1">
        <f t="array" ref="W294">_xlfn.IFS(V294&lt;5, "low", AND(V294&gt;=5, V294&lt;10), "med", V294&gt;=10, "high")</f>
        <v>high</v>
      </c>
      <c r="X294">
        <v>12</v>
      </c>
      <c r="Y294">
        <v>12</v>
      </c>
      <c r="Z294">
        <v>13</v>
      </c>
      <c r="AA294">
        <f t="shared" si="21"/>
        <v>0</v>
      </c>
      <c r="AB294">
        <f t="shared" si="22"/>
        <v>0</v>
      </c>
      <c r="AC294">
        <f t="shared" si="23"/>
        <v>0</v>
      </c>
      <c r="AD294" s="1">
        <f t="shared" si="24"/>
        <v>12.333333333333334</v>
      </c>
    </row>
    <row r="295" spans="1:30" x14ac:dyDescent="0.35">
      <c r="A295" t="s">
        <v>34</v>
      </c>
      <c r="B295">
        <v>17</v>
      </c>
      <c r="C295" t="s">
        <v>52</v>
      </c>
      <c r="D295" t="s">
        <v>47</v>
      </c>
      <c r="E295" t="s">
        <v>44</v>
      </c>
      <c r="F295" t="s">
        <v>48</v>
      </c>
      <c r="G295" t="s">
        <v>45</v>
      </c>
      <c r="H295">
        <v>4</v>
      </c>
      <c r="I295">
        <v>0</v>
      </c>
      <c r="J295" t="s">
        <v>43</v>
      </c>
      <c r="K295" t="s">
        <v>42</v>
      </c>
      <c r="L295" t="s">
        <v>42</v>
      </c>
      <c r="M295" t="s">
        <v>43</v>
      </c>
      <c r="N295" t="s">
        <v>43</v>
      </c>
      <c r="O295">
        <v>3</v>
      </c>
      <c r="P295">
        <v>1</v>
      </c>
      <c r="Q295">
        <v>2</v>
      </c>
      <c r="R295">
        <v>1</v>
      </c>
      <c r="S295">
        <v>1</v>
      </c>
      <c r="T295">
        <f t="shared" si="20"/>
        <v>2</v>
      </c>
      <c r="U295" t="str" cm="1">
        <f t="array" ref="U295">_xlfn.IFS(T295&lt;3, "low", AND(T295&gt;=3, T295&lt;5), "med", T295&gt;=5, "high")</f>
        <v>low</v>
      </c>
      <c r="V295">
        <v>6</v>
      </c>
      <c r="W295" t="str" cm="1">
        <f t="array" ref="W295">_xlfn.IFS(V295&lt;5, "low", AND(V295&gt;=5, V295&lt;10), "med", V295&gt;=10, "high")</f>
        <v>med</v>
      </c>
      <c r="X295">
        <v>18</v>
      </c>
      <c r="Y295">
        <v>18</v>
      </c>
      <c r="Z295">
        <v>18</v>
      </c>
      <c r="AA295">
        <f t="shared" si="21"/>
        <v>0</v>
      </c>
      <c r="AB295">
        <f t="shared" si="22"/>
        <v>0</v>
      </c>
      <c r="AC295">
        <f t="shared" si="23"/>
        <v>0</v>
      </c>
      <c r="AD295" s="1">
        <f t="shared" si="24"/>
        <v>18</v>
      </c>
    </row>
    <row r="296" spans="1:30" x14ac:dyDescent="0.35">
      <c r="A296" t="s">
        <v>50</v>
      </c>
      <c r="B296">
        <v>18</v>
      </c>
      <c r="C296" t="s">
        <v>52</v>
      </c>
      <c r="D296" t="s">
        <v>47</v>
      </c>
      <c r="E296" t="s">
        <v>44</v>
      </c>
      <c r="F296" t="s">
        <v>48</v>
      </c>
      <c r="G296" t="s">
        <v>45</v>
      </c>
      <c r="H296">
        <v>3</v>
      </c>
      <c r="I296">
        <v>0</v>
      </c>
      <c r="J296" t="s">
        <v>43</v>
      </c>
      <c r="K296" t="s">
        <v>42</v>
      </c>
      <c r="L296" t="s">
        <v>42</v>
      </c>
      <c r="M296" t="s">
        <v>42</v>
      </c>
      <c r="N296" t="s">
        <v>43</v>
      </c>
      <c r="O296">
        <v>5</v>
      </c>
      <c r="P296">
        <v>4</v>
      </c>
      <c r="Q296">
        <v>2</v>
      </c>
      <c r="R296">
        <v>1</v>
      </c>
      <c r="S296">
        <v>1</v>
      </c>
      <c r="T296">
        <f t="shared" si="20"/>
        <v>2</v>
      </c>
      <c r="U296" t="str" cm="1">
        <f t="array" ref="U296">_xlfn.IFS(T296&lt;3, "low", AND(T296&gt;=3, T296&lt;5), "med", T296&gt;=5, "high")</f>
        <v>low</v>
      </c>
      <c r="V296">
        <v>8</v>
      </c>
      <c r="W296" t="str" cm="1">
        <f t="array" ref="W296">_xlfn.IFS(V296&lt;5, "low", AND(V296&gt;=5, V296&lt;10), "med", V296&gt;=10, "high")</f>
        <v>med</v>
      </c>
      <c r="X296">
        <v>14</v>
      </c>
      <c r="Y296">
        <v>13</v>
      </c>
      <c r="Z296">
        <v>14</v>
      </c>
      <c r="AA296">
        <f t="shared" si="21"/>
        <v>1</v>
      </c>
      <c r="AB296">
        <f t="shared" si="22"/>
        <v>0</v>
      </c>
      <c r="AC296">
        <f t="shared" si="23"/>
        <v>1</v>
      </c>
      <c r="AD296" s="1">
        <f t="shared" si="24"/>
        <v>13.666666666666666</v>
      </c>
    </row>
    <row r="297" spans="1:30" x14ac:dyDescent="0.35">
      <c r="A297" t="s">
        <v>50</v>
      </c>
      <c r="B297">
        <v>17</v>
      </c>
      <c r="C297" t="s">
        <v>35</v>
      </c>
      <c r="D297" t="s">
        <v>36</v>
      </c>
      <c r="E297" t="s">
        <v>44</v>
      </c>
      <c r="F297" t="s">
        <v>28</v>
      </c>
      <c r="G297" t="s">
        <v>45</v>
      </c>
      <c r="H297">
        <v>1</v>
      </c>
      <c r="I297">
        <v>0</v>
      </c>
      <c r="J297" t="s">
        <v>43</v>
      </c>
      <c r="K297" t="s">
        <v>42</v>
      </c>
      <c r="L297" t="s">
        <v>42</v>
      </c>
      <c r="M297" t="s">
        <v>43</v>
      </c>
      <c r="N297" t="s">
        <v>43</v>
      </c>
      <c r="O297">
        <v>4</v>
      </c>
      <c r="P297">
        <v>4</v>
      </c>
      <c r="Q297">
        <v>3</v>
      </c>
      <c r="R297">
        <v>1</v>
      </c>
      <c r="S297">
        <v>3</v>
      </c>
      <c r="T297">
        <f t="shared" si="20"/>
        <v>4</v>
      </c>
      <c r="U297" t="str" cm="1">
        <f t="array" ref="U297">_xlfn.IFS(T297&lt;3, "low", AND(T297&gt;=3, T297&lt;5), "med", T297&gt;=5, "high")</f>
        <v>med</v>
      </c>
      <c r="V297">
        <v>4</v>
      </c>
      <c r="W297" t="str" cm="1">
        <f t="array" ref="W297">_xlfn.IFS(V297&lt;5, "low", AND(V297&gt;=5, V297&lt;10), "med", V297&gt;=10, "high")</f>
        <v>low</v>
      </c>
      <c r="X297">
        <v>14</v>
      </c>
      <c r="Y297">
        <v>12</v>
      </c>
      <c r="Z297">
        <v>11</v>
      </c>
      <c r="AA297">
        <f t="shared" si="21"/>
        <v>1</v>
      </c>
      <c r="AB297">
        <f t="shared" si="22"/>
        <v>1</v>
      </c>
      <c r="AC297">
        <f t="shared" si="23"/>
        <v>2</v>
      </c>
      <c r="AD297" s="1">
        <f t="shared" si="24"/>
        <v>12.333333333333334</v>
      </c>
    </row>
    <row r="298" spans="1:30" x14ac:dyDescent="0.35">
      <c r="A298" t="s">
        <v>34</v>
      </c>
      <c r="B298">
        <v>19</v>
      </c>
      <c r="C298" t="s">
        <v>35</v>
      </c>
      <c r="D298" t="s">
        <v>36</v>
      </c>
      <c r="E298" t="s">
        <v>44</v>
      </c>
      <c r="F298" t="s">
        <v>28</v>
      </c>
      <c r="G298" t="s">
        <v>45</v>
      </c>
      <c r="H298">
        <v>2</v>
      </c>
      <c r="I298">
        <v>0</v>
      </c>
      <c r="J298" t="s">
        <v>43</v>
      </c>
      <c r="K298" t="s">
        <v>42</v>
      </c>
      <c r="L298" t="s">
        <v>42</v>
      </c>
      <c r="M298" t="s">
        <v>42</v>
      </c>
      <c r="N298" t="s">
        <v>43</v>
      </c>
      <c r="O298">
        <v>2</v>
      </c>
      <c r="P298">
        <v>3</v>
      </c>
      <c r="Q298">
        <v>4</v>
      </c>
      <c r="R298">
        <v>2</v>
      </c>
      <c r="S298">
        <v>3</v>
      </c>
      <c r="T298">
        <f t="shared" si="20"/>
        <v>5</v>
      </c>
      <c r="U298" t="str" cm="1">
        <f t="array" ref="U298">_xlfn.IFS(T298&lt;3, "low", AND(T298&gt;=3, T298&lt;5), "med", T298&gt;=5, "high")</f>
        <v>high</v>
      </c>
      <c r="V298">
        <v>0</v>
      </c>
      <c r="W298" t="str" cm="1">
        <f t="array" ref="W298">_xlfn.IFS(V298&lt;5, "low", AND(V298&gt;=5, V298&lt;10), "med", V298&gt;=10, "high")</f>
        <v>low</v>
      </c>
      <c r="X298">
        <v>10</v>
      </c>
      <c r="Y298">
        <v>9</v>
      </c>
      <c r="Z298">
        <v>0</v>
      </c>
      <c r="AA298">
        <f t="shared" si="21"/>
        <v>1</v>
      </c>
      <c r="AB298">
        <f t="shared" si="22"/>
        <v>1</v>
      </c>
      <c r="AC298">
        <f t="shared" si="23"/>
        <v>2</v>
      </c>
      <c r="AD298" s="1">
        <f t="shared" si="24"/>
        <v>6.333333333333333</v>
      </c>
    </row>
    <row r="299" spans="1:30" x14ac:dyDescent="0.35">
      <c r="A299" t="s">
        <v>34</v>
      </c>
      <c r="B299">
        <v>18</v>
      </c>
      <c r="C299" t="s">
        <v>35</v>
      </c>
      <c r="D299" t="s">
        <v>47</v>
      </c>
      <c r="E299" t="s">
        <v>44</v>
      </c>
      <c r="F299" t="s">
        <v>45</v>
      </c>
      <c r="G299" t="s">
        <v>45</v>
      </c>
      <c r="H299">
        <v>2</v>
      </c>
      <c r="I299">
        <v>0</v>
      </c>
      <c r="J299" t="s">
        <v>43</v>
      </c>
      <c r="K299" t="s">
        <v>42</v>
      </c>
      <c r="L299" t="s">
        <v>42</v>
      </c>
      <c r="M299" t="s">
        <v>43</v>
      </c>
      <c r="N299" t="s">
        <v>42</v>
      </c>
      <c r="O299">
        <v>4</v>
      </c>
      <c r="P299">
        <v>4</v>
      </c>
      <c r="Q299">
        <v>5</v>
      </c>
      <c r="R299">
        <v>1</v>
      </c>
      <c r="S299">
        <v>2</v>
      </c>
      <c r="T299">
        <f t="shared" si="20"/>
        <v>3</v>
      </c>
      <c r="U299" t="str" cm="1">
        <f t="array" ref="U299">_xlfn.IFS(T299&lt;3, "low", AND(T299&gt;=3, T299&lt;5), "med", T299&gt;=5, "high")</f>
        <v>med</v>
      </c>
      <c r="V299">
        <v>10</v>
      </c>
      <c r="W299" t="str" cm="1">
        <f t="array" ref="W299">_xlfn.IFS(V299&lt;5, "low", AND(V299&gt;=5, V299&lt;10), "med", V299&gt;=10, "high")</f>
        <v>high</v>
      </c>
      <c r="X299">
        <v>10</v>
      </c>
      <c r="Y299">
        <v>8</v>
      </c>
      <c r="Z299">
        <v>8</v>
      </c>
      <c r="AA299">
        <f t="shared" si="21"/>
        <v>1</v>
      </c>
      <c r="AB299">
        <f t="shared" si="22"/>
        <v>0</v>
      </c>
      <c r="AC299">
        <f t="shared" si="23"/>
        <v>1</v>
      </c>
      <c r="AD299" s="1">
        <f t="shared" si="24"/>
        <v>8.6666666666666661</v>
      </c>
    </row>
    <row r="300" spans="1:30" x14ac:dyDescent="0.35">
      <c r="A300" t="s">
        <v>34</v>
      </c>
      <c r="B300">
        <v>18</v>
      </c>
      <c r="C300" t="s">
        <v>35</v>
      </c>
      <c r="D300" t="s">
        <v>36</v>
      </c>
      <c r="E300" t="s">
        <v>44</v>
      </c>
      <c r="F300" t="s">
        <v>45</v>
      </c>
      <c r="G300" t="s">
        <v>45</v>
      </c>
      <c r="H300">
        <v>4</v>
      </c>
      <c r="I300">
        <v>0</v>
      </c>
      <c r="J300" t="s">
        <v>43</v>
      </c>
      <c r="K300" t="s">
        <v>42</v>
      </c>
      <c r="L300" t="s">
        <v>42</v>
      </c>
      <c r="M300" t="s">
        <v>43</v>
      </c>
      <c r="N300" t="s">
        <v>43</v>
      </c>
      <c r="O300">
        <v>4</v>
      </c>
      <c r="P300">
        <v>3</v>
      </c>
      <c r="Q300">
        <v>3</v>
      </c>
      <c r="R300">
        <v>1</v>
      </c>
      <c r="S300">
        <v>1</v>
      </c>
      <c r="T300">
        <f t="shared" si="20"/>
        <v>2</v>
      </c>
      <c r="U300" t="str" cm="1">
        <f t="array" ref="U300">_xlfn.IFS(T300&lt;3, "low", AND(T300&gt;=3, T300&lt;5), "med", T300&gt;=5, "high")</f>
        <v>low</v>
      </c>
      <c r="V300">
        <v>0</v>
      </c>
      <c r="W300" t="str" cm="1">
        <f t="array" ref="W300">_xlfn.IFS(V300&lt;5, "low", AND(V300&gt;=5, V300&lt;10), "med", V300&gt;=10, "high")</f>
        <v>low</v>
      </c>
      <c r="X300">
        <v>14</v>
      </c>
      <c r="Y300">
        <v>13</v>
      </c>
      <c r="Z300">
        <v>14</v>
      </c>
      <c r="AA300">
        <f t="shared" si="21"/>
        <v>1</v>
      </c>
      <c r="AB300">
        <f t="shared" si="22"/>
        <v>0</v>
      </c>
      <c r="AC300">
        <f t="shared" si="23"/>
        <v>1</v>
      </c>
      <c r="AD300" s="1">
        <f t="shared" si="24"/>
        <v>13.666666666666666</v>
      </c>
    </row>
    <row r="301" spans="1:30" x14ac:dyDescent="0.35">
      <c r="A301" t="s">
        <v>50</v>
      </c>
      <c r="B301">
        <v>18</v>
      </c>
      <c r="C301" t="s">
        <v>35</v>
      </c>
      <c r="D301" t="s">
        <v>47</v>
      </c>
      <c r="E301" t="s">
        <v>44</v>
      </c>
      <c r="F301" t="s">
        <v>39</v>
      </c>
      <c r="G301" t="s">
        <v>39</v>
      </c>
      <c r="H301">
        <v>1</v>
      </c>
      <c r="I301">
        <v>0</v>
      </c>
      <c r="J301" t="s">
        <v>43</v>
      </c>
      <c r="K301" t="s">
        <v>42</v>
      </c>
      <c r="L301" t="s">
        <v>42</v>
      </c>
      <c r="M301" t="s">
        <v>43</v>
      </c>
      <c r="N301" t="s">
        <v>42</v>
      </c>
      <c r="O301">
        <v>1</v>
      </c>
      <c r="P301">
        <v>4</v>
      </c>
      <c r="Q301">
        <v>2</v>
      </c>
      <c r="R301">
        <v>2</v>
      </c>
      <c r="S301">
        <v>2</v>
      </c>
      <c r="T301">
        <f t="shared" si="20"/>
        <v>4</v>
      </c>
      <c r="U301" t="str" cm="1">
        <f t="array" ref="U301">_xlfn.IFS(T301&lt;3, "low", AND(T301&gt;=3, T301&lt;5), "med", T301&gt;=5, "high")</f>
        <v>med</v>
      </c>
      <c r="V301">
        <v>5</v>
      </c>
      <c r="W301" t="str" cm="1">
        <f t="array" ref="W301">_xlfn.IFS(V301&lt;5, "low", AND(V301&gt;=5, V301&lt;10), "med", V301&gt;=10, "high")</f>
        <v>med</v>
      </c>
      <c r="X301">
        <v>16</v>
      </c>
      <c r="Y301">
        <v>15</v>
      </c>
      <c r="Z301">
        <v>16</v>
      </c>
      <c r="AA301">
        <f t="shared" si="21"/>
        <v>1</v>
      </c>
      <c r="AB301">
        <f t="shared" si="22"/>
        <v>0</v>
      </c>
      <c r="AC301">
        <f t="shared" si="23"/>
        <v>1</v>
      </c>
      <c r="AD301" s="1">
        <f t="shared" si="24"/>
        <v>15.666666666666666</v>
      </c>
    </row>
    <row r="302" spans="1:30" x14ac:dyDescent="0.35">
      <c r="A302" t="s">
        <v>34</v>
      </c>
      <c r="B302">
        <v>18</v>
      </c>
      <c r="C302" t="s">
        <v>35</v>
      </c>
      <c r="D302" t="s">
        <v>47</v>
      </c>
      <c r="E302" t="s">
        <v>37</v>
      </c>
      <c r="F302" t="s">
        <v>28</v>
      </c>
      <c r="G302" t="s">
        <v>45</v>
      </c>
      <c r="H302">
        <v>2</v>
      </c>
      <c r="I302">
        <v>0</v>
      </c>
      <c r="J302" t="s">
        <v>43</v>
      </c>
      <c r="K302" t="s">
        <v>42</v>
      </c>
      <c r="L302" t="s">
        <v>43</v>
      </c>
      <c r="M302" t="s">
        <v>43</v>
      </c>
      <c r="N302" t="s">
        <v>42</v>
      </c>
      <c r="O302">
        <v>4</v>
      </c>
      <c r="P302">
        <v>2</v>
      </c>
      <c r="Q302">
        <v>4</v>
      </c>
      <c r="R302">
        <v>1</v>
      </c>
      <c r="S302">
        <v>1</v>
      </c>
      <c r="T302">
        <f t="shared" si="20"/>
        <v>2</v>
      </c>
      <c r="U302" t="str" cm="1">
        <f t="array" ref="U302">_xlfn.IFS(T302&lt;3, "low", AND(T302&gt;=3, T302&lt;5), "med", T302&gt;=5, "high")</f>
        <v>low</v>
      </c>
      <c r="V302">
        <v>14</v>
      </c>
      <c r="W302" t="str" cm="1">
        <f t="array" ref="W302">_xlfn.IFS(V302&lt;5, "low", AND(V302&gt;=5, V302&lt;10), "med", V302&gt;=10, "high")</f>
        <v>high</v>
      </c>
      <c r="X302">
        <v>12</v>
      </c>
      <c r="Y302">
        <v>10</v>
      </c>
      <c r="Z302">
        <v>11</v>
      </c>
      <c r="AA302">
        <f t="shared" si="21"/>
        <v>1</v>
      </c>
      <c r="AB302">
        <f t="shared" si="22"/>
        <v>0</v>
      </c>
      <c r="AC302">
        <f t="shared" si="23"/>
        <v>1</v>
      </c>
      <c r="AD302" s="1">
        <f t="shared" si="24"/>
        <v>11</v>
      </c>
    </row>
    <row r="303" spans="1:30" x14ac:dyDescent="0.35">
      <c r="A303" t="s">
        <v>50</v>
      </c>
      <c r="B303">
        <v>17</v>
      </c>
      <c r="C303" t="s">
        <v>35</v>
      </c>
      <c r="D303" t="s">
        <v>47</v>
      </c>
      <c r="E303" t="s">
        <v>44</v>
      </c>
      <c r="F303" t="s">
        <v>45</v>
      </c>
      <c r="G303" t="s">
        <v>39</v>
      </c>
      <c r="H303">
        <v>1</v>
      </c>
      <c r="I303">
        <v>0</v>
      </c>
      <c r="J303" t="s">
        <v>43</v>
      </c>
      <c r="K303" t="s">
        <v>43</v>
      </c>
      <c r="L303" t="s">
        <v>42</v>
      </c>
      <c r="M303" t="s">
        <v>43</v>
      </c>
      <c r="N303" t="s">
        <v>43</v>
      </c>
      <c r="O303">
        <v>4</v>
      </c>
      <c r="P303">
        <v>1</v>
      </c>
      <c r="Q303">
        <v>1</v>
      </c>
      <c r="R303">
        <v>2</v>
      </c>
      <c r="S303">
        <v>2</v>
      </c>
      <c r="T303">
        <f t="shared" si="20"/>
        <v>4</v>
      </c>
      <c r="U303" t="str" cm="1">
        <f t="array" ref="U303">_xlfn.IFS(T303&lt;3, "low", AND(T303&gt;=3, T303&lt;5), "med", T303&gt;=5, "high")</f>
        <v>med</v>
      </c>
      <c r="V303">
        <v>0</v>
      </c>
      <c r="W303" t="str" cm="1">
        <f t="array" ref="W303">_xlfn.IFS(V303&lt;5, "low", AND(V303&gt;=5, V303&lt;10), "med", V303&gt;=10, "high")</f>
        <v>low</v>
      </c>
      <c r="X303">
        <v>11</v>
      </c>
      <c r="Y303">
        <v>11</v>
      </c>
      <c r="Z303">
        <v>10</v>
      </c>
      <c r="AA303">
        <f t="shared" si="21"/>
        <v>0</v>
      </c>
      <c r="AB303">
        <f t="shared" si="22"/>
        <v>1</v>
      </c>
      <c r="AC303">
        <f t="shared" si="23"/>
        <v>1</v>
      </c>
      <c r="AD303" s="1">
        <f t="shared" si="24"/>
        <v>10.666666666666666</v>
      </c>
    </row>
    <row r="304" spans="1:30" x14ac:dyDescent="0.35">
      <c r="A304" t="s">
        <v>34</v>
      </c>
      <c r="B304">
        <v>17</v>
      </c>
      <c r="C304" t="s">
        <v>35</v>
      </c>
      <c r="D304" t="s">
        <v>36</v>
      </c>
      <c r="E304" t="s">
        <v>44</v>
      </c>
      <c r="F304" t="s">
        <v>45</v>
      </c>
      <c r="G304" t="s">
        <v>45</v>
      </c>
      <c r="H304">
        <v>3</v>
      </c>
      <c r="I304">
        <v>0</v>
      </c>
      <c r="J304" t="s">
        <v>43</v>
      </c>
      <c r="K304" t="s">
        <v>42</v>
      </c>
      <c r="L304" t="s">
        <v>42</v>
      </c>
      <c r="M304" t="s">
        <v>43</v>
      </c>
      <c r="N304" t="s">
        <v>43</v>
      </c>
      <c r="O304">
        <v>4</v>
      </c>
      <c r="P304">
        <v>3</v>
      </c>
      <c r="Q304">
        <v>3</v>
      </c>
      <c r="R304">
        <v>1</v>
      </c>
      <c r="S304">
        <v>1</v>
      </c>
      <c r="T304">
        <f t="shared" si="20"/>
        <v>2</v>
      </c>
      <c r="U304" t="str" cm="1">
        <f t="array" ref="U304">_xlfn.IFS(T304&lt;3, "low", AND(T304&gt;=3, T304&lt;5), "med", T304&gt;=5, "high")</f>
        <v>low</v>
      </c>
      <c r="V304">
        <v>0</v>
      </c>
      <c r="W304" t="str" cm="1">
        <f t="array" ref="W304">_xlfn.IFS(V304&lt;5, "low", AND(V304&gt;=5, V304&lt;10), "med", V304&gt;=10, "high")</f>
        <v>low</v>
      </c>
      <c r="X304">
        <v>15</v>
      </c>
      <c r="Y304">
        <v>12</v>
      </c>
      <c r="Z304">
        <v>14</v>
      </c>
      <c r="AA304">
        <f t="shared" si="21"/>
        <v>1</v>
      </c>
      <c r="AB304">
        <f t="shared" si="22"/>
        <v>0</v>
      </c>
      <c r="AC304">
        <f t="shared" si="23"/>
        <v>1</v>
      </c>
      <c r="AD304" s="1">
        <f t="shared" si="24"/>
        <v>13.666666666666666</v>
      </c>
    </row>
    <row r="305" spans="1:30" x14ac:dyDescent="0.35">
      <c r="A305" t="s">
        <v>34</v>
      </c>
      <c r="B305">
        <v>17</v>
      </c>
      <c r="C305" t="s">
        <v>35</v>
      </c>
      <c r="D305" t="s">
        <v>36</v>
      </c>
      <c r="E305" t="s">
        <v>44</v>
      </c>
      <c r="F305" t="s">
        <v>28</v>
      </c>
      <c r="G305" t="s">
        <v>28</v>
      </c>
      <c r="H305">
        <v>4</v>
      </c>
      <c r="I305">
        <v>0</v>
      </c>
      <c r="J305" t="s">
        <v>43</v>
      </c>
      <c r="K305" t="s">
        <v>42</v>
      </c>
      <c r="L305" t="s">
        <v>42</v>
      </c>
      <c r="M305" t="s">
        <v>42</v>
      </c>
      <c r="N305" t="s">
        <v>43</v>
      </c>
      <c r="O305">
        <v>5</v>
      </c>
      <c r="P305">
        <v>2</v>
      </c>
      <c r="Q305">
        <v>2</v>
      </c>
      <c r="R305">
        <v>1</v>
      </c>
      <c r="S305">
        <v>2</v>
      </c>
      <c r="T305">
        <f t="shared" si="20"/>
        <v>3</v>
      </c>
      <c r="U305" t="str" cm="1">
        <f t="array" ref="U305">_xlfn.IFS(T305&lt;3, "low", AND(T305&gt;=3, T305&lt;5), "med", T305&gt;=5, "high")</f>
        <v>med</v>
      </c>
      <c r="V305">
        <v>0</v>
      </c>
      <c r="W305" t="str" cm="1">
        <f t="array" ref="W305">_xlfn.IFS(V305&lt;5, "low", AND(V305&gt;=5, V305&lt;10), "med", V305&gt;=10, "high")</f>
        <v>low</v>
      </c>
      <c r="X305">
        <v>17</v>
      </c>
      <c r="Y305">
        <v>17</v>
      </c>
      <c r="Z305">
        <v>18</v>
      </c>
      <c r="AA305">
        <f t="shared" si="21"/>
        <v>0</v>
      </c>
      <c r="AB305">
        <f t="shared" si="22"/>
        <v>0</v>
      </c>
      <c r="AC305">
        <f t="shared" si="23"/>
        <v>0</v>
      </c>
      <c r="AD305" s="1">
        <f t="shared" si="24"/>
        <v>17.333333333333332</v>
      </c>
    </row>
    <row r="306" spans="1:30" x14ac:dyDescent="0.35">
      <c r="A306" t="s">
        <v>50</v>
      </c>
      <c r="B306">
        <v>19</v>
      </c>
      <c r="C306" t="s">
        <v>35</v>
      </c>
      <c r="D306" t="s">
        <v>36</v>
      </c>
      <c r="E306" t="s">
        <v>44</v>
      </c>
      <c r="F306" t="s">
        <v>45</v>
      </c>
      <c r="G306" t="s">
        <v>45</v>
      </c>
      <c r="H306">
        <v>2</v>
      </c>
      <c r="I306">
        <v>1</v>
      </c>
      <c r="J306" t="s">
        <v>43</v>
      </c>
      <c r="K306" t="s">
        <v>42</v>
      </c>
      <c r="L306" t="s">
        <v>43</v>
      </c>
      <c r="M306" t="s">
        <v>42</v>
      </c>
      <c r="N306" t="s">
        <v>42</v>
      </c>
      <c r="O306">
        <v>4</v>
      </c>
      <c r="P306">
        <v>4</v>
      </c>
      <c r="Q306">
        <v>4</v>
      </c>
      <c r="R306">
        <v>1</v>
      </c>
      <c r="S306">
        <v>1</v>
      </c>
      <c r="T306">
        <f t="shared" si="20"/>
        <v>2</v>
      </c>
      <c r="U306" t="str" cm="1">
        <f t="array" ref="U306">_xlfn.IFS(T306&lt;3, "low", AND(T306&gt;=3, T306&lt;5), "med", T306&gt;=5, "high")</f>
        <v>low</v>
      </c>
      <c r="V306">
        <v>20</v>
      </c>
      <c r="W306" t="str" cm="1">
        <f t="array" ref="W306">_xlfn.IFS(V306&lt;5, "low", AND(V306&gt;=5, V306&lt;10), "med", V306&gt;=10, "high")</f>
        <v>high</v>
      </c>
      <c r="X306">
        <v>15</v>
      </c>
      <c r="Y306">
        <v>14</v>
      </c>
      <c r="Z306">
        <v>13</v>
      </c>
      <c r="AA306">
        <f t="shared" si="21"/>
        <v>1</v>
      </c>
      <c r="AB306">
        <f t="shared" si="22"/>
        <v>1</v>
      </c>
      <c r="AC306">
        <f t="shared" si="23"/>
        <v>2</v>
      </c>
      <c r="AD306" s="1">
        <f t="shared" si="24"/>
        <v>14</v>
      </c>
    </row>
    <row r="307" spans="1:30" x14ac:dyDescent="0.35">
      <c r="A307" t="s">
        <v>34</v>
      </c>
      <c r="B307">
        <v>18</v>
      </c>
      <c r="C307" t="s">
        <v>35</v>
      </c>
      <c r="D307" t="s">
        <v>36</v>
      </c>
      <c r="E307" t="s">
        <v>44</v>
      </c>
      <c r="F307" t="s">
        <v>48</v>
      </c>
      <c r="G307" t="s">
        <v>38</v>
      </c>
      <c r="H307">
        <v>2</v>
      </c>
      <c r="I307">
        <v>1</v>
      </c>
      <c r="J307" t="s">
        <v>43</v>
      </c>
      <c r="K307" t="s">
        <v>42</v>
      </c>
      <c r="L307" t="s">
        <v>42</v>
      </c>
      <c r="M307" t="s">
        <v>42</v>
      </c>
      <c r="N307" t="s">
        <v>43</v>
      </c>
      <c r="O307">
        <v>4</v>
      </c>
      <c r="P307">
        <v>4</v>
      </c>
      <c r="Q307">
        <v>3</v>
      </c>
      <c r="R307">
        <v>1</v>
      </c>
      <c r="S307">
        <v>1</v>
      </c>
      <c r="T307">
        <f t="shared" si="20"/>
        <v>2</v>
      </c>
      <c r="U307" t="str" cm="1">
        <f t="array" ref="U307">_xlfn.IFS(T307&lt;3, "low", AND(T307&gt;=3, T307&lt;5), "med", T307&gt;=5, "high")</f>
        <v>low</v>
      </c>
      <c r="V307">
        <v>8</v>
      </c>
      <c r="W307" t="str" cm="1">
        <f t="array" ref="W307">_xlfn.IFS(V307&lt;5, "low", AND(V307&gt;=5, V307&lt;10), "med", V307&gt;=10, "high")</f>
        <v>med</v>
      </c>
      <c r="X307">
        <v>14</v>
      </c>
      <c r="Y307">
        <v>12</v>
      </c>
      <c r="Z307">
        <v>12</v>
      </c>
      <c r="AA307">
        <f t="shared" si="21"/>
        <v>1</v>
      </c>
      <c r="AB307">
        <f t="shared" si="22"/>
        <v>0</v>
      </c>
      <c r="AC307">
        <f t="shared" si="23"/>
        <v>1</v>
      </c>
      <c r="AD307" s="1">
        <f t="shared" si="24"/>
        <v>12.666666666666666</v>
      </c>
    </row>
    <row r="308" spans="1:30" x14ac:dyDescent="0.35">
      <c r="A308" t="s">
        <v>50</v>
      </c>
      <c r="B308">
        <v>20</v>
      </c>
      <c r="C308" t="s">
        <v>35</v>
      </c>
      <c r="D308" t="s">
        <v>36</v>
      </c>
      <c r="E308" t="s">
        <v>37</v>
      </c>
      <c r="F308" t="s">
        <v>48</v>
      </c>
      <c r="G308" t="s">
        <v>45</v>
      </c>
      <c r="H308">
        <v>1</v>
      </c>
      <c r="I308">
        <v>0</v>
      </c>
      <c r="J308" t="s">
        <v>43</v>
      </c>
      <c r="K308" t="s">
        <v>43</v>
      </c>
      <c r="L308" t="s">
        <v>43</v>
      </c>
      <c r="M308" t="s">
        <v>42</v>
      </c>
      <c r="N308" t="s">
        <v>43</v>
      </c>
      <c r="O308">
        <v>5</v>
      </c>
      <c r="P308">
        <v>5</v>
      </c>
      <c r="Q308">
        <v>3</v>
      </c>
      <c r="R308">
        <v>1</v>
      </c>
      <c r="S308">
        <v>1</v>
      </c>
      <c r="T308">
        <f t="shared" si="20"/>
        <v>2</v>
      </c>
      <c r="U308" t="str" cm="1">
        <f t="array" ref="U308">_xlfn.IFS(T308&lt;3, "low", AND(T308&gt;=3, T308&lt;5), "med", T308&gt;=5, "high")</f>
        <v>low</v>
      </c>
      <c r="V308">
        <v>0</v>
      </c>
      <c r="W308" t="str" cm="1">
        <f t="array" ref="W308">_xlfn.IFS(V308&lt;5, "low", AND(V308&gt;=5, V308&lt;10), "med", V308&gt;=10, "high")</f>
        <v>low</v>
      </c>
      <c r="X308">
        <v>17</v>
      </c>
      <c r="Y308">
        <v>18</v>
      </c>
      <c r="Z308">
        <v>18</v>
      </c>
      <c r="AA308">
        <f t="shared" si="21"/>
        <v>0</v>
      </c>
      <c r="AB308">
        <f t="shared" si="22"/>
        <v>0</v>
      </c>
      <c r="AC308">
        <f t="shared" si="23"/>
        <v>0</v>
      </c>
      <c r="AD308" s="1">
        <f t="shared" si="24"/>
        <v>17.666666666666668</v>
      </c>
    </row>
    <row r="309" spans="1:30" x14ac:dyDescent="0.35">
      <c r="A309" t="s">
        <v>50</v>
      </c>
      <c r="B309">
        <v>19</v>
      </c>
      <c r="C309" t="s">
        <v>35</v>
      </c>
      <c r="D309" t="s">
        <v>36</v>
      </c>
      <c r="E309" t="s">
        <v>44</v>
      </c>
      <c r="F309" t="s">
        <v>39</v>
      </c>
      <c r="G309" t="s">
        <v>48</v>
      </c>
      <c r="H309">
        <v>1</v>
      </c>
      <c r="I309">
        <v>1</v>
      </c>
      <c r="J309" t="s">
        <v>43</v>
      </c>
      <c r="K309" t="s">
        <v>42</v>
      </c>
      <c r="L309" t="s">
        <v>42</v>
      </c>
      <c r="M309" t="s">
        <v>43</v>
      </c>
      <c r="N309" t="s">
        <v>42</v>
      </c>
      <c r="O309">
        <v>4</v>
      </c>
      <c r="P309">
        <v>3</v>
      </c>
      <c r="Q309">
        <v>4</v>
      </c>
      <c r="R309">
        <v>1</v>
      </c>
      <c r="S309">
        <v>1</v>
      </c>
      <c r="T309">
        <f t="shared" si="20"/>
        <v>2</v>
      </c>
      <c r="U309" t="str" cm="1">
        <f t="array" ref="U309">_xlfn.IFS(T309&lt;3, "low", AND(T309&gt;=3, T309&lt;5), "med", T309&gt;=5, "high")</f>
        <v>low</v>
      </c>
      <c r="V309">
        <v>38</v>
      </c>
      <c r="W309" t="str" cm="1">
        <f t="array" ref="W309">_xlfn.IFS(V309&lt;5, "low", AND(V309&gt;=5, V309&lt;10), "med", V309&gt;=10, "high")</f>
        <v>high</v>
      </c>
      <c r="X309">
        <v>8</v>
      </c>
      <c r="Y309">
        <v>9</v>
      </c>
      <c r="Z309">
        <v>8</v>
      </c>
      <c r="AA309">
        <f t="shared" si="21"/>
        <v>0</v>
      </c>
      <c r="AB309">
        <f t="shared" si="22"/>
        <v>1</v>
      </c>
      <c r="AC309">
        <f t="shared" si="23"/>
        <v>1</v>
      </c>
      <c r="AD309" s="1">
        <f t="shared" si="24"/>
        <v>8.3333333333333339</v>
      </c>
    </row>
    <row r="310" spans="1:30" x14ac:dyDescent="0.35">
      <c r="A310" t="s">
        <v>50</v>
      </c>
      <c r="B310">
        <v>19</v>
      </c>
      <c r="C310" t="s">
        <v>52</v>
      </c>
      <c r="D310" t="s">
        <v>36</v>
      </c>
      <c r="E310" t="s">
        <v>44</v>
      </c>
      <c r="F310" t="s">
        <v>45</v>
      </c>
      <c r="G310" t="s">
        <v>48</v>
      </c>
      <c r="H310">
        <v>2</v>
      </c>
      <c r="I310">
        <v>1</v>
      </c>
      <c r="J310" t="s">
        <v>43</v>
      </c>
      <c r="K310" t="s">
        <v>43</v>
      </c>
      <c r="L310" t="s">
        <v>43</v>
      </c>
      <c r="M310" t="s">
        <v>42</v>
      </c>
      <c r="N310" t="s">
        <v>42</v>
      </c>
      <c r="O310">
        <v>4</v>
      </c>
      <c r="P310">
        <v>5</v>
      </c>
      <c r="Q310">
        <v>3</v>
      </c>
      <c r="R310">
        <v>1</v>
      </c>
      <c r="S310">
        <v>2</v>
      </c>
      <c r="T310">
        <f t="shared" si="20"/>
        <v>3</v>
      </c>
      <c r="U310" t="str" cm="1">
        <f t="array" ref="U310">_xlfn.IFS(T310&lt;3, "low", AND(T310&gt;=3, T310&lt;5), "med", T310&gt;=5, "high")</f>
        <v>med</v>
      </c>
      <c r="V310">
        <v>0</v>
      </c>
      <c r="W310" t="str" cm="1">
        <f t="array" ref="W310">_xlfn.IFS(V310&lt;5, "low", AND(V310&gt;=5, V310&lt;10), "med", V310&gt;=10, "high")</f>
        <v>low</v>
      </c>
      <c r="X310">
        <v>15</v>
      </c>
      <c r="Y310">
        <v>12</v>
      </c>
      <c r="Z310">
        <v>12</v>
      </c>
      <c r="AA310">
        <f t="shared" si="21"/>
        <v>1</v>
      </c>
      <c r="AB310">
        <f t="shared" si="22"/>
        <v>0</v>
      </c>
      <c r="AC310">
        <f t="shared" si="23"/>
        <v>1</v>
      </c>
      <c r="AD310" s="1">
        <f t="shared" si="24"/>
        <v>13</v>
      </c>
    </row>
    <row r="311" spans="1:30" x14ac:dyDescent="0.35">
      <c r="A311" t="s">
        <v>34</v>
      </c>
      <c r="B311">
        <v>19</v>
      </c>
      <c r="C311" t="s">
        <v>35</v>
      </c>
      <c r="D311" t="s">
        <v>47</v>
      </c>
      <c r="E311" t="s">
        <v>44</v>
      </c>
      <c r="F311" t="s">
        <v>38</v>
      </c>
      <c r="G311" t="s">
        <v>45</v>
      </c>
      <c r="H311">
        <v>2</v>
      </c>
      <c r="I311">
        <v>1</v>
      </c>
      <c r="J311" t="s">
        <v>42</v>
      </c>
      <c r="K311" t="s">
        <v>42</v>
      </c>
      <c r="L311" t="s">
        <v>43</v>
      </c>
      <c r="M311" t="s">
        <v>42</v>
      </c>
      <c r="N311" t="s">
        <v>43</v>
      </c>
      <c r="O311">
        <v>4</v>
      </c>
      <c r="P311">
        <v>4</v>
      </c>
      <c r="Q311">
        <v>3</v>
      </c>
      <c r="R311">
        <v>1</v>
      </c>
      <c r="S311">
        <v>3</v>
      </c>
      <c r="T311">
        <f t="shared" si="20"/>
        <v>4</v>
      </c>
      <c r="U311" t="str" cm="1">
        <f t="array" ref="U311">_xlfn.IFS(T311&lt;3, "low", AND(T311&gt;=3, T311&lt;5), "med", T311&gt;=5, "high")</f>
        <v>med</v>
      </c>
      <c r="V311">
        <v>18</v>
      </c>
      <c r="W311" t="str" cm="1">
        <f t="array" ref="W311">_xlfn.IFS(V311&lt;5, "low", AND(V311&gt;=5, V311&lt;10), "med", V311&gt;=10, "high")</f>
        <v>high</v>
      </c>
      <c r="X311">
        <v>12</v>
      </c>
      <c r="Y311">
        <v>10</v>
      </c>
      <c r="Z311">
        <v>10</v>
      </c>
      <c r="AA311">
        <f t="shared" si="21"/>
        <v>1</v>
      </c>
      <c r="AB311">
        <f t="shared" si="22"/>
        <v>0</v>
      </c>
      <c r="AC311">
        <f t="shared" si="23"/>
        <v>1</v>
      </c>
      <c r="AD311" s="1">
        <f t="shared" si="24"/>
        <v>10.666666666666666</v>
      </c>
    </row>
    <row r="312" spans="1:30" x14ac:dyDescent="0.35">
      <c r="A312" t="s">
        <v>34</v>
      </c>
      <c r="B312">
        <v>19</v>
      </c>
      <c r="C312" t="s">
        <v>35</v>
      </c>
      <c r="D312" t="s">
        <v>47</v>
      </c>
      <c r="E312" t="s">
        <v>44</v>
      </c>
      <c r="F312" t="s">
        <v>48</v>
      </c>
      <c r="G312" t="s">
        <v>48</v>
      </c>
      <c r="H312">
        <v>2</v>
      </c>
      <c r="I312">
        <v>1</v>
      </c>
      <c r="J312" t="s">
        <v>43</v>
      </c>
      <c r="K312" t="s">
        <v>43</v>
      </c>
      <c r="L312" t="s">
        <v>43</v>
      </c>
      <c r="M312" t="s">
        <v>42</v>
      </c>
      <c r="N312" t="s">
        <v>42</v>
      </c>
      <c r="O312">
        <v>4</v>
      </c>
      <c r="P312">
        <v>2</v>
      </c>
      <c r="Q312">
        <v>4</v>
      </c>
      <c r="R312">
        <v>2</v>
      </c>
      <c r="S312">
        <v>2</v>
      </c>
      <c r="T312">
        <f t="shared" si="20"/>
        <v>4</v>
      </c>
      <c r="U312" t="str" cm="1">
        <f t="array" ref="U312">_xlfn.IFS(T312&lt;3, "low", AND(T312&gt;=3, T312&lt;5), "med", T312&gt;=5, "high")</f>
        <v>med</v>
      </c>
      <c r="V312">
        <v>0</v>
      </c>
      <c r="W312" t="str" cm="1">
        <f t="array" ref="W312">_xlfn.IFS(V312&lt;5, "low", AND(V312&gt;=5, V312&lt;10), "med", V312&gt;=10, "high")</f>
        <v>low</v>
      </c>
      <c r="X312">
        <v>9</v>
      </c>
      <c r="Y312">
        <v>9</v>
      </c>
      <c r="Z312">
        <v>0</v>
      </c>
      <c r="AA312">
        <f t="shared" si="21"/>
        <v>0</v>
      </c>
      <c r="AB312">
        <f t="shared" si="22"/>
        <v>1</v>
      </c>
      <c r="AC312">
        <f t="shared" si="23"/>
        <v>1</v>
      </c>
      <c r="AD312" s="1">
        <f t="shared" si="24"/>
        <v>6</v>
      </c>
    </row>
    <row r="313" spans="1:30" x14ac:dyDescent="0.35">
      <c r="A313" t="s">
        <v>34</v>
      </c>
      <c r="B313">
        <v>19</v>
      </c>
      <c r="C313" t="s">
        <v>35</v>
      </c>
      <c r="D313" t="s">
        <v>36</v>
      </c>
      <c r="E313" t="s">
        <v>44</v>
      </c>
      <c r="F313" t="s">
        <v>38</v>
      </c>
      <c r="G313" t="s">
        <v>45</v>
      </c>
      <c r="H313">
        <v>2</v>
      </c>
      <c r="I313">
        <v>0</v>
      </c>
      <c r="J313" t="s">
        <v>43</v>
      </c>
      <c r="K313" t="s">
        <v>42</v>
      </c>
      <c r="L313" t="s">
        <v>43</v>
      </c>
      <c r="M313" t="s">
        <v>43</v>
      </c>
      <c r="N313" t="s">
        <v>42</v>
      </c>
      <c r="O313">
        <v>3</v>
      </c>
      <c r="P313">
        <v>4</v>
      </c>
      <c r="Q313">
        <v>1</v>
      </c>
      <c r="R313">
        <v>1</v>
      </c>
      <c r="S313">
        <v>1</v>
      </c>
      <c r="T313">
        <f t="shared" si="20"/>
        <v>2</v>
      </c>
      <c r="U313" t="str" cm="1">
        <f t="array" ref="U313">_xlfn.IFS(T313&lt;3, "low", AND(T313&gt;=3, T313&lt;5), "med", T313&gt;=5, "high")</f>
        <v>low</v>
      </c>
      <c r="V313">
        <v>20</v>
      </c>
      <c r="W313" t="str" cm="1">
        <f t="array" ref="W313">_xlfn.IFS(V313&lt;5, "low", AND(V313&gt;=5, V313&lt;10), "med", V313&gt;=10, "high")</f>
        <v>high</v>
      </c>
      <c r="X313">
        <v>14</v>
      </c>
      <c r="Y313">
        <v>12</v>
      </c>
      <c r="Z313">
        <v>13</v>
      </c>
      <c r="AA313">
        <f t="shared" si="21"/>
        <v>1</v>
      </c>
      <c r="AB313">
        <f t="shared" si="22"/>
        <v>0</v>
      </c>
      <c r="AC313">
        <f t="shared" si="23"/>
        <v>1</v>
      </c>
      <c r="AD313" s="1">
        <f t="shared" si="24"/>
        <v>13</v>
      </c>
    </row>
    <row r="314" spans="1:30" x14ac:dyDescent="0.35">
      <c r="A314" t="s">
        <v>50</v>
      </c>
      <c r="B314">
        <v>19</v>
      </c>
      <c r="C314" t="s">
        <v>35</v>
      </c>
      <c r="D314" t="s">
        <v>36</v>
      </c>
      <c r="E314" t="s">
        <v>44</v>
      </c>
      <c r="F314" t="s">
        <v>45</v>
      </c>
      <c r="G314" t="s">
        <v>48</v>
      </c>
      <c r="H314">
        <v>2</v>
      </c>
      <c r="I314">
        <v>1</v>
      </c>
      <c r="J314" t="s">
        <v>43</v>
      </c>
      <c r="K314" t="s">
        <v>43</v>
      </c>
      <c r="L314" t="s">
        <v>43</v>
      </c>
      <c r="M314" t="s">
        <v>43</v>
      </c>
      <c r="N314" t="s">
        <v>43</v>
      </c>
      <c r="O314">
        <v>4</v>
      </c>
      <c r="P314">
        <v>5</v>
      </c>
      <c r="Q314">
        <v>2</v>
      </c>
      <c r="R314">
        <v>2</v>
      </c>
      <c r="S314">
        <v>2</v>
      </c>
      <c r="T314">
        <f t="shared" si="20"/>
        <v>4</v>
      </c>
      <c r="U314" t="str" cm="1">
        <f t="array" ref="U314">_xlfn.IFS(T314&lt;3, "low", AND(T314&gt;=3, T314&lt;5), "med", T314&gt;=5, "high")</f>
        <v>med</v>
      </c>
      <c r="V314">
        <v>3</v>
      </c>
      <c r="W314" t="str" cm="1">
        <f t="array" ref="W314">_xlfn.IFS(V314&lt;5, "low", AND(V314&gt;=5, V314&lt;10), "med", V314&gt;=10, "high")</f>
        <v>low</v>
      </c>
      <c r="X314">
        <v>13</v>
      </c>
      <c r="Y314">
        <v>11</v>
      </c>
      <c r="Z314">
        <v>11</v>
      </c>
      <c r="AA314">
        <f t="shared" si="21"/>
        <v>1</v>
      </c>
      <c r="AB314">
        <f t="shared" si="22"/>
        <v>0</v>
      </c>
      <c r="AC314">
        <f t="shared" si="23"/>
        <v>1</v>
      </c>
      <c r="AD314" s="1">
        <f t="shared" si="24"/>
        <v>11.666666666666666</v>
      </c>
    </row>
    <row r="315" spans="1:30" x14ac:dyDescent="0.35">
      <c r="A315" t="s">
        <v>34</v>
      </c>
      <c r="B315">
        <v>19</v>
      </c>
      <c r="C315" t="s">
        <v>35</v>
      </c>
      <c r="D315" t="s">
        <v>47</v>
      </c>
      <c r="E315" t="s">
        <v>44</v>
      </c>
      <c r="F315" t="s">
        <v>48</v>
      </c>
      <c r="G315" t="s">
        <v>45</v>
      </c>
      <c r="H315">
        <v>2</v>
      </c>
      <c r="I315">
        <v>1</v>
      </c>
      <c r="J315" t="s">
        <v>43</v>
      </c>
      <c r="K315" t="s">
        <v>42</v>
      </c>
      <c r="L315" t="s">
        <v>42</v>
      </c>
      <c r="M315" t="s">
        <v>43</v>
      </c>
      <c r="N315" t="s">
        <v>42</v>
      </c>
      <c r="O315">
        <v>4</v>
      </c>
      <c r="P315">
        <v>2</v>
      </c>
      <c r="Q315">
        <v>2</v>
      </c>
      <c r="R315">
        <v>1</v>
      </c>
      <c r="S315">
        <v>2</v>
      </c>
      <c r="T315">
        <f t="shared" si="20"/>
        <v>3</v>
      </c>
      <c r="U315" t="str" cm="1">
        <f t="array" ref="U315">_xlfn.IFS(T315&lt;3, "low", AND(T315&gt;=3, T315&lt;5), "med", T315&gt;=5, "high")</f>
        <v>med</v>
      </c>
      <c r="V315">
        <v>22</v>
      </c>
      <c r="W315" t="str" cm="1">
        <f t="array" ref="W315">_xlfn.IFS(V315&lt;5, "low", AND(V315&gt;=5, V315&lt;10), "med", V315&gt;=10, "high")</f>
        <v>high</v>
      </c>
      <c r="X315">
        <v>13</v>
      </c>
      <c r="Y315">
        <v>10</v>
      </c>
      <c r="Z315">
        <v>11</v>
      </c>
      <c r="AA315">
        <f t="shared" si="21"/>
        <v>1</v>
      </c>
      <c r="AB315">
        <f t="shared" si="22"/>
        <v>0</v>
      </c>
      <c r="AC315">
        <f t="shared" si="23"/>
        <v>1</v>
      </c>
      <c r="AD315" s="1">
        <f t="shared" si="24"/>
        <v>11.333333333333334</v>
      </c>
    </row>
    <row r="316" spans="1:30" x14ac:dyDescent="0.35">
      <c r="A316" t="s">
        <v>34</v>
      </c>
      <c r="B316">
        <v>19</v>
      </c>
      <c r="C316" t="s">
        <v>35</v>
      </c>
      <c r="D316" t="s">
        <v>36</v>
      </c>
      <c r="E316" t="s">
        <v>44</v>
      </c>
      <c r="F316" t="s">
        <v>38</v>
      </c>
      <c r="G316" t="s">
        <v>28</v>
      </c>
      <c r="H316">
        <v>3</v>
      </c>
      <c r="I316">
        <v>2</v>
      </c>
      <c r="J316" t="s">
        <v>43</v>
      </c>
      <c r="K316" t="s">
        <v>43</v>
      </c>
      <c r="L316" t="s">
        <v>43</v>
      </c>
      <c r="M316" t="s">
        <v>43</v>
      </c>
      <c r="N316" t="s">
        <v>42</v>
      </c>
      <c r="O316">
        <v>4</v>
      </c>
      <c r="P316">
        <v>1</v>
      </c>
      <c r="Q316">
        <v>2</v>
      </c>
      <c r="R316">
        <v>1</v>
      </c>
      <c r="S316">
        <v>1</v>
      </c>
      <c r="T316">
        <f t="shared" si="20"/>
        <v>2</v>
      </c>
      <c r="U316" t="str" cm="1">
        <f t="array" ref="U316">_xlfn.IFS(T316&lt;3, "low", AND(T316&gt;=3, T316&lt;5), "med", T316&gt;=5, "high")</f>
        <v>low</v>
      </c>
      <c r="V316">
        <v>14</v>
      </c>
      <c r="W316" t="str" cm="1">
        <f t="array" ref="W316">_xlfn.IFS(V316&lt;5, "low", AND(V316&gt;=5, V316&lt;10), "med", V316&gt;=10, "high")</f>
        <v>high</v>
      </c>
      <c r="X316">
        <v>15</v>
      </c>
      <c r="Y316">
        <v>13</v>
      </c>
      <c r="Z316">
        <v>13</v>
      </c>
      <c r="AA316">
        <f t="shared" si="21"/>
        <v>1</v>
      </c>
      <c r="AB316">
        <f t="shared" si="22"/>
        <v>0</v>
      </c>
      <c r="AC316">
        <f t="shared" si="23"/>
        <v>1</v>
      </c>
      <c r="AD316" s="1">
        <f t="shared" si="24"/>
        <v>13.666666666666666</v>
      </c>
    </row>
    <row r="317" spans="1:30" x14ac:dyDescent="0.35">
      <c r="A317" t="s">
        <v>34</v>
      </c>
      <c r="B317">
        <v>19</v>
      </c>
      <c r="C317" t="s">
        <v>52</v>
      </c>
      <c r="D317" t="s">
        <v>36</v>
      </c>
      <c r="E317" t="s">
        <v>44</v>
      </c>
      <c r="F317" t="s">
        <v>45</v>
      </c>
      <c r="G317" t="s">
        <v>45</v>
      </c>
      <c r="H317">
        <v>3</v>
      </c>
      <c r="I317">
        <v>1</v>
      </c>
      <c r="J317" t="s">
        <v>43</v>
      </c>
      <c r="K317" t="s">
        <v>43</v>
      </c>
      <c r="L317" t="s">
        <v>43</v>
      </c>
      <c r="M317" t="s">
        <v>43</v>
      </c>
      <c r="N317" t="s">
        <v>42</v>
      </c>
      <c r="O317">
        <v>4</v>
      </c>
      <c r="P317">
        <v>1</v>
      </c>
      <c r="Q317">
        <v>2</v>
      </c>
      <c r="R317">
        <v>1</v>
      </c>
      <c r="S317">
        <v>1</v>
      </c>
      <c r="T317">
        <f t="shared" si="20"/>
        <v>2</v>
      </c>
      <c r="U317" t="str" cm="1">
        <f t="array" ref="U317">_xlfn.IFS(T317&lt;3, "low", AND(T317&gt;=3, T317&lt;5), "med", T317&gt;=5, "high")</f>
        <v>low</v>
      </c>
      <c r="V317">
        <v>40</v>
      </c>
      <c r="W317" t="str" cm="1">
        <f t="array" ref="W317">_xlfn.IFS(V317&lt;5, "low", AND(V317&gt;=5, V317&lt;10), "med", V317&gt;=10, "high")</f>
        <v>high</v>
      </c>
      <c r="X317">
        <v>13</v>
      </c>
      <c r="Y317">
        <v>11</v>
      </c>
      <c r="Z317">
        <v>11</v>
      </c>
      <c r="AA317">
        <f t="shared" si="21"/>
        <v>1</v>
      </c>
      <c r="AB317">
        <f t="shared" si="22"/>
        <v>0</v>
      </c>
      <c r="AC317">
        <f t="shared" si="23"/>
        <v>1</v>
      </c>
      <c r="AD317" s="1">
        <f t="shared" si="24"/>
        <v>11.666666666666666</v>
      </c>
    </row>
    <row r="318" spans="1:30" x14ac:dyDescent="0.35">
      <c r="A318" t="s">
        <v>34</v>
      </c>
      <c r="B318">
        <v>18</v>
      </c>
      <c r="C318" t="s">
        <v>35</v>
      </c>
      <c r="D318" t="s">
        <v>36</v>
      </c>
      <c r="E318" t="s">
        <v>44</v>
      </c>
      <c r="F318" t="s">
        <v>48</v>
      </c>
      <c r="G318" t="s">
        <v>45</v>
      </c>
      <c r="H318">
        <v>2</v>
      </c>
      <c r="I318">
        <v>0</v>
      </c>
      <c r="J318" t="s">
        <v>43</v>
      </c>
      <c r="K318" t="s">
        <v>42</v>
      </c>
      <c r="L318" t="s">
        <v>42</v>
      </c>
      <c r="M318" t="s">
        <v>42</v>
      </c>
      <c r="N318" t="s">
        <v>43</v>
      </c>
      <c r="O318">
        <v>5</v>
      </c>
      <c r="P318">
        <v>3</v>
      </c>
      <c r="Q318">
        <v>3</v>
      </c>
      <c r="R318">
        <v>1</v>
      </c>
      <c r="S318">
        <v>2</v>
      </c>
      <c r="T318">
        <f t="shared" si="20"/>
        <v>3</v>
      </c>
      <c r="U318" t="str" cm="1">
        <f t="array" ref="U318">_xlfn.IFS(T318&lt;3, "low", AND(T318&gt;=3, T318&lt;5), "med", T318&gt;=5, "high")</f>
        <v>med</v>
      </c>
      <c r="V318">
        <v>0</v>
      </c>
      <c r="W318" t="str" cm="1">
        <f t="array" ref="W318">_xlfn.IFS(V318&lt;5, "low", AND(V318&gt;=5, V318&lt;10), "med", V318&gt;=10, "high")</f>
        <v>low</v>
      </c>
      <c r="X318">
        <v>8</v>
      </c>
      <c r="Y318">
        <v>8</v>
      </c>
      <c r="Z318">
        <v>0</v>
      </c>
      <c r="AA318">
        <f t="shared" si="21"/>
        <v>0</v>
      </c>
      <c r="AB318">
        <f t="shared" si="22"/>
        <v>1</v>
      </c>
      <c r="AC318">
        <f t="shared" si="23"/>
        <v>1</v>
      </c>
      <c r="AD318" s="1">
        <f t="shared" si="24"/>
        <v>5.333333333333333</v>
      </c>
    </row>
    <row r="319" spans="1:30" x14ac:dyDescent="0.35">
      <c r="A319" t="s">
        <v>34</v>
      </c>
      <c r="B319">
        <v>18</v>
      </c>
      <c r="C319" t="s">
        <v>35</v>
      </c>
      <c r="D319" t="s">
        <v>36</v>
      </c>
      <c r="E319" t="s">
        <v>44</v>
      </c>
      <c r="F319" t="s">
        <v>45</v>
      </c>
      <c r="G319" t="s">
        <v>45</v>
      </c>
      <c r="H319">
        <v>3</v>
      </c>
      <c r="I319">
        <v>0</v>
      </c>
      <c r="J319" t="s">
        <v>43</v>
      </c>
      <c r="K319" t="s">
        <v>42</v>
      </c>
      <c r="L319" t="s">
        <v>42</v>
      </c>
      <c r="M319" t="s">
        <v>42</v>
      </c>
      <c r="N319" t="s">
        <v>42</v>
      </c>
      <c r="O319">
        <v>4</v>
      </c>
      <c r="P319">
        <v>3</v>
      </c>
      <c r="Q319">
        <v>4</v>
      </c>
      <c r="R319">
        <v>1</v>
      </c>
      <c r="S319">
        <v>1</v>
      </c>
      <c r="T319">
        <f t="shared" si="20"/>
        <v>2</v>
      </c>
      <c r="U319" t="str" cm="1">
        <f t="array" ref="U319">_xlfn.IFS(T319&lt;3, "low", AND(T319&gt;=3, T319&lt;5), "med", T319&gt;=5, "high")</f>
        <v>low</v>
      </c>
      <c r="V319">
        <v>9</v>
      </c>
      <c r="W319" t="str" cm="1">
        <f t="array" ref="W319">_xlfn.IFS(V319&lt;5, "low", AND(V319&gt;=5, V319&lt;10), "med", V319&gt;=10, "high")</f>
        <v>med</v>
      </c>
      <c r="X319">
        <v>9</v>
      </c>
      <c r="Y319">
        <v>10</v>
      </c>
      <c r="Z319">
        <v>9</v>
      </c>
      <c r="AA319">
        <f t="shared" si="21"/>
        <v>0</v>
      </c>
      <c r="AB319">
        <f t="shared" si="22"/>
        <v>1</v>
      </c>
      <c r="AC319">
        <f t="shared" si="23"/>
        <v>1</v>
      </c>
      <c r="AD319" s="1">
        <f t="shared" si="24"/>
        <v>9.3333333333333339</v>
      </c>
    </row>
    <row r="320" spans="1:30" x14ac:dyDescent="0.35">
      <c r="A320" t="s">
        <v>34</v>
      </c>
      <c r="B320">
        <v>17</v>
      </c>
      <c r="C320" t="s">
        <v>52</v>
      </c>
      <c r="D320" t="s">
        <v>36</v>
      </c>
      <c r="E320" t="s">
        <v>44</v>
      </c>
      <c r="F320" t="s">
        <v>38</v>
      </c>
      <c r="G320" t="s">
        <v>48</v>
      </c>
      <c r="H320">
        <v>3</v>
      </c>
      <c r="I320">
        <v>0</v>
      </c>
      <c r="J320" t="s">
        <v>43</v>
      </c>
      <c r="K320" t="s">
        <v>42</v>
      </c>
      <c r="L320" t="s">
        <v>42</v>
      </c>
      <c r="M320" t="s">
        <v>42</v>
      </c>
      <c r="N320" t="s">
        <v>43</v>
      </c>
      <c r="O320">
        <v>4</v>
      </c>
      <c r="P320">
        <v>3</v>
      </c>
      <c r="Q320">
        <v>4</v>
      </c>
      <c r="R320">
        <v>2</v>
      </c>
      <c r="S320">
        <v>5</v>
      </c>
      <c r="T320">
        <f t="shared" si="20"/>
        <v>7</v>
      </c>
      <c r="U320" t="str" cm="1">
        <f t="array" ref="U320">_xlfn.IFS(T320&lt;3, "low", AND(T320&gt;=3, T320&lt;5), "med", T320&gt;=5, "high")</f>
        <v>high</v>
      </c>
      <c r="V320">
        <v>0</v>
      </c>
      <c r="W320" t="str" cm="1">
        <f t="array" ref="W320">_xlfn.IFS(V320&lt;5, "low", AND(V320&gt;=5, V320&lt;10), "med", V320&gt;=10, "high")</f>
        <v>low</v>
      </c>
      <c r="X320">
        <v>11</v>
      </c>
      <c r="Y320">
        <v>11</v>
      </c>
      <c r="Z320">
        <v>10</v>
      </c>
      <c r="AA320">
        <f t="shared" si="21"/>
        <v>0</v>
      </c>
      <c r="AB320">
        <f t="shared" si="22"/>
        <v>1</v>
      </c>
      <c r="AC320">
        <f t="shared" si="23"/>
        <v>1</v>
      </c>
      <c r="AD320" s="1">
        <f t="shared" si="24"/>
        <v>10.666666666666666</v>
      </c>
    </row>
    <row r="321" spans="1:30" x14ac:dyDescent="0.35">
      <c r="A321" t="s">
        <v>34</v>
      </c>
      <c r="B321">
        <v>18</v>
      </c>
      <c r="C321" t="s">
        <v>35</v>
      </c>
      <c r="D321" t="s">
        <v>36</v>
      </c>
      <c r="E321" t="s">
        <v>44</v>
      </c>
      <c r="F321" t="s">
        <v>39</v>
      </c>
      <c r="G321" t="s">
        <v>45</v>
      </c>
      <c r="H321">
        <v>2</v>
      </c>
      <c r="I321">
        <v>0</v>
      </c>
      <c r="J321" t="s">
        <v>43</v>
      </c>
      <c r="K321" t="s">
        <v>42</v>
      </c>
      <c r="L321" t="s">
        <v>42</v>
      </c>
      <c r="M321" t="s">
        <v>43</v>
      </c>
      <c r="N321" t="s">
        <v>43</v>
      </c>
      <c r="O321">
        <v>4</v>
      </c>
      <c r="P321">
        <v>4</v>
      </c>
      <c r="Q321">
        <v>4</v>
      </c>
      <c r="R321">
        <v>3</v>
      </c>
      <c r="S321">
        <v>3</v>
      </c>
      <c r="T321">
        <f t="shared" si="20"/>
        <v>6</v>
      </c>
      <c r="U321" t="str" cm="1">
        <f t="array" ref="U321">_xlfn.IFS(T321&lt;3, "low", AND(T321&gt;=3, T321&lt;5), "med", T321&gt;=5, "high")</f>
        <v>high</v>
      </c>
      <c r="V321">
        <v>2</v>
      </c>
      <c r="W321" t="str" cm="1">
        <f t="array" ref="W321">_xlfn.IFS(V321&lt;5, "low", AND(V321&gt;=5, V321&lt;10), "med", V321&gt;=10, "high")</f>
        <v>low</v>
      </c>
      <c r="X321">
        <v>11</v>
      </c>
      <c r="Y321">
        <v>11</v>
      </c>
      <c r="Z321">
        <v>11</v>
      </c>
      <c r="AA321">
        <f t="shared" si="21"/>
        <v>0</v>
      </c>
      <c r="AB321">
        <f t="shared" si="22"/>
        <v>0</v>
      </c>
      <c r="AC321">
        <f t="shared" si="23"/>
        <v>0</v>
      </c>
      <c r="AD321" s="1">
        <f t="shared" si="24"/>
        <v>11</v>
      </c>
    </row>
    <row r="322" spans="1:30" x14ac:dyDescent="0.35">
      <c r="A322" t="s">
        <v>34</v>
      </c>
      <c r="B322">
        <v>17</v>
      </c>
      <c r="C322" t="s">
        <v>35</v>
      </c>
      <c r="D322" t="s">
        <v>36</v>
      </c>
      <c r="E322" t="s">
        <v>37</v>
      </c>
      <c r="F322" t="s">
        <v>48</v>
      </c>
      <c r="G322" t="s">
        <v>48</v>
      </c>
      <c r="H322">
        <v>2</v>
      </c>
      <c r="I322">
        <v>0</v>
      </c>
      <c r="J322" t="s">
        <v>43</v>
      </c>
      <c r="K322" t="s">
        <v>42</v>
      </c>
      <c r="L322" t="s">
        <v>42</v>
      </c>
      <c r="M322" t="s">
        <v>43</v>
      </c>
      <c r="N322" t="s">
        <v>42</v>
      </c>
      <c r="O322">
        <v>5</v>
      </c>
      <c r="P322">
        <v>2</v>
      </c>
      <c r="Q322">
        <v>2</v>
      </c>
      <c r="R322">
        <v>1</v>
      </c>
      <c r="S322">
        <v>2</v>
      </c>
      <c r="T322">
        <f t="shared" si="20"/>
        <v>3</v>
      </c>
      <c r="U322" t="str" cm="1">
        <f t="array" ref="U322">_xlfn.IFS(T322&lt;3, "low", AND(T322&gt;=3, T322&lt;5), "med", T322&gt;=5, "high")</f>
        <v>med</v>
      </c>
      <c r="V322">
        <v>23</v>
      </c>
      <c r="W322" t="str" cm="1">
        <f t="array" ref="W322">_xlfn.IFS(V322&lt;5, "low", AND(V322&gt;=5, V322&lt;10), "med", V322&gt;=10, "high")</f>
        <v>high</v>
      </c>
      <c r="X322">
        <v>13</v>
      </c>
      <c r="Y322">
        <v>13</v>
      </c>
      <c r="Z322">
        <v>13</v>
      </c>
      <c r="AA322">
        <f t="shared" si="21"/>
        <v>0</v>
      </c>
      <c r="AB322">
        <f t="shared" si="22"/>
        <v>0</v>
      </c>
      <c r="AC322">
        <f t="shared" si="23"/>
        <v>0</v>
      </c>
      <c r="AD322" s="1">
        <f t="shared" si="24"/>
        <v>13</v>
      </c>
    </row>
    <row r="323" spans="1:30" x14ac:dyDescent="0.35">
      <c r="A323" t="s">
        <v>34</v>
      </c>
      <c r="B323">
        <v>17</v>
      </c>
      <c r="C323" t="s">
        <v>35</v>
      </c>
      <c r="D323" t="s">
        <v>36</v>
      </c>
      <c r="E323" t="s">
        <v>44</v>
      </c>
      <c r="F323" t="s">
        <v>45</v>
      </c>
      <c r="G323" t="s">
        <v>45</v>
      </c>
      <c r="H323">
        <v>2</v>
      </c>
      <c r="I323">
        <v>0</v>
      </c>
      <c r="J323" t="s">
        <v>43</v>
      </c>
      <c r="K323" t="s">
        <v>42</v>
      </c>
      <c r="L323" t="s">
        <v>43</v>
      </c>
      <c r="M323" t="s">
        <v>43</v>
      </c>
      <c r="N323" t="s">
        <v>42</v>
      </c>
      <c r="O323">
        <v>4</v>
      </c>
      <c r="P323">
        <v>2</v>
      </c>
      <c r="Q323">
        <v>2</v>
      </c>
      <c r="R323">
        <v>1</v>
      </c>
      <c r="S323">
        <v>1</v>
      </c>
      <c r="T323">
        <f t="shared" ref="T323:T386" si="25">R323+S323</f>
        <v>2</v>
      </c>
      <c r="U323" t="str" cm="1">
        <f t="array" ref="U323">_xlfn.IFS(T323&lt;3, "low", AND(T323&gt;=3, T323&lt;5), "med", T323&gt;=5, "high")</f>
        <v>low</v>
      </c>
      <c r="V323">
        <v>12</v>
      </c>
      <c r="W323" t="str" cm="1">
        <f t="array" ref="W323">_xlfn.IFS(V323&lt;5, "low", AND(V323&gt;=5, V323&lt;10), "med", V323&gt;=10, "high")</f>
        <v>high</v>
      </c>
      <c r="X323">
        <v>11</v>
      </c>
      <c r="Y323">
        <v>9</v>
      </c>
      <c r="Z323">
        <v>9</v>
      </c>
      <c r="AA323">
        <f t="shared" ref="AA323:AA386" si="26">IF(Y323&lt;X323,1,0)</f>
        <v>1</v>
      </c>
      <c r="AB323">
        <f t="shared" ref="AB323:AB386" si="27">IF(Z323&lt;Y323,1,0)</f>
        <v>0</v>
      </c>
      <c r="AC323">
        <f t="shared" ref="AC323:AC386" si="28">SUM(AA323:AB323)</f>
        <v>1</v>
      </c>
      <c r="AD323" s="1">
        <f t="shared" ref="AD323:AD386" si="29">AVERAGE(X323:Z323)</f>
        <v>9.6666666666666661</v>
      </c>
    </row>
    <row r="324" spans="1:30" x14ac:dyDescent="0.35">
      <c r="A324" t="s">
        <v>34</v>
      </c>
      <c r="B324">
        <v>17</v>
      </c>
      <c r="C324" t="s">
        <v>52</v>
      </c>
      <c r="D324" t="s">
        <v>47</v>
      </c>
      <c r="E324" t="s">
        <v>44</v>
      </c>
      <c r="F324" t="s">
        <v>48</v>
      </c>
      <c r="G324" t="s">
        <v>48</v>
      </c>
      <c r="H324">
        <v>3</v>
      </c>
      <c r="I324">
        <v>0</v>
      </c>
      <c r="J324" t="s">
        <v>43</v>
      </c>
      <c r="K324" t="s">
        <v>42</v>
      </c>
      <c r="L324" t="s">
        <v>42</v>
      </c>
      <c r="M324" t="s">
        <v>42</v>
      </c>
      <c r="N324" t="s">
        <v>43</v>
      </c>
      <c r="O324">
        <v>3</v>
      </c>
      <c r="P324">
        <v>3</v>
      </c>
      <c r="Q324">
        <v>2</v>
      </c>
      <c r="R324">
        <v>2</v>
      </c>
      <c r="S324">
        <v>2</v>
      </c>
      <c r="T324">
        <f t="shared" si="25"/>
        <v>4</v>
      </c>
      <c r="U324" t="str" cm="1">
        <f t="array" ref="U324">_xlfn.IFS(T324&lt;3, "low", AND(T324&gt;=3, T324&lt;5), "med", T324&gt;=5, "high")</f>
        <v>med</v>
      </c>
      <c r="V324">
        <v>3</v>
      </c>
      <c r="W324" t="str" cm="1">
        <f t="array" ref="W324">_xlfn.IFS(V324&lt;5, "low", AND(V324&gt;=5, V324&lt;10), "med", V324&gt;=10, "high")</f>
        <v>low</v>
      </c>
      <c r="X324">
        <v>11</v>
      </c>
      <c r="Y324">
        <v>11</v>
      </c>
      <c r="Z324">
        <v>11</v>
      </c>
      <c r="AA324">
        <f t="shared" si="26"/>
        <v>0</v>
      </c>
      <c r="AB324">
        <f t="shared" si="27"/>
        <v>0</v>
      </c>
      <c r="AC324">
        <f t="shared" si="28"/>
        <v>0</v>
      </c>
      <c r="AD324" s="1">
        <f t="shared" si="29"/>
        <v>11</v>
      </c>
    </row>
    <row r="325" spans="1:30" x14ac:dyDescent="0.35">
      <c r="A325" t="s">
        <v>34</v>
      </c>
      <c r="B325">
        <v>17</v>
      </c>
      <c r="C325" t="s">
        <v>35</v>
      </c>
      <c r="D325" t="s">
        <v>36</v>
      </c>
      <c r="E325" t="s">
        <v>44</v>
      </c>
      <c r="F325" t="s">
        <v>48</v>
      </c>
      <c r="G325" t="s">
        <v>48</v>
      </c>
      <c r="H325">
        <v>3</v>
      </c>
      <c r="I325">
        <v>0</v>
      </c>
      <c r="J325" t="s">
        <v>43</v>
      </c>
      <c r="K325" t="s">
        <v>42</v>
      </c>
      <c r="L325" t="s">
        <v>43</v>
      </c>
      <c r="M325" t="s">
        <v>43</v>
      </c>
      <c r="N325" t="s">
        <v>43</v>
      </c>
      <c r="O325">
        <v>3</v>
      </c>
      <c r="P325">
        <v>4</v>
      </c>
      <c r="Q325">
        <v>3</v>
      </c>
      <c r="R325">
        <v>2</v>
      </c>
      <c r="S325">
        <v>3</v>
      </c>
      <c r="T325">
        <f t="shared" si="25"/>
        <v>5</v>
      </c>
      <c r="U325" t="str" cm="1">
        <f t="array" ref="U325">_xlfn.IFS(T325&lt;3, "low", AND(T325&gt;=3, T325&lt;5), "med", T325&gt;=5, "high")</f>
        <v>high</v>
      </c>
      <c r="V325">
        <v>1</v>
      </c>
      <c r="W325" t="str" cm="1">
        <f t="array" ref="W325">_xlfn.IFS(V325&lt;5, "low", AND(V325&gt;=5, V325&lt;10), "med", V325&gt;=10, "high")</f>
        <v>low</v>
      </c>
      <c r="X325">
        <v>12</v>
      </c>
      <c r="Y325">
        <v>14</v>
      </c>
      <c r="Z325">
        <v>15</v>
      </c>
      <c r="AA325">
        <f t="shared" si="26"/>
        <v>0</v>
      </c>
      <c r="AB325">
        <f t="shared" si="27"/>
        <v>0</v>
      </c>
      <c r="AC325">
        <f t="shared" si="28"/>
        <v>0</v>
      </c>
      <c r="AD325" s="1">
        <f t="shared" si="29"/>
        <v>13.666666666666666</v>
      </c>
    </row>
    <row r="326" spans="1:30" x14ac:dyDescent="0.35">
      <c r="A326" t="s">
        <v>34</v>
      </c>
      <c r="B326">
        <v>17</v>
      </c>
      <c r="C326" t="s">
        <v>35</v>
      </c>
      <c r="D326" t="s">
        <v>47</v>
      </c>
      <c r="E326" t="s">
        <v>44</v>
      </c>
      <c r="F326" t="s">
        <v>38</v>
      </c>
      <c r="G326" t="s">
        <v>38</v>
      </c>
      <c r="H326">
        <v>3</v>
      </c>
      <c r="I326">
        <v>0</v>
      </c>
      <c r="J326" t="s">
        <v>43</v>
      </c>
      <c r="K326" t="s">
        <v>43</v>
      </c>
      <c r="L326" t="s">
        <v>43</v>
      </c>
      <c r="M326" t="s">
        <v>43</v>
      </c>
      <c r="N326" t="s">
        <v>43</v>
      </c>
      <c r="O326">
        <v>3</v>
      </c>
      <c r="P326">
        <v>3</v>
      </c>
      <c r="Q326">
        <v>3</v>
      </c>
      <c r="R326">
        <v>2</v>
      </c>
      <c r="S326">
        <v>3</v>
      </c>
      <c r="T326">
        <f t="shared" si="25"/>
        <v>5</v>
      </c>
      <c r="U326" t="str" cm="1">
        <f t="array" ref="U326">_xlfn.IFS(T326&lt;3, "low", AND(T326&gt;=3, T326&lt;5), "med", T326&gt;=5, "high")</f>
        <v>high</v>
      </c>
      <c r="V326">
        <v>0</v>
      </c>
      <c r="W326" t="str" cm="1">
        <f t="array" ref="W326">_xlfn.IFS(V326&lt;5, "low", AND(V326&gt;=5, V326&lt;10), "med", V326&gt;=10, "high")</f>
        <v>low</v>
      </c>
      <c r="X326">
        <v>16</v>
      </c>
      <c r="Y326">
        <v>15</v>
      </c>
      <c r="Z326">
        <v>15</v>
      </c>
      <c r="AA326">
        <f t="shared" si="26"/>
        <v>1</v>
      </c>
      <c r="AB326">
        <f t="shared" si="27"/>
        <v>0</v>
      </c>
      <c r="AC326">
        <f t="shared" si="28"/>
        <v>1</v>
      </c>
      <c r="AD326" s="1">
        <f t="shared" si="29"/>
        <v>15.333333333333334</v>
      </c>
    </row>
    <row r="327" spans="1:30" x14ac:dyDescent="0.35">
      <c r="A327" t="s">
        <v>50</v>
      </c>
      <c r="B327">
        <v>18</v>
      </c>
      <c r="C327" t="s">
        <v>35</v>
      </c>
      <c r="D327" t="s">
        <v>36</v>
      </c>
      <c r="E327" t="s">
        <v>44</v>
      </c>
      <c r="F327" t="s">
        <v>45</v>
      </c>
      <c r="G327" t="s">
        <v>45</v>
      </c>
      <c r="H327">
        <v>3</v>
      </c>
      <c r="I327">
        <v>0</v>
      </c>
      <c r="J327" t="s">
        <v>43</v>
      </c>
      <c r="K327" t="s">
        <v>43</v>
      </c>
      <c r="L327" t="s">
        <v>43</v>
      </c>
      <c r="M327" t="s">
        <v>42</v>
      </c>
      <c r="N327" t="s">
        <v>43</v>
      </c>
      <c r="O327">
        <v>4</v>
      </c>
      <c r="P327">
        <v>3</v>
      </c>
      <c r="Q327">
        <v>3</v>
      </c>
      <c r="R327">
        <v>2</v>
      </c>
      <c r="S327">
        <v>2</v>
      </c>
      <c r="T327">
        <f t="shared" si="25"/>
        <v>4</v>
      </c>
      <c r="U327" t="str" cm="1">
        <f t="array" ref="U327">_xlfn.IFS(T327&lt;3, "low", AND(T327&gt;=3, T327&lt;5), "med", T327&gt;=5, "high")</f>
        <v>med</v>
      </c>
      <c r="V327">
        <v>3</v>
      </c>
      <c r="W327" t="str" cm="1">
        <f t="array" ref="W327">_xlfn.IFS(V327&lt;5, "low", AND(V327&gt;=5, V327&lt;10), "med", V327&gt;=10, "high")</f>
        <v>low</v>
      </c>
      <c r="X327">
        <v>9</v>
      </c>
      <c r="Y327">
        <v>12</v>
      </c>
      <c r="Z327">
        <v>11</v>
      </c>
      <c r="AA327">
        <f t="shared" si="26"/>
        <v>0</v>
      </c>
      <c r="AB327">
        <f t="shared" si="27"/>
        <v>1</v>
      </c>
      <c r="AC327">
        <f t="shared" si="28"/>
        <v>1</v>
      </c>
      <c r="AD327" s="1">
        <f t="shared" si="29"/>
        <v>10.666666666666666</v>
      </c>
    </row>
    <row r="328" spans="1:30" x14ac:dyDescent="0.35">
      <c r="A328" t="s">
        <v>50</v>
      </c>
      <c r="B328">
        <v>17</v>
      </c>
      <c r="C328" t="s">
        <v>35</v>
      </c>
      <c r="D328" t="s">
        <v>36</v>
      </c>
      <c r="E328" t="s">
        <v>44</v>
      </c>
      <c r="F328" t="s">
        <v>45</v>
      </c>
      <c r="G328" t="s">
        <v>48</v>
      </c>
      <c r="H328">
        <v>1</v>
      </c>
      <c r="I328">
        <v>0</v>
      </c>
      <c r="J328" t="s">
        <v>43</v>
      </c>
      <c r="K328" t="s">
        <v>43</v>
      </c>
      <c r="L328" t="s">
        <v>43</v>
      </c>
      <c r="M328" t="s">
        <v>42</v>
      </c>
      <c r="N328" t="s">
        <v>43</v>
      </c>
      <c r="O328">
        <v>4</v>
      </c>
      <c r="P328">
        <v>3</v>
      </c>
      <c r="Q328">
        <v>5</v>
      </c>
      <c r="R328">
        <v>3</v>
      </c>
      <c r="S328">
        <v>5</v>
      </c>
      <c r="T328">
        <f t="shared" si="25"/>
        <v>8</v>
      </c>
      <c r="U328" t="str" cm="1">
        <f t="array" ref="U328">_xlfn.IFS(T328&lt;3, "low", AND(T328&gt;=3, T328&lt;5), "med", T328&gt;=5, "high")</f>
        <v>high</v>
      </c>
      <c r="V328">
        <v>3</v>
      </c>
      <c r="W328" t="str" cm="1">
        <f t="array" ref="W328">_xlfn.IFS(V328&lt;5, "low", AND(V328&gt;=5, V328&lt;10), "med", V328&gt;=10, "high")</f>
        <v>low</v>
      </c>
      <c r="X328">
        <v>14</v>
      </c>
      <c r="Y328">
        <v>15</v>
      </c>
      <c r="Z328">
        <v>16</v>
      </c>
      <c r="AA328">
        <f t="shared" si="26"/>
        <v>0</v>
      </c>
      <c r="AB328">
        <f t="shared" si="27"/>
        <v>0</v>
      </c>
      <c r="AC328">
        <f t="shared" si="28"/>
        <v>0</v>
      </c>
      <c r="AD328" s="1">
        <f t="shared" si="29"/>
        <v>15</v>
      </c>
    </row>
    <row r="329" spans="1:30" x14ac:dyDescent="0.35">
      <c r="A329" t="s">
        <v>50</v>
      </c>
      <c r="B329">
        <v>17</v>
      </c>
      <c r="C329" t="s">
        <v>52</v>
      </c>
      <c r="D329" t="s">
        <v>36</v>
      </c>
      <c r="E329" t="s">
        <v>44</v>
      </c>
      <c r="F329" t="s">
        <v>48</v>
      </c>
      <c r="G329" t="s">
        <v>45</v>
      </c>
      <c r="H329">
        <v>1</v>
      </c>
      <c r="I329">
        <v>0</v>
      </c>
      <c r="J329" t="s">
        <v>43</v>
      </c>
      <c r="K329" t="s">
        <v>42</v>
      </c>
      <c r="L329" t="s">
        <v>43</v>
      </c>
      <c r="M329" t="s">
        <v>43</v>
      </c>
      <c r="N329" t="s">
        <v>43</v>
      </c>
      <c r="O329">
        <v>4</v>
      </c>
      <c r="P329">
        <v>4</v>
      </c>
      <c r="Q329">
        <v>5</v>
      </c>
      <c r="R329">
        <v>5</v>
      </c>
      <c r="S329">
        <v>5</v>
      </c>
      <c r="T329">
        <f t="shared" si="25"/>
        <v>10</v>
      </c>
      <c r="U329" t="str" cm="1">
        <f t="array" ref="U329">_xlfn.IFS(T329&lt;3, "low", AND(T329&gt;=3, T329&lt;5), "med", T329&gt;=5, "high")</f>
        <v>high</v>
      </c>
      <c r="V329">
        <v>8</v>
      </c>
      <c r="W329" t="str" cm="1">
        <f t="array" ref="W329">_xlfn.IFS(V329&lt;5, "low", AND(V329&gt;=5, V329&lt;10), "med", V329&gt;=10, "high")</f>
        <v>med</v>
      </c>
      <c r="X329">
        <v>11</v>
      </c>
      <c r="Y329">
        <v>10</v>
      </c>
      <c r="Z329">
        <v>10</v>
      </c>
      <c r="AA329">
        <f t="shared" si="26"/>
        <v>1</v>
      </c>
      <c r="AB329">
        <f t="shared" si="27"/>
        <v>0</v>
      </c>
      <c r="AC329">
        <f t="shared" si="28"/>
        <v>1</v>
      </c>
      <c r="AD329" s="1">
        <f t="shared" si="29"/>
        <v>10.333333333333334</v>
      </c>
    </row>
    <row r="330" spans="1:30" x14ac:dyDescent="0.35">
      <c r="A330" t="s">
        <v>34</v>
      </c>
      <c r="B330">
        <v>17</v>
      </c>
      <c r="C330" t="s">
        <v>35</v>
      </c>
      <c r="D330" t="s">
        <v>36</v>
      </c>
      <c r="E330" t="s">
        <v>44</v>
      </c>
      <c r="F330" t="s">
        <v>39</v>
      </c>
      <c r="G330" t="s">
        <v>48</v>
      </c>
      <c r="H330">
        <v>3</v>
      </c>
      <c r="I330">
        <v>0</v>
      </c>
      <c r="J330" t="s">
        <v>43</v>
      </c>
      <c r="K330" t="s">
        <v>42</v>
      </c>
      <c r="L330" t="s">
        <v>42</v>
      </c>
      <c r="M330" t="s">
        <v>42</v>
      </c>
      <c r="N330" t="s">
        <v>43</v>
      </c>
      <c r="O330">
        <v>5</v>
      </c>
      <c r="P330">
        <v>4</v>
      </c>
      <c r="Q330">
        <v>4</v>
      </c>
      <c r="R330">
        <v>1</v>
      </c>
      <c r="S330">
        <v>3</v>
      </c>
      <c r="T330">
        <f t="shared" si="25"/>
        <v>4</v>
      </c>
      <c r="U330" t="str" cm="1">
        <f t="array" ref="U330">_xlfn.IFS(T330&lt;3, "low", AND(T330&gt;=3, T330&lt;5), "med", T330&gt;=5, "high")</f>
        <v>med</v>
      </c>
      <c r="V330">
        <v>7</v>
      </c>
      <c r="W330" t="str" cm="1">
        <f t="array" ref="W330">_xlfn.IFS(V330&lt;5, "low", AND(V330&gt;=5, V330&lt;10), "med", V330&gt;=10, "high")</f>
        <v>med</v>
      </c>
      <c r="X330">
        <v>10</v>
      </c>
      <c r="Y330">
        <v>9</v>
      </c>
      <c r="Z330">
        <v>9</v>
      </c>
      <c r="AA330">
        <f t="shared" si="26"/>
        <v>1</v>
      </c>
      <c r="AB330">
        <f t="shared" si="27"/>
        <v>0</v>
      </c>
      <c r="AC330">
        <f t="shared" si="28"/>
        <v>1</v>
      </c>
      <c r="AD330" s="1">
        <f t="shared" si="29"/>
        <v>9.3333333333333339</v>
      </c>
    </row>
    <row r="331" spans="1:30" x14ac:dyDescent="0.35">
      <c r="A331" t="s">
        <v>34</v>
      </c>
      <c r="B331">
        <v>17</v>
      </c>
      <c r="C331" t="s">
        <v>35</v>
      </c>
      <c r="D331" t="s">
        <v>36</v>
      </c>
      <c r="E331" t="s">
        <v>44</v>
      </c>
      <c r="F331" t="s">
        <v>39</v>
      </c>
      <c r="G331" t="s">
        <v>39</v>
      </c>
      <c r="H331">
        <v>3</v>
      </c>
      <c r="I331">
        <v>0</v>
      </c>
      <c r="J331" t="s">
        <v>43</v>
      </c>
      <c r="K331" t="s">
        <v>42</v>
      </c>
      <c r="L331" t="s">
        <v>42</v>
      </c>
      <c r="M331" t="s">
        <v>43</v>
      </c>
      <c r="N331" t="s">
        <v>42</v>
      </c>
      <c r="O331">
        <v>4</v>
      </c>
      <c r="P331">
        <v>3</v>
      </c>
      <c r="Q331">
        <v>3</v>
      </c>
      <c r="R331">
        <v>1</v>
      </c>
      <c r="S331">
        <v>2</v>
      </c>
      <c r="T331">
        <f t="shared" si="25"/>
        <v>3</v>
      </c>
      <c r="U331" t="str" cm="1">
        <f t="array" ref="U331">_xlfn.IFS(T331&lt;3, "low", AND(T331&gt;=3, T331&lt;5), "med", T331&gt;=5, "high")</f>
        <v>med</v>
      </c>
      <c r="V331">
        <v>4</v>
      </c>
      <c r="W331" t="str" cm="1">
        <f t="array" ref="W331">_xlfn.IFS(V331&lt;5, "low", AND(V331&gt;=5, V331&lt;10), "med", V331&gt;=10, "high")</f>
        <v>low</v>
      </c>
      <c r="X331">
        <v>14</v>
      </c>
      <c r="Y331">
        <v>14</v>
      </c>
      <c r="Z331">
        <v>14</v>
      </c>
      <c r="AA331">
        <f t="shared" si="26"/>
        <v>0</v>
      </c>
      <c r="AB331">
        <f t="shared" si="27"/>
        <v>0</v>
      </c>
      <c r="AC331">
        <f t="shared" si="28"/>
        <v>0</v>
      </c>
      <c r="AD331" s="1">
        <f t="shared" si="29"/>
        <v>14</v>
      </c>
    </row>
    <row r="332" spans="1:30" x14ac:dyDescent="0.35">
      <c r="A332" t="s">
        <v>50</v>
      </c>
      <c r="B332">
        <v>18</v>
      </c>
      <c r="C332" t="s">
        <v>35</v>
      </c>
      <c r="D332" t="s">
        <v>47</v>
      </c>
      <c r="E332" t="s">
        <v>44</v>
      </c>
      <c r="F332" t="s">
        <v>45</v>
      </c>
      <c r="G332" t="s">
        <v>45</v>
      </c>
      <c r="H332">
        <v>4</v>
      </c>
      <c r="I332">
        <v>0</v>
      </c>
      <c r="J332" t="s">
        <v>43</v>
      </c>
      <c r="K332" t="s">
        <v>42</v>
      </c>
      <c r="L332" t="s">
        <v>43</v>
      </c>
      <c r="M332" t="s">
        <v>42</v>
      </c>
      <c r="N332" t="s">
        <v>43</v>
      </c>
      <c r="O332">
        <v>4</v>
      </c>
      <c r="P332">
        <v>5</v>
      </c>
      <c r="Q332">
        <v>5</v>
      </c>
      <c r="R332">
        <v>2</v>
      </c>
      <c r="S332">
        <v>4</v>
      </c>
      <c r="T332">
        <f t="shared" si="25"/>
        <v>6</v>
      </c>
      <c r="U332" t="str" cm="1">
        <f t="array" ref="U332">_xlfn.IFS(T332&lt;3, "low", AND(T332&gt;=3, T332&lt;5), "med", T332&gt;=5, "high")</f>
        <v>high</v>
      </c>
      <c r="V332">
        <v>2</v>
      </c>
      <c r="W332" t="str" cm="1">
        <f t="array" ref="W332">_xlfn.IFS(V332&lt;5, "low", AND(V332&gt;=5, V332&lt;10), "med", V332&gt;=10, "high")</f>
        <v>low</v>
      </c>
      <c r="X332">
        <v>9</v>
      </c>
      <c r="Y332">
        <v>8</v>
      </c>
      <c r="Z332">
        <v>8</v>
      </c>
      <c r="AA332">
        <f t="shared" si="26"/>
        <v>1</v>
      </c>
      <c r="AB332">
        <f t="shared" si="27"/>
        <v>0</v>
      </c>
      <c r="AC332">
        <f t="shared" si="28"/>
        <v>1</v>
      </c>
      <c r="AD332" s="1">
        <f t="shared" si="29"/>
        <v>8.3333333333333339</v>
      </c>
    </row>
    <row r="333" spans="1:30" x14ac:dyDescent="0.35">
      <c r="A333" t="s">
        <v>34</v>
      </c>
      <c r="B333">
        <v>17</v>
      </c>
      <c r="C333" t="s">
        <v>52</v>
      </c>
      <c r="D333" t="s">
        <v>36</v>
      </c>
      <c r="E333" t="s">
        <v>44</v>
      </c>
      <c r="F333" t="s">
        <v>38</v>
      </c>
      <c r="G333" t="s">
        <v>45</v>
      </c>
      <c r="H333">
        <v>3</v>
      </c>
      <c r="I333">
        <v>0</v>
      </c>
      <c r="J333" t="s">
        <v>43</v>
      </c>
      <c r="K333" t="s">
        <v>42</v>
      </c>
      <c r="L333" t="s">
        <v>43</v>
      </c>
      <c r="M333" t="s">
        <v>43</v>
      </c>
      <c r="N333" t="s">
        <v>42</v>
      </c>
      <c r="O333">
        <v>4</v>
      </c>
      <c r="P333">
        <v>4</v>
      </c>
      <c r="Q333">
        <v>3</v>
      </c>
      <c r="R333">
        <v>1</v>
      </c>
      <c r="S333">
        <v>1</v>
      </c>
      <c r="T333">
        <f t="shared" si="25"/>
        <v>2</v>
      </c>
      <c r="U333" t="str" cm="1">
        <f t="array" ref="U333">_xlfn.IFS(T333&lt;3, "low", AND(T333&gt;=3, T333&lt;5), "med", T333&gt;=5, "high")</f>
        <v>low</v>
      </c>
      <c r="V333">
        <v>7</v>
      </c>
      <c r="W333" t="str" cm="1">
        <f t="array" ref="W333">_xlfn.IFS(V333&lt;5, "low", AND(V333&gt;=5, V333&lt;10), "med", V333&gt;=10, "high")</f>
        <v>med</v>
      </c>
      <c r="X333">
        <v>12</v>
      </c>
      <c r="Y333">
        <v>14</v>
      </c>
      <c r="Z333">
        <v>14</v>
      </c>
      <c r="AA333">
        <f t="shared" si="26"/>
        <v>0</v>
      </c>
      <c r="AB333">
        <f t="shared" si="27"/>
        <v>0</v>
      </c>
      <c r="AC333">
        <f t="shared" si="28"/>
        <v>0</v>
      </c>
      <c r="AD333" s="1">
        <f t="shared" si="29"/>
        <v>13.333333333333334</v>
      </c>
    </row>
    <row r="334" spans="1:30" x14ac:dyDescent="0.35">
      <c r="A334" t="s">
        <v>34</v>
      </c>
      <c r="B334">
        <v>18</v>
      </c>
      <c r="C334" t="s">
        <v>35</v>
      </c>
      <c r="D334" t="s">
        <v>36</v>
      </c>
      <c r="E334" t="s">
        <v>44</v>
      </c>
      <c r="F334" t="s">
        <v>48</v>
      </c>
      <c r="G334" t="s">
        <v>48</v>
      </c>
      <c r="H334">
        <v>2</v>
      </c>
      <c r="I334">
        <v>0</v>
      </c>
      <c r="J334" t="s">
        <v>43</v>
      </c>
      <c r="K334" t="s">
        <v>43</v>
      </c>
      <c r="L334" t="s">
        <v>43</v>
      </c>
      <c r="M334" t="s">
        <v>42</v>
      </c>
      <c r="N334" t="s">
        <v>43</v>
      </c>
      <c r="O334">
        <v>5</v>
      </c>
      <c r="P334">
        <v>3</v>
      </c>
      <c r="Q334">
        <v>4</v>
      </c>
      <c r="R334">
        <v>1</v>
      </c>
      <c r="S334">
        <v>1</v>
      </c>
      <c r="T334">
        <f t="shared" si="25"/>
        <v>2</v>
      </c>
      <c r="U334" t="str" cm="1">
        <f t="array" ref="U334">_xlfn.IFS(T334&lt;3, "low", AND(T334&gt;=3, T334&lt;5), "med", T334&gt;=5, "high")</f>
        <v>low</v>
      </c>
      <c r="V334">
        <v>0</v>
      </c>
      <c r="W334" t="str" cm="1">
        <f t="array" ref="W334">_xlfn.IFS(V334&lt;5, "low", AND(V334&gt;=5, V334&lt;10), "med", V334&gt;=10, "high")</f>
        <v>low</v>
      </c>
      <c r="X334">
        <v>7</v>
      </c>
      <c r="Y334">
        <v>0</v>
      </c>
      <c r="Z334">
        <v>0</v>
      </c>
      <c r="AA334">
        <f t="shared" si="26"/>
        <v>1</v>
      </c>
      <c r="AB334">
        <f t="shared" si="27"/>
        <v>0</v>
      </c>
      <c r="AC334">
        <f t="shared" si="28"/>
        <v>1</v>
      </c>
      <c r="AD334" s="1">
        <f t="shared" si="29"/>
        <v>2.3333333333333335</v>
      </c>
    </row>
    <row r="335" spans="1:30" x14ac:dyDescent="0.35">
      <c r="A335" t="s">
        <v>34</v>
      </c>
      <c r="B335">
        <v>18</v>
      </c>
      <c r="C335" t="s">
        <v>35</v>
      </c>
      <c r="D335" t="s">
        <v>47</v>
      </c>
      <c r="E335" t="s">
        <v>44</v>
      </c>
      <c r="F335" t="s">
        <v>45</v>
      </c>
      <c r="G335" t="s">
        <v>45</v>
      </c>
      <c r="H335">
        <v>2</v>
      </c>
      <c r="I335">
        <v>0</v>
      </c>
      <c r="J335" t="s">
        <v>43</v>
      </c>
      <c r="K335" t="s">
        <v>43</v>
      </c>
      <c r="L335" t="s">
        <v>43</v>
      </c>
      <c r="M335" t="s">
        <v>42</v>
      </c>
      <c r="N335" t="s">
        <v>42</v>
      </c>
      <c r="O335">
        <v>4</v>
      </c>
      <c r="P335">
        <v>3</v>
      </c>
      <c r="Q335">
        <v>3</v>
      </c>
      <c r="R335">
        <v>1</v>
      </c>
      <c r="S335">
        <v>1</v>
      </c>
      <c r="T335">
        <f t="shared" si="25"/>
        <v>2</v>
      </c>
      <c r="U335" t="str" cm="1">
        <f t="array" ref="U335">_xlfn.IFS(T335&lt;3, "low", AND(T335&gt;=3, T335&lt;5), "med", T335&gt;=5, "high")</f>
        <v>low</v>
      </c>
      <c r="V335">
        <v>0</v>
      </c>
      <c r="W335" t="str" cm="1">
        <f t="array" ref="W335">_xlfn.IFS(V335&lt;5, "low", AND(V335&gt;=5, V335&lt;10), "med", V335&gt;=10, "high")</f>
        <v>low</v>
      </c>
      <c r="X335">
        <v>8</v>
      </c>
      <c r="Y335">
        <v>8</v>
      </c>
      <c r="Z335">
        <v>0</v>
      </c>
      <c r="AA335">
        <f t="shared" si="26"/>
        <v>0</v>
      </c>
      <c r="AB335">
        <f t="shared" si="27"/>
        <v>1</v>
      </c>
      <c r="AC335">
        <f t="shared" si="28"/>
        <v>1</v>
      </c>
      <c r="AD335" s="1">
        <f t="shared" si="29"/>
        <v>5.333333333333333</v>
      </c>
    </row>
    <row r="336" spans="1:30" x14ac:dyDescent="0.35">
      <c r="A336" t="s">
        <v>34</v>
      </c>
      <c r="B336">
        <v>18</v>
      </c>
      <c r="C336" t="s">
        <v>52</v>
      </c>
      <c r="D336" t="s">
        <v>36</v>
      </c>
      <c r="E336" t="s">
        <v>44</v>
      </c>
      <c r="F336" t="s">
        <v>38</v>
      </c>
      <c r="G336" t="s">
        <v>45</v>
      </c>
      <c r="H336">
        <v>4</v>
      </c>
      <c r="I336">
        <v>0</v>
      </c>
      <c r="J336" t="s">
        <v>43</v>
      </c>
      <c r="K336" t="s">
        <v>43</v>
      </c>
      <c r="L336" t="s">
        <v>43</v>
      </c>
      <c r="M336" t="s">
        <v>42</v>
      </c>
      <c r="N336" t="s">
        <v>43</v>
      </c>
      <c r="O336">
        <v>4</v>
      </c>
      <c r="P336">
        <v>4</v>
      </c>
      <c r="Q336">
        <v>4</v>
      </c>
      <c r="R336">
        <v>1</v>
      </c>
      <c r="S336">
        <v>1</v>
      </c>
      <c r="T336">
        <f t="shared" si="25"/>
        <v>2</v>
      </c>
      <c r="U336" t="str" cm="1">
        <f t="array" ref="U336">_xlfn.IFS(T336&lt;3, "low", AND(T336&gt;=3, T336&lt;5), "med", T336&gt;=5, "high")</f>
        <v>low</v>
      </c>
      <c r="V336">
        <v>0</v>
      </c>
      <c r="W336" t="str" cm="1">
        <f t="array" ref="W336">_xlfn.IFS(V336&lt;5, "low", AND(V336&gt;=5, V336&lt;10), "med", V336&gt;=10, "high")</f>
        <v>low</v>
      </c>
      <c r="X336">
        <v>10</v>
      </c>
      <c r="Y336">
        <v>9</v>
      </c>
      <c r="Z336">
        <v>0</v>
      </c>
      <c r="AA336">
        <f t="shared" si="26"/>
        <v>1</v>
      </c>
      <c r="AB336">
        <f t="shared" si="27"/>
        <v>1</v>
      </c>
      <c r="AC336">
        <f t="shared" si="28"/>
        <v>2</v>
      </c>
      <c r="AD336" s="1">
        <f t="shared" si="29"/>
        <v>6.333333333333333</v>
      </c>
    </row>
    <row r="337" spans="1:30" x14ac:dyDescent="0.35">
      <c r="A337" t="s">
        <v>34</v>
      </c>
      <c r="B337">
        <v>17</v>
      </c>
      <c r="C337" t="s">
        <v>35</v>
      </c>
      <c r="D337" t="s">
        <v>36</v>
      </c>
      <c r="E337" t="s">
        <v>44</v>
      </c>
      <c r="F337" t="s">
        <v>48</v>
      </c>
      <c r="G337" t="s">
        <v>45</v>
      </c>
      <c r="H337">
        <v>3</v>
      </c>
      <c r="I337">
        <v>0</v>
      </c>
      <c r="J337" t="s">
        <v>43</v>
      </c>
      <c r="K337" t="s">
        <v>43</v>
      </c>
      <c r="L337" t="s">
        <v>43</v>
      </c>
      <c r="M337" t="s">
        <v>43</v>
      </c>
      <c r="N337" t="s">
        <v>43</v>
      </c>
      <c r="O337">
        <v>4</v>
      </c>
      <c r="P337">
        <v>4</v>
      </c>
      <c r="Q337">
        <v>5</v>
      </c>
      <c r="R337">
        <v>1</v>
      </c>
      <c r="S337">
        <v>3</v>
      </c>
      <c r="T337">
        <f t="shared" si="25"/>
        <v>4</v>
      </c>
      <c r="U337" t="str" cm="1">
        <f t="array" ref="U337">_xlfn.IFS(T337&lt;3, "low", AND(T337&gt;=3, T337&lt;5), "med", T337&gt;=5, "high")</f>
        <v>med</v>
      </c>
      <c r="V337">
        <v>16</v>
      </c>
      <c r="W337" t="str" cm="1">
        <f t="array" ref="W337">_xlfn.IFS(V337&lt;5, "low", AND(V337&gt;=5, V337&lt;10), "med", V337&gt;=10, "high")</f>
        <v>high</v>
      </c>
      <c r="X337">
        <v>16</v>
      </c>
      <c r="Y337">
        <v>15</v>
      </c>
      <c r="Z337">
        <v>15</v>
      </c>
      <c r="AA337">
        <f t="shared" si="26"/>
        <v>1</v>
      </c>
      <c r="AB337">
        <f t="shared" si="27"/>
        <v>0</v>
      </c>
      <c r="AC337">
        <f t="shared" si="28"/>
        <v>1</v>
      </c>
      <c r="AD337" s="1">
        <f t="shared" si="29"/>
        <v>15.333333333333334</v>
      </c>
    </row>
    <row r="338" spans="1:30" x14ac:dyDescent="0.35">
      <c r="A338" t="s">
        <v>34</v>
      </c>
      <c r="B338">
        <v>19</v>
      </c>
      <c r="C338" t="s">
        <v>52</v>
      </c>
      <c r="D338" t="s">
        <v>36</v>
      </c>
      <c r="E338" t="s">
        <v>37</v>
      </c>
      <c r="F338" t="s">
        <v>48</v>
      </c>
      <c r="G338" t="s">
        <v>38</v>
      </c>
      <c r="H338">
        <v>3</v>
      </c>
      <c r="I338">
        <v>1</v>
      </c>
      <c r="J338" t="s">
        <v>43</v>
      </c>
      <c r="K338" t="s">
        <v>43</v>
      </c>
      <c r="L338" t="s">
        <v>42</v>
      </c>
      <c r="M338" t="s">
        <v>43</v>
      </c>
      <c r="N338" t="s">
        <v>43</v>
      </c>
      <c r="O338">
        <v>5</v>
      </c>
      <c r="P338">
        <v>4</v>
      </c>
      <c r="Q338">
        <v>3</v>
      </c>
      <c r="R338">
        <v>1</v>
      </c>
      <c r="S338">
        <v>2</v>
      </c>
      <c r="T338">
        <f t="shared" si="25"/>
        <v>3</v>
      </c>
      <c r="U338" t="str" cm="1">
        <f t="array" ref="U338">_xlfn.IFS(T338&lt;3, "low", AND(T338&gt;=3, T338&lt;5), "med", T338&gt;=5, "high")</f>
        <v>med</v>
      </c>
      <c r="V338">
        <v>12</v>
      </c>
      <c r="W338" t="str" cm="1">
        <f t="array" ref="W338">_xlfn.IFS(V338&lt;5, "low", AND(V338&gt;=5, V338&lt;10), "med", V338&gt;=10, "high")</f>
        <v>high</v>
      </c>
      <c r="X338">
        <v>14</v>
      </c>
      <c r="Y338">
        <v>13</v>
      </c>
      <c r="Z338">
        <v>13</v>
      </c>
      <c r="AA338">
        <f t="shared" si="26"/>
        <v>1</v>
      </c>
      <c r="AB338">
        <f t="shared" si="27"/>
        <v>0</v>
      </c>
      <c r="AC338">
        <f t="shared" si="28"/>
        <v>1</v>
      </c>
      <c r="AD338" s="1">
        <f t="shared" si="29"/>
        <v>13.333333333333334</v>
      </c>
    </row>
    <row r="339" spans="1:30" x14ac:dyDescent="0.35">
      <c r="A339" t="s">
        <v>34</v>
      </c>
      <c r="B339">
        <v>17</v>
      </c>
      <c r="C339" t="s">
        <v>35</v>
      </c>
      <c r="D339" t="s">
        <v>36</v>
      </c>
      <c r="E339" t="s">
        <v>44</v>
      </c>
      <c r="F339" t="s">
        <v>45</v>
      </c>
      <c r="G339" t="s">
        <v>45</v>
      </c>
      <c r="H339">
        <v>2</v>
      </c>
      <c r="I339">
        <v>0</v>
      </c>
      <c r="J339" t="s">
        <v>43</v>
      </c>
      <c r="K339" t="s">
        <v>42</v>
      </c>
      <c r="L339" t="s">
        <v>42</v>
      </c>
      <c r="M339" t="s">
        <v>43</v>
      </c>
      <c r="N339" t="s">
        <v>42</v>
      </c>
      <c r="O339">
        <v>4</v>
      </c>
      <c r="P339">
        <v>3</v>
      </c>
      <c r="Q339">
        <v>2</v>
      </c>
      <c r="R339">
        <v>2</v>
      </c>
      <c r="S339">
        <v>3</v>
      </c>
      <c r="T339">
        <f t="shared" si="25"/>
        <v>5</v>
      </c>
      <c r="U339" t="str" cm="1">
        <f t="array" ref="U339">_xlfn.IFS(T339&lt;3, "low", AND(T339&gt;=3, T339&lt;5), "med", T339&gt;=5, "high")</f>
        <v>high</v>
      </c>
      <c r="V339">
        <v>0</v>
      </c>
      <c r="W339" t="str" cm="1">
        <f t="array" ref="W339">_xlfn.IFS(V339&lt;5, "low", AND(V339&gt;=5, V339&lt;10), "med", V339&gt;=10, "high")</f>
        <v>low</v>
      </c>
      <c r="X339">
        <v>7</v>
      </c>
      <c r="Y339">
        <v>8</v>
      </c>
      <c r="Z339">
        <v>0</v>
      </c>
      <c r="AA339">
        <f t="shared" si="26"/>
        <v>0</v>
      </c>
      <c r="AB339">
        <f t="shared" si="27"/>
        <v>1</v>
      </c>
      <c r="AC339">
        <f t="shared" si="28"/>
        <v>1</v>
      </c>
      <c r="AD339" s="1">
        <f t="shared" si="29"/>
        <v>5</v>
      </c>
    </row>
    <row r="340" spans="1:30" x14ac:dyDescent="0.35">
      <c r="A340" t="s">
        <v>34</v>
      </c>
      <c r="B340">
        <v>18</v>
      </c>
      <c r="C340" t="s">
        <v>35</v>
      </c>
      <c r="D340" t="s">
        <v>47</v>
      </c>
      <c r="E340" t="s">
        <v>44</v>
      </c>
      <c r="F340" t="s">
        <v>48</v>
      </c>
      <c r="G340" t="s">
        <v>48</v>
      </c>
      <c r="H340">
        <v>4</v>
      </c>
      <c r="I340">
        <v>0</v>
      </c>
      <c r="J340" t="s">
        <v>43</v>
      </c>
      <c r="K340" t="s">
        <v>42</v>
      </c>
      <c r="L340" t="s">
        <v>43</v>
      </c>
      <c r="M340" t="s">
        <v>43</v>
      </c>
      <c r="N340" t="s">
        <v>43</v>
      </c>
      <c r="O340">
        <v>5</v>
      </c>
      <c r="P340">
        <v>3</v>
      </c>
      <c r="Q340">
        <v>3</v>
      </c>
      <c r="R340">
        <v>1</v>
      </c>
      <c r="S340">
        <v>1</v>
      </c>
      <c r="T340">
        <f t="shared" si="25"/>
        <v>2</v>
      </c>
      <c r="U340" t="str" cm="1">
        <f t="array" ref="U340">_xlfn.IFS(T340&lt;3, "low", AND(T340&gt;=3, T340&lt;5), "med", T340&gt;=5, "high")</f>
        <v>low</v>
      </c>
      <c r="V340">
        <v>7</v>
      </c>
      <c r="W340" t="str" cm="1">
        <f t="array" ref="W340">_xlfn.IFS(V340&lt;5, "low", AND(V340&gt;=5, V340&lt;10), "med", V340&gt;=10, "high")</f>
        <v>med</v>
      </c>
      <c r="X340">
        <v>16</v>
      </c>
      <c r="Y340">
        <v>15</v>
      </c>
      <c r="Z340">
        <v>17</v>
      </c>
      <c r="AA340">
        <f t="shared" si="26"/>
        <v>1</v>
      </c>
      <c r="AB340">
        <f t="shared" si="27"/>
        <v>0</v>
      </c>
      <c r="AC340">
        <f t="shared" si="28"/>
        <v>1</v>
      </c>
      <c r="AD340" s="1">
        <f t="shared" si="29"/>
        <v>16</v>
      </c>
    </row>
    <row r="341" spans="1:30" x14ac:dyDescent="0.35">
      <c r="A341" t="s">
        <v>34</v>
      </c>
      <c r="B341">
        <v>17</v>
      </c>
      <c r="C341" t="s">
        <v>52</v>
      </c>
      <c r="D341" t="s">
        <v>36</v>
      </c>
      <c r="E341" t="s">
        <v>37</v>
      </c>
      <c r="F341" t="s">
        <v>45</v>
      </c>
      <c r="G341" t="s">
        <v>45</v>
      </c>
      <c r="H341">
        <v>2</v>
      </c>
      <c r="I341">
        <v>0</v>
      </c>
      <c r="J341" t="s">
        <v>43</v>
      </c>
      <c r="K341" t="s">
        <v>42</v>
      </c>
      <c r="L341" t="s">
        <v>42</v>
      </c>
      <c r="M341" t="s">
        <v>43</v>
      </c>
      <c r="N341" t="s">
        <v>43</v>
      </c>
      <c r="O341">
        <v>4</v>
      </c>
      <c r="P341">
        <v>3</v>
      </c>
      <c r="Q341">
        <v>3</v>
      </c>
      <c r="R341">
        <v>2</v>
      </c>
      <c r="S341">
        <v>3</v>
      </c>
      <c r="T341">
        <f t="shared" si="25"/>
        <v>5</v>
      </c>
      <c r="U341" t="str" cm="1">
        <f t="array" ref="U341">_xlfn.IFS(T341&lt;3, "low", AND(T341&gt;=3, T341&lt;5), "med", T341&gt;=5, "high")</f>
        <v>high</v>
      </c>
      <c r="V341">
        <v>4</v>
      </c>
      <c r="W341" t="str" cm="1">
        <f t="array" ref="W341">_xlfn.IFS(V341&lt;5, "low", AND(V341&gt;=5, V341&lt;10), "med", V341&gt;=10, "high")</f>
        <v>low</v>
      </c>
      <c r="X341">
        <v>9</v>
      </c>
      <c r="Y341">
        <v>10</v>
      </c>
      <c r="Z341">
        <v>10</v>
      </c>
      <c r="AA341">
        <f t="shared" si="26"/>
        <v>0</v>
      </c>
      <c r="AB341">
        <f t="shared" si="27"/>
        <v>0</v>
      </c>
      <c r="AC341">
        <f t="shared" si="28"/>
        <v>0</v>
      </c>
      <c r="AD341" s="1">
        <f t="shared" si="29"/>
        <v>9.6666666666666661</v>
      </c>
    </row>
    <row r="342" spans="1:30" x14ac:dyDescent="0.35">
      <c r="A342" t="s">
        <v>34</v>
      </c>
      <c r="B342">
        <v>19</v>
      </c>
      <c r="C342" t="s">
        <v>35</v>
      </c>
      <c r="D342" t="s">
        <v>36</v>
      </c>
      <c r="E342" t="s">
        <v>44</v>
      </c>
      <c r="F342" t="s">
        <v>48</v>
      </c>
      <c r="G342" t="s">
        <v>48</v>
      </c>
      <c r="H342">
        <v>3</v>
      </c>
      <c r="I342">
        <v>1</v>
      </c>
      <c r="J342" t="s">
        <v>43</v>
      </c>
      <c r="K342" t="s">
        <v>43</v>
      </c>
      <c r="L342" t="s">
        <v>42</v>
      </c>
      <c r="M342" t="s">
        <v>42</v>
      </c>
      <c r="N342" t="s">
        <v>42</v>
      </c>
      <c r="O342">
        <v>4</v>
      </c>
      <c r="P342">
        <v>3</v>
      </c>
      <c r="Q342">
        <v>4</v>
      </c>
      <c r="R342">
        <v>1</v>
      </c>
      <c r="S342">
        <v>3</v>
      </c>
      <c r="T342">
        <f t="shared" si="25"/>
        <v>4</v>
      </c>
      <c r="U342" t="str" cm="1">
        <f t="array" ref="U342">_xlfn.IFS(T342&lt;3, "low", AND(T342&gt;=3, T342&lt;5), "med", T342&gt;=5, "high")</f>
        <v>med</v>
      </c>
      <c r="V342">
        <v>4</v>
      </c>
      <c r="W342" t="str" cm="1">
        <f t="array" ref="W342">_xlfn.IFS(V342&lt;5, "low", AND(V342&gt;=5, V342&lt;10), "med", V342&gt;=10, "high")</f>
        <v>low</v>
      </c>
      <c r="X342">
        <v>11</v>
      </c>
      <c r="Y342">
        <v>12</v>
      </c>
      <c r="Z342">
        <v>11</v>
      </c>
      <c r="AA342">
        <f t="shared" si="26"/>
        <v>0</v>
      </c>
      <c r="AB342">
        <f t="shared" si="27"/>
        <v>1</v>
      </c>
      <c r="AC342">
        <f t="shared" si="28"/>
        <v>1</v>
      </c>
      <c r="AD342" s="1">
        <f t="shared" si="29"/>
        <v>11.333333333333334</v>
      </c>
    </row>
    <row r="343" spans="1:30" x14ac:dyDescent="0.35">
      <c r="A343" t="s">
        <v>50</v>
      </c>
      <c r="B343">
        <v>18</v>
      </c>
      <c r="C343" t="s">
        <v>35</v>
      </c>
      <c r="D343" t="s">
        <v>36</v>
      </c>
      <c r="E343" t="s">
        <v>44</v>
      </c>
      <c r="F343" t="s">
        <v>39</v>
      </c>
      <c r="G343" t="s">
        <v>48</v>
      </c>
      <c r="H343">
        <v>2</v>
      </c>
      <c r="I343">
        <v>1</v>
      </c>
      <c r="J343" t="s">
        <v>43</v>
      </c>
      <c r="K343" t="s">
        <v>42</v>
      </c>
      <c r="L343" t="s">
        <v>43</v>
      </c>
      <c r="M343" t="s">
        <v>42</v>
      </c>
      <c r="N343" t="s">
        <v>43</v>
      </c>
      <c r="O343">
        <v>4</v>
      </c>
      <c r="P343">
        <v>3</v>
      </c>
      <c r="Q343">
        <v>3</v>
      </c>
      <c r="R343">
        <v>2</v>
      </c>
      <c r="S343">
        <v>2</v>
      </c>
      <c r="T343">
        <f t="shared" si="25"/>
        <v>4</v>
      </c>
      <c r="U343" t="str" cm="1">
        <f t="array" ref="U343">_xlfn.IFS(T343&lt;3, "low", AND(T343&gt;=3, T343&lt;5), "med", T343&gt;=5, "high")</f>
        <v>med</v>
      </c>
      <c r="V343">
        <v>0</v>
      </c>
      <c r="W343" t="str" cm="1">
        <f t="array" ref="W343">_xlfn.IFS(V343&lt;5, "low", AND(V343&gt;=5, V343&lt;10), "med", V343&gt;=10, "high")</f>
        <v>low</v>
      </c>
      <c r="X343">
        <v>10</v>
      </c>
      <c r="Y343">
        <v>10</v>
      </c>
      <c r="Z343">
        <v>0</v>
      </c>
      <c r="AA343">
        <f t="shared" si="26"/>
        <v>0</v>
      </c>
      <c r="AB343">
        <f t="shared" si="27"/>
        <v>1</v>
      </c>
      <c r="AC343">
        <f t="shared" si="28"/>
        <v>1</v>
      </c>
      <c r="AD343" s="1">
        <f t="shared" si="29"/>
        <v>6.666666666666667</v>
      </c>
    </row>
    <row r="344" spans="1:30" x14ac:dyDescent="0.35">
      <c r="A344" t="s">
        <v>50</v>
      </c>
      <c r="B344">
        <v>18</v>
      </c>
      <c r="C344" t="s">
        <v>35</v>
      </c>
      <c r="D344" t="s">
        <v>47</v>
      </c>
      <c r="E344" t="s">
        <v>44</v>
      </c>
      <c r="F344" t="s">
        <v>48</v>
      </c>
      <c r="G344" t="s">
        <v>45</v>
      </c>
      <c r="H344">
        <v>2</v>
      </c>
      <c r="I344">
        <v>0</v>
      </c>
      <c r="J344" t="s">
        <v>43</v>
      </c>
      <c r="K344" t="s">
        <v>43</v>
      </c>
      <c r="L344" t="s">
        <v>43</v>
      </c>
      <c r="M344" t="s">
        <v>42</v>
      </c>
      <c r="N344" t="s">
        <v>42</v>
      </c>
      <c r="O344">
        <v>4</v>
      </c>
      <c r="P344">
        <v>3</v>
      </c>
      <c r="Q344">
        <v>3</v>
      </c>
      <c r="R344">
        <v>1</v>
      </c>
      <c r="S344">
        <v>3</v>
      </c>
      <c r="T344">
        <f t="shared" si="25"/>
        <v>4</v>
      </c>
      <c r="U344" t="str" cm="1">
        <f t="array" ref="U344">_xlfn.IFS(T344&lt;3, "low", AND(T344&gt;=3, T344&lt;5), "med", T344&gt;=5, "high")</f>
        <v>med</v>
      </c>
      <c r="V344">
        <v>11</v>
      </c>
      <c r="W344" t="str" cm="1">
        <f t="array" ref="W344">_xlfn.IFS(V344&lt;5, "low", AND(V344&gt;=5, V344&lt;10), "med", V344&gt;=10, "high")</f>
        <v>high</v>
      </c>
      <c r="X344">
        <v>16</v>
      </c>
      <c r="Y344">
        <v>15</v>
      </c>
      <c r="Z344">
        <v>15</v>
      </c>
      <c r="AA344">
        <f t="shared" si="26"/>
        <v>1</v>
      </c>
      <c r="AB344">
        <f t="shared" si="27"/>
        <v>0</v>
      </c>
      <c r="AC344">
        <f t="shared" si="28"/>
        <v>1</v>
      </c>
      <c r="AD344" s="1">
        <f t="shared" si="29"/>
        <v>15.333333333333334</v>
      </c>
    </row>
    <row r="345" spans="1:30" x14ac:dyDescent="0.35">
      <c r="A345" t="s">
        <v>34</v>
      </c>
      <c r="B345">
        <v>17</v>
      </c>
      <c r="C345" t="s">
        <v>35</v>
      </c>
      <c r="D345" t="s">
        <v>36</v>
      </c>
      <c r="E345" t="s">
        <v>37</v>
      </c>
      <c r="F345" t="s">
        <v>38</v>
      </c>
      <c r="G345" t="s">
        <v>38</v>
      </c>
      <c r="H345">
        <v>2</v>
      </c>
      <c r="I345">
        <v>1</v>
      </c>
      <c r="J345" t="s">
        <v>43</v>
      </c>
      <c r="K345" t="s">
        <v>42</v>
      </c>
      <c r="L345" t="s">
        <v>43</v>
      </c>
      <c r="M345" t="s">
        <v>43</v>
      </c>
      <c r="N345" t="s">
        <v>42</v>
      </c>
      <c r="O345">
        <v>3</v>
      </c>
      <c r="P345">
        <v>3</v>
      </c>
      <c r="Q345">
        <v>1</v>
      </c>
      <c r="R345">
        <v>1</v>
      </c>
      <c r="S345">
        <v>2</v>
      </c>
      <c r="T345">
        <f t="shared" si="25"/>
        <v>3</v>
      </c>
      <c r="U345" t="str" cm="1">
        <f t="array" ref="U345">_xlfn.IFS(T345&lt;3, "low", AND(T345&gt;=3, T345&lt;5), "med", T345&gt;=5, "high")</f>
        <v>med</v>
      </c>
      <c r="V345">
        <v>0</v>
      </c>
      <c r="W345" t="str" cm="1">
        <f t="array" ref="W345">_xlfn.IFS(V345&lt;5, "low", AND(V345&gt;=5, V345&lt;10), "med", V345&gt;=10, "high")</f>
        <v>low</v>
      </c>
      <c r="X345">
        <v>9</v>
      </c>
      <c r="Y345">
        <v>8</v>
      </c>
      <c r="Z345">
        <v>0</v>
      </c>
      <c r="AA345">
        <f t="shared" si="26"/>
        <v>1</v>
      </c>
      <c r="AB345">
        <f t="shared" si="27"/>
        <v>1</v>
      </c>
      <c r="AC345">
        <f t="shared" si="28"/>
        <v>2</v>
      </c>
      <c r="AD345" s="1">
        <f t="shared" si="29"/>
        <v>5.666666666666667</v>
      </c>
    </row>
    <row r="346" spans="1:30" x14ac:dyDescent="0.35">
      <c r="A346" t="s">
        <v>34</v>
      </c>
      <c r="B346">
        <v>18</v>
      </c>
      <c r="C346" t="s">
        <v>35</v>
      </c>
      <c r="D346" t="s">
        <v>36</v>
      </c>
      <c r="E346" t="s">
        <v>44</v>
      </c>
      <c r="F346" t="s">
        <v>38</v>
      </c>
      <c r="G346" t="s">
        <v>45</v>
      </c>
      <c r="H346">
        <v>3</v>
      </c>
      <c r="I346">
        <v>0</v>
      </c>
      <c r="J346" t="s">
        <v>43</v>
      </c>
      <c r="K346" t="s">
        <v>42</v>
      </c>
      <c r="L346" t="s">
        <v>43</v>
      </c>
      <c r="M346" t="s">
        <v>43</v>
      </c>
      <c r="N346" t="s">
        <v>43</v>
      </c>
      <c r="O346">
        <v>4</v>
      </c>
      <c r="P346">
        <v>3</v>
      </c>
      <c r="Q346">
        <v>3</v>
      </c>
      <c r="R346">
        <v>1</v>
      </c>
      <c r="S346">
        <v>2</v>
      </c>
      <c r="T346">
        <f t="shared" si="25"/>
        <v>3</v>
      </c>
      <c r="U346" t="str" cm="1">
        <f t="array" ref="U346">_xlfn.IFS(T346&lt;3, "low", AND(T346&gt;=3, T346&lt;5), "med", T346&gt;=5, "high")</f>
        <v>med</v>
      </c>
      <c r="V346">
        <v>4</v>
      </c>
      <c r="W346" t="str" cm="1">
        <f t="array" ref="W346">_xlfn.IFS(V346&lt;5, "low", AND(V346&gt;=5, V346&lt;10), "med", V346&gt;=10, "high")</f>
        <v>low</v>
      </c>
      <c r="X346">
        <v>11</v>
      </c>
      <c r="Y346">
        <v>10</v>
      </c>
      <c r="Z346">
        <v>10</v>
      </c>
      <c r="AA346">
        <f t="shared" si="26"/>
        <v>1</v>
      </c>
      <c r="AB346">
        <f t="shared" si="27"/>
        <v>0</v>
      </c>
      <c r="AC346">
        <f t="shared" si="28"/>
        <v>1</v>
      </c>
      <c r="AD346" s="1">
        <f t="shared" si="29"/>
        <v>10.333333333333334</v>
      </c>
    </row>
    <row r="347" spans="1:30" x14ac:dyDescent="0.35">
      <c r="A347" t="s">
        <v>34</v>
      </c>
      <c r="B347">
        <v>18</v>
      </c>
      <c r="C347" t="s">
        <v>35</v>
      </c>
      <c r="D347" t="s">
        <v>36</v>
      </c>
      <c r="E347" t="s">
        <v>44</v>
      </c>
      <c r="F347" t="s">
        <v>45</v>
      </c>
      <c r="G347" t="s">
        <v>48</v>
      </c>
      <c r="H347">
        <v>3</v>
      </c>
      <c r="I347">
        <v>0</v>
      </c>
      <c r="J347" t="s">
        <v>43</v>
      </c>
      <c r="K347" t="s">
        <v>43</v>
      </c>
      <c r="L347" t="s">
        <v>43</v>
      </c>
      <c r="M347" t="s">
        <v>43</v>
      </c>
      <c r="N347" t="s">
        <v>42</v>
      </c>
      <c r="O347">
        <v>5</v>
      </c>
      <c r="P347">
        <v>4</v>
      </c>
      <c r="Q347">
        <v>3</v>
      </c>
      <c r="R347">
        <v>2</v>
      </c>
      <c r="S347">
        <v>3</v>
      </c>
      <c r="T347">
        <f t="shared" si="25"/>
        <v>5</v>
      </c>
      <c r="U347" t="str" cm="1">
        <f t="array" ref="U347">_xlfn.IFS(T347&lt;3, "low", AND(T347&gt;=3, T347&lt;5), "med", T347&gt;=5, "high")</f>
        <v>high</v>
      </c>
      <c r="V347">
        <v>7</v>
      </c>
      <c r="W347" t="str" cm="1">
        <f t="array" ref="W347">_xlfn.IFS(V347&lt;5, "low", AND(V347&gt;=5, V347&lt;10), "med", V347&gt;=10, "high")</f>
        <v>med</v>
      </c>
      <c r="X347">
        <v>13</v>
      </c>
      <c r="Y347">
        <v>13</v>
      </c>
      <c r="Z347">
        <v>14</v>
      </c>
      <c r="AA347">
        <f t="shared" si="26"/>
        <v>0</v>
      </c>
      <c r="AB347">
        <f t="shared" si="27"/>
        <v>0</v>
      </c>
      <c r="AC347">
        <f t="shared" si="28"/>
        <v>0</v>
      </c>
      <c r="AD347" s="1">
        <f t="shared" si="29"/>
        <v>13.333333333333334</v>
      </c>
    </row>
    <row r="348" spans="1:30" x14ac:dyDescent="0.35">
      <c r="A348" t="s">
        <v>50</v>
      </c>
      <c r="B348">
        <v>18</v>
      </c>
      <c r="C348" t="s">
        <v>52</v>
      </c>
      <c r="D348" t="s">
        <v>36</v>
      </c>
      <c r="E348" t="s">
        <v>44</v>
      </c>
      <c r="F348" t="s">
        <v>39</v>
      </c>
      <c r="G348" t="s">
        <v>48</v>
      </c>
      <c r="H348">
        <v>3</v>
      </c>
      <c r="I348">
        <v>0</v>
      </c>
      <c r="J348" t="s">
        <v>43</v>
      </c>
      <c r="K348" t="s">
        <v>43</v>
      </c>
      <c r="L348" t="s">
        <v>43</v>
      </c>
      <c r="M348" t="s">
        <v>43</v>
      </c>
      <c r="N348" t="s">
        <v>42</v>
      </c>
      <c r="O348">
        <v>5</v>
      </c>
      <c r="P348">
        <v>3</v>
      </c>
      <c r="Q348">
        <v>2</v>
      </c>
      <c r="R348">
        <v>1</v>
      </c>
      <c r="S348">
        <v>2</v>
      </c>
      <c r="T348">
        <f t="shared" si="25"/>
        <v>3</v>
      </c>
      <c r="U348" t="str" cm="1">
        <f t="array" ref="U348">_xlfn.IFS(T348&lt;3, "low", AND(T348&gt;=3, T348&lt;5), "med", T348&gt;=5, "high")</f>
        <v>med</v>
      </c>
      <c r="V348">
        <v>9</v>
      </c>
      <c r="W348" t="str" cm="1">
        <f t="array" ref="W348">_xlfn.IFS(V348&lt;5, "low", AND(V348&gt;=5, V348&lt;10), "med", V348&gt;=10, "high")</f>
        <v>med</v>
      </c>
      <c r="X348">
        <v>16</v>
      </c>
      <c r="Y348">
        <v>15</v>
      </c>
      <c r="Z348">
        <v>16</v>
      </c>
      <c r="AA348">
        <f t="shared" si="26"/>
        <v>1</v>
      </c>
      <c r="AB348">
        <f t="shared" si="27"/>
        <v>0</v>
      </c>
      <c r="AC348">
        <f t="shared" si="28"/>
        <v>1</v>
      </c>
      <c r="AD348" s="1">
        <f t="shared" si="29"/>
        <v>15.666666666666666</v>
      </c>
    </row>
    <row r="349" spans="1:30" x14ac:dyDescent="0.35">
      <c r="A349" t="s">
        <v>50</v>
      </c>
      <c r="B349">
        <v>18</v>
      </c>
      <c r="C349" t="s">
        <v>35</v>
      </c>
      <c r="D349" t="s">
        <v>36</v>
      </c>
      <c r="E349" t="s">
        <v>44</v>
      </c>
      <c r="F349" t="s">
        <v>39</v>
      </c>
      <c r="G349" t="s">
        <v>45</v>
      </c>
      <c r="H349">
        <v>3</v>
      </c>
      <c r="I349">
        <v>0</v>
      </c>
      <c r="J349" t="s">
        <v>43</v>
      </c>
      <c r="K349" t="s">
        <v>42</v>
      </c>
      <c r="L349" t="s">
        <v>42</v>
      </c>
      <c r="M349" t="s">
        <v>43</v>
      </c>
      <c r="N349" t="s">
        <v>42</v>
      </c>
      <c r="O349">
        <v>5</v>
      </c>
      <c r="P349">
        <v>4</v>
      </c>
      <c r="Q349">
        <v>5</v>
      </c>
      <c r="R349">
        <v>2</v>
      </c>
      <c r="S349">
        <v>3</v>
      </c>
      <c r="T349">
        <f t="shared" si="25"/>
        <v>5</v>
      </c>
      <c r="U349" t="str" cm="1">
        <f t="array" ref="U349">_xlfn.IFS(T349&lt;3, "low", AND(T349&gt;=3, T349&lt;5), "med", T349&gt;=5, "high")</f>
        <v>high</v>
      </c>
      <c r="V349">
        <v>0</v>
      </c>
      <c r="W349" t="str" cm="1">
        <f t="array" ref="W349">_xlfn.IFS(V349&lt;5, "low", AND(V349&gt;=5, V349&lt;10), "med", V349&gt;=10, "high")</f>
        <v>low</v>
      </c>
      <c r="X349">
        <v>10</v>
      </c>
      <c r="Y349">
        <v>10</v>
      </c>
      <c r="Z349">
        <v>9</v>
      </c>
      <c r="AA349">
        <f t="shared" si="26"/>
        <v>0</v>
      </c>
      <c r="AB349">
        <f t="shared" si="27"/>
        <v>1</v>
      </c>
      <c r="AC349">
        <f t="shared" si="28"/>
        <v>1</v>
      </c>
      <c r="AD349" s="1">
        <f t="shared" si="29"/>
        <v>9.6666666666666661</v>
      </c>
    </row>
    <row r="350" spans="1:30" x14ac:dyDescent="0.35">
      <c r="A350" t="s">
        <v>34</v>
      </c>
      <c r="B350">
        <v>17</v>
      </c>
      <c r="C350" t="s">
        <v>35</v>
      </c>
      <c r="D350" t="s">
        <v>36</v>
      </c>
      <c r="E350" t="s">
        <v>44</v>
      </c>
      <c r="F350" t="s">
        <v>28</v>
      </c>
      <c r="G350" t="s">
        <v>45</v>
      </c>
      <c r="H350">
        <v>3</v>
      </c>
      <c r="I350">
        <v>0</v>
      </c>
      <c r="J350" t="s">
        <v>43</v>
      </c>
      <c r="K350" t="s">
        <v>42</v>
      </c>
      <c r="L350" t="s">
        <v>42</v>
      </c>
      <c r="M350" t="s">
        <v>42</v>
      </c>
      <c r="N350" t="s">
        <v>42</v>
      </c>
      <c r="O350">
        <v>4</v>
      </c>
      <c r="P350">
        <v>4</v>
      </c>
      <c r="Q350">
        <v>3</v>
      </c>
      <c r="R350">
        <v>1</v>
      </c>
      <c r="S350">
        <v>3</v>
      </c>
      <c r="T350">
        <f t="shared" si="25"/>
        <v>4</v>
      </c>
      <c r="U350" t="str" cm="1">
        <f t="array" ref="U350">_xlfn.IFS(T350&lt;3, "low", AND(T350&gt;=3, T350&lt;5), "med", T350&gt;=5, "high")</f>
        <v>med</v>
      </c>
      <c r="V350">
        <v>0</v>
      </c>
      <c r="W350" t="str" cm="1">
        <f t="array" ref="W350">_xlfn.IFS(V350&lt;5, "low", AND(V350&gt;=5, V350&lt;10), "med", V350&gt;=10, "high")</f>
        <v>low</v>
      </c>
      <c r="X350">
        <v>13</v>
      </c>
      <c r="Y350">
        <v>15</v>
      </c>
      <c r="Z350">
        <v>15</v>
      </c>
      <c r="AA350">
        <f t="shared" si="26"/>
        <v>0</v>
      </c>
      <c r="AB350">
        <f t="shared" si="27"/>
        <v>0</v>
      </c>
      <c r="AC350">
        <f t="shared" si="28"/>
        <v>0</v>
      </c>
      <c r="AD350" s="1">
        <f t="shared" si="29"/>
        <v>14.333333333333334</v>
      </c>
    </row>
    <row r="351" spans="1:30" x14ac:dyDescent="0.35">
      <c r="A351" t="s">
        <v>50</v>
      </c>
      <c r="B351">
        <v>18</v>
      </c>
      <c r="C351" t="s">
        <v>52</v>
      </c>
      <c r="D351" t="s">
        <v>36</v>
      </c>
      <c r="E351" t="s">
        <v>44</v>
      </c>
      <c r="F351" t="s">
        <v>45</v>
      </c>
      <c r="G351" t="s">
        <v>45</v>
      </c>
      <c r="H351">
        <v>1</v>
      </c>
      <c r="I351">
        <v>1</v>
      </c>
      <c r="J351" t="s">
        <v>43</v>
      </c>
      <c r="K351" t="s">
        <v>42</v>
      </c>
      <c r="L351" t="s">
        <v>43</v>
      </c>
      <c r="M351" t="s">
        <v>43</v>
      </c>
      <c r="N351" t="s">
        <v>43</v>
      </c>
      <c r="O351">
        <v>2</v>
      </c>
      <c r="P351">
        <v>5</v>
      </c>
      <c r="Q351">
        <v>5</v>
      </c>
      <c r="R351">
        <v>5</v>
      </c>
      <c r="S351">
        <v>5</v>
      </c>
      <c r="T351">
        <f t="shared" si="25"/>
        <v>10</v>
      </c>
      <c r="U351" t="str" cm="1">
        <f t="array" ref="U351">_xlfn.IFS(T351&lt;3, "low", AND(T351&gt;=3, T351&lt;5), "med", T351&gt;=5, "high")</f>
        <v>high</v>
      </c>
      <c r="V351">
        <v>10</v>
      </c>
      <c r="W351" t="str" cm="1">
        <f t="array" ref="W351">_xlfn.IFS(V351&lt;5, "low", AND(V351&gt;=5, V351&lt;10), "med", V351&gt;=10, "high")</f>
        <v>high</v>
      </c>
      <c r="X351">
        <v>11</v>
      </c>
      <c r="Y351">
        <v>13</v>
      </c>
      <c r="Z351">
        <v>13</v>
      </c>
      <c r="AA351">
        <f t="shared" si="26"/>
        <v>0</v>
      </c>
      <c r="AB351">
        <f t="shared" si="27"/>
        <v>0</v>
      </c>
      <c r="AC351">
        <f t="shared" si="28"/>
        <v>0</v>
      </c>
      <c r="AD351" s="1">
        <f t="shared" si="29"/>
        <v>12.333333333333334</v>
      </c>
    </row>
    <row r="352" spans="1:30" x14ac:dyDescent="0.35">
      <c r="A352" t="s">
        <v>50</v>
      </c>
      <c r="B352">
        <v>19</v>
      </c>
      <c r="C352" t="s">
        <v>52</v>
      </c>
      <c r="D352" t="s">
        <v>36</v>
      </c>
      <c r="E352" t="s">
        <v>44</v>
      </c>
      <c r="F352" t="s">
        <v>45</v>
      </c>
      <c r="G352" t="s">
        <v>48</v>
      </c>
      <c r="H352">
        <v>2</v>
      </c>
      <c r="I352">
        <v>3</v>
      </c>
      <c r="J352" t="s">
        <v>43</v>
      </c>
      <c r="K352" t="s">
        <v>43</v>
      </c>
      <c r="L352" t="s">
        <v>43</v>
      </c>
      <c r="M352" t="s">
        <v>43</v>
      </c>
      <c r="N352" t="s">
        <v>43</v>
      </c>
      <c r="O352">
        <v>5</v>
      </c>
      <c r="P352">
        <v>4</v>
      </c>
      <c r="Q352">
        <v>4</v>
      </c>
      <c r="R352">
        <v>3</v>
      </c>
      <c r="S352">
        <v>3</v>
      </c>
      <c r="T352">
        <f t="shared" si="25"/>
        <v>6</v>
      </c>
      <c r="U352" t="str" cm="1">
        <f t="array" ref="U352">_xlfn.IFS(T352&lt;3, "low", AND(T352&gt;=3, T352&lt;5), "med", T352&gt;=5, "high")</f>
        <v>high</v>
      </c>
      <c r="V352">
        <v>8</v>
      </c>
      <c r="W352" t="str" cm="1">
        <f t="array" ref="W352">_xlfn.IFS(V352&lt;5, "low", AND(V352&gt;=5, V352&lt;10), "med", V352&gt;=10, "high")</f>
        <v>med</v>
      </c>
      <c r="X352">
        <v>8</v>
      </c>
      <c r="Y352">
        <v>7</v>
      </c>
      <c r="Z352">
        <v>8</v>
      </c>
      <c r="AA352">
        <f t="shared" si="26"/>
        <v>1</v>
      </c>
      <c r="AB352">
        <f t="shared" si="27"/>
        <v>0</v>
      </c>
      <c r="AC352">
        <f t="shared" si="28"/>
        <v>1</v>
      </c>
      <c r="AD352" s="1">
        <f t="shared" si="29"/>
        <v>7.666666666666667</v>
      </c>
    </row>
    <row r="353" spans="1:30" x14ac:dyDescent="0.35">
      <c r="A353" t="s">
        <v>50</v>
      </c>
      <c r="B353">
        <v>17</v>
      </c>
      <c r="C353" t="s">
        <v>35</v>
      </c>
      <c r="D353" t="s">
        <v>36</v>
      </c>
      <c r="E353" t="s">
        <v>44</v>
      </c>
      <c r="F353" t="s">
        <v>28</v>
      </c>
      <c r="G353" t="s">
        <v>45</v>
      </c>
      <c r="H353">
        <v>2</v>
      </c>
      <c r="I353">
        <v>0</v>
      </c>
      <c r="J353" t="s">
        <v>43</v>
      </c>
      <c r="K353" t="s">
        <v>42</v>
      </c>
      <c r="L353" t="s">
        <v>42</v>
      </c>
      <c r="M353" t="s">
        <v>43</v>
      </c>
      <c r="N353" t="s">
        <v>43</v>
      </c>
      <c r="O353">
        <v>4</v>
      </c>
      <c r="P353">
        <v>5</v>
      </c>
      <c r="Q353">
        <v>4</v>
      </c>
      <c r="R353">
        <v>2</v>
      </c>
      <c r="S353">
        <v>3</v>
      </c>
      <c r="T353">
        <f t="shared" si="25"/>
        <v>5</v>
      </c>
      <c r="U353" t="str" cm="1">
        <f t="array" ref="U353">_xlfn.IFS(T353&lt;3, "low", AND(T353&gt;=3, T353&lt;5), "med", T353&gt;=5, "high")</f>
        <v>high</v>
      </c>
      <c r="V353">
        <v>2</v>
      </c>
      <c r="W353" t="str" cm="1">
        <f t="array" ref="W353">_xlfn.IFS(V353&lt;5, "low", AND(V353&gt;=5, V353&lt;10), "med", V353&gt;=10, "high")</f>
        <v>low</v>
      </c>
      <c r="X353">
        <v>13</v>
      </c>
      <c r="Y353">
        <v>13</v>
      </c>
      <c r="Z353">
        <v>13</v>
      </c>
      <c r="AA353">
        <f t="shared" si="26"/>
        <v>0</v>
      </c>
      <c r="AB353">
        <f t="shared" si="27"/>
        <v>0</v>
      </c>
      <c r="AC353">
        <f t="shared" si="28"/>
        <v>0</v>
      </c>
      <c r="AD353" s="1">
        <f t="shared" si="29"/>
        <v>13</v>
      </c>
    </row>
    <row r="354" spans="1:30" x14ac:dyDescent="0.35">
      <c r="A354" t="s">
        <v>50</v>
      </c>
      <c r="B354">
        <v>18</v>
      </c>
      <c r="C354" t="s">
        <v>35</v>
      </c>
      <c r="D354" t="s">
        <v>47</v>
      </c>
      <c r="E354" t="s">
        <v>44</v>
      </c>
      <c r="F354" t="s">
        <v>38</v>
      </c>
      <c r="G354" t="s">
        <v>48</v>
      </c>
      <c r="H354">
        <v>1</v>
      </c>
      <c r="I354">
        <v>1</v>
      </c>
      <c r="J354" t="s">
        <v>43</v>
      </c>
      <c r="K354" t="s">
        <v>43</v>
      </c>
      <c r="L354" t="s">
        <v>43</v>
      </c>
      <c r="M354" t="s">
        <v>43</v>
      </c>
      <c r="N354" t="s">
        <v>42</v>
      </c>
      <c r="O354">
        <v>4</v>
      </c>
      <c r="P354">
        <v>3</v>
      </c>
      <c r="Q354">
        <v>3</v>
      </c>
      <c r="R354">
        <v>2</v>
      </c>
      <c r="S354">
        <v>3</v>
      </c>
      <c r="T354">
        <f t="shared" si="25"/>
        <v>5</v>
      </c>
      <c r="U354" t="str" cm="1">
        <f t="array" ref="U354">_xlfn.IFS(T354&lt;3, "low", AND(T354&gt;=3, T354&lt;5), "med", T354&gt;=5, "high")</f>
        <v>high</v>
      </c>
      <c r="V354">
        <v>7</v>
      </c>
      <c r="W354" t="str" cm="1">
        <f t="array" ref="W354">_xlfn.IFS(V354&lt;5, "low", AND(V354&gt;=5, V354&lt;10), "med", V354&gt;=10, "high")</f>
        <v>med</v>
      </c>
      <c r="X354">
        <v>8</v>
      </c>
      <c r="Y354">
        <v>7</v>
      </c>
      <c r="Z354">
        <v>8</v>
      </c>
      <c r="AA354">
        <f t="shared" si="26"/>
        <v>1</v>
      </c>
      <c r="AB354">
        <f t="shared" si="27"/>
        <v>0</v>
      </c>
      <c r="AC354">
        <f t="shared" si="28"/>
        <v>1</v>
      </c>
      <c r="AD354" s="1">
        <f t="shared" si="29"/>
        <v>7.666666666666667</v>
      </c>
    </row>
    <row r="355" spans="1:30" x14ac:dyDescent="0.35">
      <c r="A355" t="s">
        <v>50</v>
      </c>
      <c r="B355">
        <v>19</v>
      </c>
      <c r="C355" t="s">
        <v>52</v>
      </c>
      <c r="D355" t="s">
        <v>36</v>
      </c>
      <c r="E355" t="s">
        <v>44</v>
      </c>
      <c r="F355" t="s">
        <v>45</v>
      </c>
      <c r="G355" t="s">
        <v>45</v>
      </c>
      <c r="H355">
        <v>1</v>
      </c>
      <c r="I355">
        <v>1</v>
      </c>
      <c r="J355" t="s">
        <v>43</v>
      </c>
      <c r="K355" t="s">
        <v>42</v>
      </c>
      <c r="L355" t="s">
        <v>43</v>
      </c>
      <c r="M355" t="s">
        <v>43</v>
      </c>
      <c r="N355" t="s">
        <v>43</v>
      </c>
      <c r="O355">
        <v>4</v>
      </c>
      <c r="P355">
        <v>4</v>
      </c>
      <c r="Q355">
        <v>4</v>
      </c>
      <c r="R355">
        <v>3</v>
      </c>
      <c r="S355">
        <v>3</v>
      </c>
      <c r="T355">
        <f t="shared" si="25"/>
        <v>6</v>
      </c>
      <c r="U355" t="str" cm="1">
        <f t="array" ref="U355">_xlfn.IFS(T355&lt;3, "low", AND(T355&gt;=3, T355&lt;5), "med", T355&gt;=5, "high")</f>
        <v>high</v>
      </c>
      <c r="V355">
        <v>4</v>
      </c>
      <c r="W355" t="str" cm="1">
        <f t="array" ref="W355">_xlfn.IFS(V355&lt;5, "low", AND(V355&gt;=5, V355&lt;10), "med", V355&gt;=10, "high")</f>
        <v>low</v>
      </c>
      <c r="X355">
        <v>8</v>
      </c>
      <c r="Y355">
        <v>8</v>
      </c>
      <c r="Z355">
        <v>8</v>
      </c>
      <c r="AA355">
        <f t="shared" si="26"/>
        <v>0</v>
      </c>
      <c r="AB355">
        <f t="shared" si="27"/>
        <v>0</v>
      </c>
      <c r="AC355">
        <f t="shared" si="28"/>
        <v>0</v>
      </c>
      <c r="AD355" s="1">
        <f t="shared" si="29"/>
        <v>8</v>
      </c>
    </row>
    <row r="356" spans="1:30" x14ac:dyDescent="0.35">
      <c r="A356" t="s">
        <v>50</v>
      </c>
      <c r="B356">
        <v>17</v>
      </c>
      <c r="C356" t="s">
        <v>52</v>
      </c>
      <c r="D356" t="s">
        <v>36</v>
      </c>
      <c r="E356" t="s">
        <v>44</v>
      </c>
      <c r="F356" t="s">
        <v>48</v>
      </c>
      <c r="G356" t="s">
        <v>45</v>
      </c>
      <c r="H356">
        <v>2</v>
      </c>
      <c r="I356">
        <v>0</v>
      </c>
      <c r="J356" t="s">
        <v>43</v>
      </c>
      <c r="K356" t="s">
        <v>42</v>
      </c>
      <c r="L356" t="s">
        <v>42</v>
      </c>
      <c r="M356" t="s">
        <v>42</v>
      </c>
      <c r="N356" t="s">
        <v>42</v>
      </c>
      <c r="O356">
        <v>4</v>
      </c>
      <c r="P356">
        <v>5</v>
      </c>
      <c r="Q356">
        <v>5</v>
      </c>
      <c r="R356">
        <v>1</v>
      </c>
      <c r="S356">
        <v>3</v>
      </c>
      <c r="T356">
        <f t="shared" si="25"/>
        <v>4</v>
      </c>
      <c r="U356" t="str" cm="1">
        <f t="array" ref="U356">_xlfn.IFS(T356&lt;3, "low", AND(T356&gt;=3, T356&lt;5), "med", T356&gt;=5, "high")</f>
        <v>med</v>
      </c>
      <c r="V356">
        <v>4</v>
      </c>
      <c r="W356" t="str" cm="1">
        <f t="array" ref="W356">_xlfn.IFS(V356&lt;5, "low", AND(V356&gt;=5, V356&lt;10), "med", V356&gt;=10, "high")</f>
        <v>low</v>
      </c>
      <c r="X356">
        <v>13</v>
      </c>
      <c r="Y356">
        <v>11</v>
      </c>
      <c r="Z356">
        <v>11</v>
      </c>
      <c r="AA356">
        <f t="shared" si="26"/>
        <v>1</v>
      </c>
      <c r="AB356">
        <f t="shared" si="27"/>
        <v>0</v>
      </c>
      <c r="AC356">
        <f t="shared" si="28"/>
        <v>1</v>
      </c>
      <c r="AD356" s="1">
        <f t="shared" si="29"/>
        <v>11.666666666666666</v>
      </c>
    </row>
    <row r="357" spans="1:30" x14ac:dyDescent="0.35">
      <c r="A357" t="s">
        <v>34</v>
      </c>
      <c r="B357">
        <v>18</v>
      </c>
      <c r="C357" t="s">
        <v>35</v>
      </c>
      <c r="D357" t="s">
        <v>36</v>
      </c>
      <c r="E357" t="s">
        <v>44</v>
      </c>
      <c r="F357" t="s">
        <v>48</v>
      </c>
      <c r="G357" t="s">
        <v>48</v>
      </c>
      <c r="H357">
        <v>2</v>
      </c>
      <c r="I357">
        <v>0</v>
      </c>
      <c r="J357" t="s">
        <v>43</v>
      </c>
      <c r="K357" t="s">
        <v>42</v>
      </c>
      <c r="L357" t="s">
        <v>43</v>
      </c>
      <c r="M357" t="s">
        <v>43</v>
      </c>
      <c r="N357" t="s">
        <v>42</v>
      </c>
      <c r="O357">
        <v>5</v>
      </c>
      <c r="P357">
        <v>3</v>
      </c>
      <c r="Q357">
        <v>4</v>
      </c>
      <c r="R357">
        <v>1</v>
      </c>
      <c r="S357">
        <v>1</v>
      </c>
      <c r="T357">
        <f t="shared" si="25"/>
        <v>2</v>
      </c>
      <c r="U357" t="str" cm="1">
        <f t="array" ref="U357">_xlfn.IFS(T357&lt;3, "low", AND(T357&gt;=3, T357&lt;5), "med", T357&gt;=5, "high")</f>
        <v>low</v>
      </c>
      <c r="V357">
        <v>0</v>
      </c>
      <c r="W357" t="str" cm="1">
        <f t="array" ref="W357">_xlfn.IFS(V357&lt;5, "low", AND(V357&gt;=5, V357&lt;10), "med", V357&gt;=10, "high")</f>
        <v>low</v>
      </c>
      <c r="X357">
        <v>10</v>
      </c>
      <c r="Y357">
        <v>9</v>
      </c>
      <c r="Z357">
        <v>9</v>
      </c>
      <c r="AA357">
        <f t="shared" si="26"/>
        <v>1</v>
      </c>
      <c r="AB357">
        <f t="shared" si="27"/>
        <v>0</v>
      </c>
      <c r="AC357">
        <f t="shared" si="28"/>
        <v>1</v>
      </c>
      <c r="AD357" s="1">
        <f t="shared" si="29"/>
        <v>9.3333333333333339</v>
      </c>
    </row>
    <row r="358" spans="1:30" x14ac:dyDescent="0.35">
      <c r="A358" t="s">
        <v>34</v>
      </c>
      <c r="B358">
        <v>17</v>
      </c>
      <c r="C358" t="s">
        <v>52</v>
      </c>
      <c r="D358" t="s">
        <v>36</v>
      </c>
      <c r="E358" t="s">
        <v>44</v>
      </c>
      <c r="F358" t="s">
        <v>39</v>
      </c>
      <c r="G358" t="s">
        <v>48</v>
      </c>
      <c r="H358">
        <v>2</v>
      </c>
      <c r="I358">
        <v>0</v>
      </c>
      <c r="J358" t="s">
        <v>43</v>
      </c>
      <c r="K358" t="s">
        <v>42</v>
      </c>
      <c r="L358" t="s">
        <v>42</v>
      </c>
      <c r="M358" t="s">
        <v>42</v>
      </c>
      <c r="N358" t="s">
        <v>43</v>
      </c>
      <c r="O358">
        <v>4</v>
      </c>
      <c r="P358">
        <v>3</v>
      </c>
      <c r="Q358">
        <v>3</v>
      </c>
      <c r="R358">
        <v>1</v>
      </c>
      <c r="S358">
        <v>2</v>
      </c>
      <c r="T358">
        <f t="shared" si="25"/>
        <v>3</v>
      </c>
      <c r="U358" t="str" cm="1">
        <f t="array" ref="U358">_xlfn.IFS(T358&lt;3, "low", AND(T358&gt;=3, T358&lt;5), "med", T358&gt;=5, "high")</f>
        <v>med</v>
      </c>
      <c r="V358">
        <v>4</v>
      </c>
      <c r="W358" t="str" cm="1">
        <f t="array" ref="W358">_xlfn.IFS(V358&lt;5, "low", AND(V358&gt;=5, V358&lt;10), "med", V358&gt;=10, "high")</f>
        <v>low</v>
      </c>
      <c r="X358">
        <v>12</v>
      </c>
      <c r="Y358">
        <v>13</v>
      </c>
      <c r="Z358">
        <v>13</v>
      </c>
      <c r="AA358">
        <f t="shared" si="26"/>
        <v>0</v>
      </c>
      <c r="AB358">
        <f t="shared" si="27"/>
        <v>0</v>
      </c>
      <c r="AC358">
        <f t="shared" si="28"/>
        <v>0</v>
      </c>
      <c r="AD358" s="1">
        <f t="shared" si="29"/>
        <v>12.666666666666666</v>
      </c>
    </row>
    <row r="359" spans="1:30" x14ac:dyDescent="0.35">
      <c r="A359" t="s">
        <v>34</v>
      </c>
      <c r="B359">
        <v>17</v>
      </c>
      <c r="C359" t="s">
        <v>35</v>
      </c>
      <c r="D359" t="s">
        <v>47</v>
      </c>
      <c r="E359" t="s">
        <v>37</v>
      </c>
      <c r="F359" t="s">
        <v>48</v>
      </c>
      <c r="G359" t="s">
        <v>45</v>
      </c>
      <c r="H359">
        <v>2</v>
      </c>
      <c r="I359">
        <v>0</v>
      </c>
      <c r="J359" t="s">
        <v>43</v>
      </c>
      <c r="K359" t="s">
        <v>43</v>
      </c>
      <c r="L359" t="s">
        <v>43</v>
      </c>
      <c r="M359" t="s">
        <v>43</v>
      </c>
      <c r="N359" t="s">
        <v>42</v>
      </c>
      <c r="O359">
        <v>1</v>
      </c>
      <c r="P359">
        <v>2</v>
      </c>
      <c r="Q359">
        <v>3</v>
      </c>
      <c r="R359">
        <v>1</v>
      </c>
      <c r="S359">
        <v>2</v>
      </c>
      <c r="T359">
        <f t="shared" si="25"/>
        <v>3</v>
      </c>
      <c r="U359" t="str" cm="1">
        <f t="array" ref="U359">_xlfn.IFS(T359&lt;3, "low", AND(T359&gt;=3, T359&lt;5), "med", T359&gt;=5, "high")</f>
        <v>med</v>
      </c>
      <c r="V359">
        <v>2</v>
      </c>
      <c r="W359" t="str" cm="1">
        <f t="array" ref="W359">_xlfn.IFS(V359&lt;5, "low", AND(V359&gt;=5, V359&lt;10), "med", V359&gt;=10, "high")</f>
        <v>low</v>
      </c>
      <c r="X359">
        <v>12</v>
      </c>
      <c r="Y359">
        <v>12</v>
      </c>
      <c r="Z359">
        <v>11</v>
      </c>
      <c r="AA359">
        <f t="shared" si="26"/>
        <v>0</v>
      </c>
      <c r="AB359">
        <f t="shared" si="27"/>
        <v>1</v>
      </c>
      <c r="AC359">
        <f t="shared" si="28"/>
        <v>1</v>
      </c>
      <c r="AD359" s="1">
        <f t="shared" si="29"/>
        <v>11.666666666666666</v>
      </c>
    </row>
    <row r="360" spans="1:30" x14ac:dyDescent="0.35">
      <c r="A360" t="s">
        <v>50</v>
      </c>
      <c r="B360">
        <v>18</v>
      </c>
      <c r="C360" t="s">
        <v>35</v>
      </c>
      <c r="D360" t="s">
        <v>47</v>
      </c>
      <c r="E360" t="s">
        <v>44</v>
      </c>
      <c r="F360" t="s">
        <v>45</v>
      </c>
      <c r="G360" t="s">
        <v>48</v>
      </c>
      <c r="H360">
        <v>1</v>
      </c>
      <c r="I360">
        <v>0</v>
      </c>
      <c r="J360" t="s">
        <v>43</v>
      </c>
      <c r="K360" t="s">
        <v>43</v>
      </c>
      <c r="L360" t="s">
        <v>43</v>
      </c>
      <c r="M360" t="s">
        <v>43</v>
      </c>
      <c r="N360" t="s">
        <v>42</v>
      </c>
      <c r="O360">
        <v>3</v>
      </c>
      <c r="P360">
        <v>3</v>
      </c>
      <c r="Q360">
        <v>2</v>
      </c>
      <c r="R360">
        <v>1</v>
      </c>
      <c r="S360">
        <v>2</v>
      </c>
      <c r="T360">
        <f t="shared" si="25"/>
        <v>3</v>
      </c>
      <c r="U360" t="str" cm="1">
        <f t="array" ref="U360">_xlfn.IFS(T360&lt;3, "low", AND(T360&gt;=3, T360&lt;5), "med", T360&gt;=5, "high")</f>
        <v>med</v>
      </c>
      <c r="V360">
        <v>4</v>
      </c>
      <c r="W360" t="str" cm="1">
        <f t="array" ref="W360">_xlfn.IFS(V360&lt;5, "low", AND(V360&gt;=5, V360&lt;10), "med", V360&gt;=10, "high")</f>
        <v>low</v>
      </c>
      <c r="X360">
        <v>10</v>
      </c>
      <c r="Y360">
        <v>10</v>
      </c>
      <c r="Z360">
        <v>10</v>
      </c>
      <c r="AA360">
        <f t="shared" si="26"/>
        <v>0</v>
      </c>
      <c r="AB360">
        <f t="shared" si="27"/>
        <v>0</v>
      </c>
      <c r="AC360">
        <f t="shared" si="28"/>
        <v>0</v>
      </c>
      <c r="AD360" s="1">
        <f t="shared" si="29"/>
        <v>10</v>
      </c>
    </row>
    <row r="361" spans="1:30" x14ac:dyDescent="0.35">
      <c r="A361" t="s">
        <v>34</v>
      </c>
      <c r="B361">
        <v>18</v>
      </c>
      <c r="C361" t="s">
        <v>35</v>
      </c>
      <c r="D361" t="s">
        <v>47</v>
      </c>
      <c r="E361" t="s">
        <v>44</v>
      </c>
      <c r="F361" t="s">
        <v>38</v>
      </c>
      <c r="G361" t="s">
        <v>48</v>
      </c>
      <c r="H361">
        <v>3</v>
      </c>
      <c r="I361">
        <v>0</v>
      </c>
      <c r="J361" t="s">
        <v>43</v>
      </c>
      <c r="K361" t="s">
        <v>43</v>
      </c>
      <c r="L361" t="s">
        <v>43</v>
      </c>
      <c r="M361" t="s">
        <v>43</v>
      </c>
      <c r="N361" t="s">
        <v>43</v>
      </c>
      <c r="O361">
        <v>5</v>
      </c>
      <c r="P361">
        <v>3</v>
      </c>
      <c r="Q361">
        <v>2</v>
      </c>
      <c r="R361">
        <v>1</v>
      </c>
      <c r="S361">
        <v>1</v>
      </c>
      <c r="T361">
        <f t="shared" si="25"/>
        <v>2</v>
      </c>
      <c r="U361" t="str" cm="1">
        <f t="array" ref="U361">_xlfn.IFS(T361&lt;3, "low", AND(T361&gt;=3, T361&lt;5), "med", T361&gt;=5, "high")</f>
        <v>low</v>
      </c>
      <c r="V361">
        <v>0</v>
      </c>
      <c r="W361" t="str" cm="1">
        <f t="array" ref="W361">_xlfn.IFS(V361&lt;5, "low", AND(V361&gt;=5, V361&lt;10), "med", V361&gt;=10, "high")</f>
        <v>low</v>
      </c>
      <c r="X361">
        <v>18</v>
      </c>
      <c r="Y361">
        <v>16</v>
      </c>
      <c r="Z361">
        <v>16</v>
      </c>
      <c r="AA361">
        <f t="shared" si="26"/>
        <v>1</v>
      </c>
      <c r="AB361">
        <f t="shared" si="27"/>
        <v>0</v>
      </c>
      <c r="AC361">
        <f t="shared" si="28"/>
        <v>1</v>
      </c>
      <c r="AD361" s="1">
        <f t="shared" si="29"/>
        <v>16.666666666666668</v>
      </c>
    </row>
    <row r="362" spans="1:30" x14ac:dyDescent="0.35">
      <c r="A362" t="s">
        <v>34</v>
      </c>
      <c r="B362">
        <v>18</v>
      </c>
      <c r="C362" t="s">
        <v>52</v>
      </c>
      <c r="D362" t="s">
        <v>47</v>
      </c>
      <c r="E362" t="s">
        <v>37</v>
      </c>
      <c r="F362" t="s">
        <v>38</v>
      </c>
      <c r="G362" t="s">
        <v>45</v>
      </c>
      <c r="H362">
        <v>2</v>
      </c>
      <c r="I362">
        <v>0</v>
      </c>
      <c r="J362" t="s">
        <v>43</v>
      </c>
      <c r="K362" t="s">
        <v>43</v>
      </c>
      <c r="L362" t="s">
        <v>43</v>
      </c>
      <c r="M362" t="s">
        <v>43</v>
      </c>
      <c r="N362" t="s">
        <v>42</v>
      </c>
      <c r="O362">
        <v>4</v>
      </c>
      <c r="P362">
        <v>3</v>
      </c>
      <c r="Q362">
        <v>4</v>
      </c>
      <c r="R362">
        <v>1</v>
      </c>
      <c r="S362">
        <v>4</v>
      </c>
      <c r="T362">
        <f t="shared" si="25"/>
        <v>5</v>
      </c>
      <c r="U362" t="str" cm="1">
        <f t="array" ref="U362">_xlfn.IFS(T362&lt;3, "low", AND(T362&gt;=3, T362&lt;5), "med", T362&gt;=5, "high")</f>
        <v>high</v>
      </c>
      <c r="V362">
        <v>0</v>
      </c>
      <c r="W362" t="str" cm="1">
        <f t="array" ref="W362">_xlfn.IFS(V362&lt;5, "low", AND(V362&gt;=5, V362&lt;10), "med", V362&gt;=10, "high")</f>
        <v>low</v>
      </c>
      <c r="X362">
        <v>13</v>
      </c>
      <c r="Y362">
        <v>13</v>
      </c>
      <c r="Z362">
        <v>13</v>
      </c>
      <c r="AA362">
        <f t="shared" si="26"/>
        <v>0</v>
      </c>
      <c r="AB362">
        <f t="shared" si="27"/>
        <v>0</v>
      </c>
      <c r="AC362">
        <f t="shared" si="28"/>
        <v>0</v>
      </c>
      <c r="AD362" s="1">
        <f t="shared" si="29"/>
        <v>13</v>
      </c>
    </row>
    <row r="363" spans="1:30" x14ac:dyDescent="0.35">
      <c r="A363" t="s">
        <v>50</v>
      </c>
      <c r="B363">
        <v>18</v>
      </c>
      <c r="C363" t="s">
        <v>52</v>
      </c>
      <c r="D363" t="s">
        <v>47</v>
      </c>
      <c r="E363" t="s">
        <v>44</v>
      </c>
      <c r="F363" t="s">
        <v>38</v>
      </c>
      <c r="G363" t="s">
        <v>45</v>
      </c>
      <c r="H363">
        <v>2</v>
      </c>
      <c r="I363">
        <v>1</v>
      </c>
      <c r="J363" t="s">
        <v>43</v>
      </c>
      <c r="K363" t="s">
        <v>43</v>
      </c>
      <c r="L363" t="s">
        <v>43</v>
      </c>
      <c r="M363" t="s">
        <v>42</v>
      </c>
      <c r="N363" t="s">
        <v>43</v>
      </c>
      <c r="O363">
        <v>4</v>
      </c>
      <c r="P363">
        <v>4</v>
      </c>
      <c r="Q363">
        <v>3</v>
      </c>
      <c r="R363">
        <v>2</v>
      </c>
      <c r="S363">
        <v>3</v>
      </c>
      <c r="T363">
        <f t="shared" si="25"/>
        <v>5</v>
      </c>
      <c r="U363" t="str" cm="1">
        <f t="array" ref="U363">_xlfn.IFS(T363&lt;3, "low", AND(T363&gt;=3, T363&lt;5), "med", T363&gt;=5, "high")</f>
        <v>high</v>
      </c>
      <c r="V363">
        <v>2</v>
      </c>
      <c r="W363" t="str" cm="1">
        <f t="array" ref="W363">_xlfn.IFS(V363&lt;5, "low", AND(V363&gt;=5, V363&lt;10), "med", V363&gt;=10, "high")</f>
        <v>low</v>
      </c>
      <c r="X363">
        <v>13</v>
      </c>
      <c r="Y363">
        <v>12</v>
      </c>
      <c r="Z363">
        <v>12</v>
      </c>
      <c r="AA363">
        <f t="shared" si="26"/>
        <v>1</v>
      </c>
      <c r="AB363">
        <f t="shared" si="27"/>
        <v>0</v>
      </c>
      <c r="AC363">
        <f t="shared" si="28"/>
        <v>1</v>
      </c>
      <c r="AD363" s="1">
        <f t="shared" si="29"/>
        <v>12.333333333333334</v>
      </c>
    </row>
    <row r="364" spans="1:30" x14ac:dyDescent="0.35">
      <c r="A364" t="s">
        <v>34</v>
      </c>
      <c r="B364">
        <v>18</v>
      </c>
      <c r="C364" t="s">
        <v>35</v>
      </c>
      <c r="D364" t="s">
        <v>36</v>
      </c>
      <c r="E364" t="s">
        <v>44</v>
      </c>
      <c r="F364" t="s">
        <v>48</v>
      </c>
      <c r="G364" t="s">
        <v>48</v>
      </c>
      <c r="H364">
        <v>2</v>
      </c>
      <c r="I364">
        <v>0</v>
      </c>
      <c r="J364" t="s">
        <v>43</v>
      </c>
      <c r="K364" t="s">
        <v>42</v>
      </c>
      <c r="L364" t="s">
        <v>43</v>
      </c>
      <c r="M364" t="s">
        <v>43</v>
      </c>
      <c r="N364" t="s">
        <v>42</v>
      </c>
      <c r="O364">
        <v>4</v>
      </c>
      <c r="P364">
        <v>3</v>
      </c>
      <c r="Q364">
        <v>2</v>
      </c>
      <c r="R364">
        <v>1</v>
      </c>
      <c r="S364">
        <v>3</v>
      </c>
      <c r="T364">
        <f t="shared" si="25"/>
        <v>4</v>
      </c>
      <c r="U364" t="str" cm="1">
        <f t="array" ref="U364">_xlfn.IFS(T364&lt;3, "low", AND(T364&gt;=3, T364&lt;5), "med", T364&gt;=5, "high")</f>
        <v>med</v>
      </c>
      <c r="V364">
        <v>0</v>
      </c>
      <c r="W364" t="str" cm="1">
        <f t="array" ref="W364">_xlfn.IFS(V364&lt;5, "low", AND(V364&gt;=5, V364&lt;10), "med", V364&gt;=10, "high")</f>
        <v>low</v>
      </c>
      <c r="X364">
        <v>11</v>
      </c>
      <c r="Y364">
        <v>11</v>
      </c>
      <c r="Z364">
        <v>10</v>
      </c>
      <c r="AA364">
        <f t="shared" si="26"/>
        <v>0</v>
      </c>
      <c r="AB364">
        <f t="shared" si="27"/>
        <v>1</v>
      </c>
      <c r="AC364">
        <f t="shared" si="28"/>
        <v>1</v>
      </c>
      <c r="AD364" s="1">
        <f t="shared" si="29"/>
        <v>10.666666666666666</v>
      </c>
    </row>
    <row r="365" spans="1:30" x14ac:dyDescent="0.35">
      <c r="A365" t="s">
        <v>34</v>
      </c>
      <c r="B365">
        <v>17</v>
      </c>
      <c r="C365" t="s">
        <v>35</v>
      </c>
      <c r="D365" t="s">
        <v>47</v>
      </c>
      <c r="E365" t="s">
        <v>44</v>
      </c>
      <c r="F365" t="s">
        <v>38</v>
      </c>
      <c r="G365" t="s">
        <v>38</v>
      </c>
      <c r="H365">
        <v>2</v>
      </c>
      <c r="I365">
        <v>0</v>
      </c>
      <c r="J365" t="s">
        <v>43</v>
      </c>
      <c r="K365" t="s">
        <v>42</v>
      </c>
      <c r="L365" t="s">
        <v>42</v>
      </c>
      <c r="M365" t="s">
        <v>42</v>
      </c>
      <c r="N365" t="s">
        <v>42</v>
      </c>
      <c r="O365">
        <v>2</v>
      </c>
      <c r="P365">
        <v>3</v>
      </c>
      <c r="Q365">
        <v>4</v>
      </c>
      <c r="R365">
        <v>1</v>
      </c>
      <c r="S365">
        <v>1</v>
      </c>
      <c r="T365">
        <f t="shared" si="25"/>
        <v>2</v>
      </c>
      <c r="U365" t="str" cm="1">
        <f t="array" ref="U365">_xlfn.IFS(T365&lt;3, "low", AND(T365&gt;=3, T365&lt;5), "med", T365&gt;=5, "high")</f>
        <v>low</v>
      </c>
      <c r="V365">
        <v>0</v>
      </c>
      <c r="W365" t="str" cm="1">
        <f t="array" ref="W365">_xlfn.IFS(V365&lt;5, "low", AND(V365&gt;=5, V365&lt;10), "med", V365&gt;=10, "high")</f>
        <v>low</v>
      </c>
      <c r="X365">
        <v>16</v>
      </c>
      <c r="Y365">
        <v>15</v>
      </c>
      <c r="Z365">
        <v>15</v>
      </c>
      <c r="AA365">
        <f t="shared" si="26"/>
        <v>1</v>
      </c>
      <c r="AB365">
        <f t="shared" si="27"/>
        <v>0</v>
      </c>
      <c r="AC365">
        <f t="shared" si="28"/>
        <v>1</v>
      </c>
      <c r="AD365" s="1">
        <f t="shared" si="29"/>
        <v>15.333333333333334</v>
      </c>
    </row>
    <row r="366" spans="1:30" x14ac:dyDescent="0.35">
      <c r="A366" t="s">
        <v>34</v>
      </c>
      <c r="B366">
        <v>17</v>
      </c>
      <c r="C366" t="s">
        <v>52</v>
      </c>
      <c r="D366" t="s">
        <v>36</v>
      </c>
      <c r="E366" t="s">
        <v>44</v>
      </c>
      <c r="F366" t="s">
        <v>45</v>
      </c>
      <c r="G366" t="s">
        <v>48</v>
      </c>
      <c r="H366">
        <v>2</v>
      </c>
      <c r="I366">
        <v>0</v>
      </c>
      <c r="J366" t="s">
        <v>43</v>
      </c>
      <c r="K366" t="s">
        <v>43</v>
      </c>
      <c r="L366" t="s">
        <v>43</v>
      </c>
      <c r="M366" t="s">
        <v>43</v>
      </c>
      <c r="N366" t="s">
        <v>43</v>
      </c>
      <c r="O366">
        <v>3</v>
      </c>
      <c r="P366">
        <v>2</v>
      </c>
      <c r="Q366">
        <v>2</v>
      </c>
      <c r="R366">
        <v>1</v>
      </c>
      <c r="S366">
        <v>2</v>
      </c>
      <c r="T366">
        <f t="shared" si="25"/>
        <v>3</v>
      </c>
      <c r="U366" t="str" cm="1">
        <f t="array" ref="U366">_xlfn.IFS(T366&lt;3, "low", AND(T366&gt;=3, T366&lt;5), "med", T366&gt;=5, "high")</f>
        <v>med</v>
      </c>
      <c r="V366">
        <v>0</v>
      </c>
      <c r="W366" t="str" cm="1">
        <f t="array" ref="W366">_xlfn.IFS(V366&lt;5, "low", AND(V366&gt;=5, V366&lt;10), "med", V366&gt;=10, "high")</f>
        <v>low</v>
      </c>
      <c r="X366">
        <v>12</v>
      </c>
      <c r="Y366">
        <v>11</v>
      </c>
      <c r="Z366">
        <v>12</v>
      </c>
      <c r="AA366">
        <f t="shared" si="26"/>
        <v>1</v>
      </c>
      <c r="AB366">
        <f t="shared" si="27"/>
        <v>0</v>
      </c>
      <c r="AC366">
        <f t="shared" si="28"/>
        <v>1</v>
      </c>
      <c r="AD366" s="1">
        <f t="shared" si="29"/>
        <v>11.666666666666666</v>
      </c>
    </row>
    <row r="367" spans="1:30" x14ac:dyDescent="0.35">
      <c r="A367" t="s">
        <v>50</v>
      </c>
      <c r="B367">
        <v>18</v>
      </c>
      <c r="C367" t="s">
        <v>52</v>
      </c>
      <c r="D367" t="s">
        <v>36</v>
      </c>
      <c r="E367" t="s">
        <v>44</v>
      </c>
      <c r="F367" t="s">
        <v>38</v>
      </c>
      <c r="G367" t="s">
        <v>45</v>
      </c>
      <c r="H367">
        <v>2</v>
      </c>
      <c r="I367">
        <v>0</v>
      </c>
      <c r="J367" t="s">
        <v>43</v>
      </c>
      <c r="K367" t="s">
        <v>42</v>
      </c>
      <c r="L367" t="s">
        <v>42</v>
      </c>
      <c r="M367" t="s">
        <v>43</v>
      </c>
      <c r="N367" t="s">
        <v>43</v>
      </c>
      <c r="O367">
        <v>3</v>
      </c>
      <c r="P367">
        <v>3</v>
      </c>
      <c r="Q367">
        <v>4</v>
      </c>
      <c r="R367">
        <v>2</v>
      </c>
      <c r="S367">
        <v>4</v>
      </c>
      <c r="T367">
        <f t="shared" si="25"/>
        <v>6</v>
      </c>
      <c r="U367" t="str" cm="1">
        <f t="array" ref="U367">_xlfn.IFS(T367&lt;3, "low", AND(T367&gt;=3, T367&lt;5), "med", T367&gt;=5, "high")</f>
        <v>high</v>
      </c>
      <c r="V367">
        <v>4</v>
      </c>
      <c r="W367" t="str" cm="1">
        <f t="array" ref="W367">_xlfn.IFS(V367&lt;5, "low", AND(V367&gt;=5, V367&lt;10), "med", V367&gt;=10, "high")</f>
        <v>low</v>
      </c>
      <c r="X367">
        <v>10</v>
      </c>
      <c r="Y367">
        <v>10</v>
      </c>
      <c r="Z367">
        <v>10</v>
      </c>
      <c r="AA367">
        <f t="shared" si="26"/>
        <v>0</v>
      </c>
      <c r="AB367">
        <f t="shared" si="27"/>
        <v>0</v>
      </c>
      <c r="AC367">
        <f t="shared" si="28"/>
        <v>0</v>
      </c>
      <c r="AD367" s="1">
        <f t="shared" si="29"/>
        <v>10</v>
      </c>
    </row>
    <row r="368" spans="1:30" x14ac:dyDescent="0.35">
      <c r="A368" t="s">
        <v>50</v>
      </c>
      <c r="B368">
        <v>18</v>
      </c>
      <c r="C368" t="s">
        <v>35</v>
      </c>
      <c r="D368" t="s">
        <v>47</v>
      </c>
      <c r="E368" t="s">
        <v>44</v>
      </c>
      <c r="F368" t="s">
        <v>39</v>
      </c>
      <c r="G368" t="s">
        <v>48</v>
      </c>
      <c r="H368">
        <v>3</v>
      </c>
      <c r="I368">
        <v>0</v>
      </c>
      <c r="J368" t="s">
        <v>43</v>
      </c>
      <c r="K368" t="s">
        <v>43</v>
      </c>
      <c r="L368" t="s">
        <v>42</v>
      </c>
      <c r="M368" t="s">
        <v>43</v>
      </c>
      <c r="N368" t="s">
        <v>42</v>
      </c>
      <c r="O368">
        <v>4</v>
      </c>
      <c r="P368">
        <v>2</v>
      </c>
      <c r="Q368">
        <v>2</v>
      </c>
      <c r="R368">
        <v>2</v>
      </c>
      <c r="S368">
        <v>2</v>
      </c>
      <c r="T368">
        <f t="shared" si="25"/>
        <v>4</v>
      </c>
      <c r="U368" t="str" cm="1">
        <f t="array" ref="U368">_xlfn.IFS(T368&lt;3, "low", AND(T368&gt;=3, T368&lt;5), "med", T368&gt;=5, "high")</f>
        <v>med</v>
      </c>
      <c r="V368">
        <v>0</v>
      </c>
      <c r="W368" t="str" cm="1">
        <f t="array" ref="W368">_xlfn.IFS(V368&lt;5, "low", AND(V368&gt;=5, V368&lt;10), "med", V368&gt;=10, "high")</f>
        <v>low</v>
      </c>
      <c r="X368">
        <v>13</v>
      </c>
      <c r="Y368">
        <v>13</v>
      </c>
      <c r="Z368">
        <v>13</v>
      </c>
      <c r="AA368">
        <f t="shared" si="26"/>
        <v>0</v>
      </c>
      <c r="AB368">
        <f t="shared" si="27"/>
        <v>0</v>
      </c>
      <c r="AC368">
        <f t="shared" si="28"/>
        <v>0</v>
      </c>
      <c r="AD368" s="1">
        <f t="shared" si="29"/>
        <v>13</v>
      </c>
    </row>
    <row r="369" spans="1:30" x14ac:dyDescent="0.35">
      <c r="A369" t="s">
        <v>34</v>
      </c>
      <c r="B369">
        <v>17</v>
      </c>
      <c r="C369" t="s">
        <v>52</v>
      </c>
      <c r="D369" t="s">
        <v>36</v>
      </c>
      <c r="E369" t="s">
        <v>44</v>
      </c>
      <c r="F369" t="s">
        <v>45</v>
      </c>
      <c r="G369" t="s">
        <v>48</v>
      </c>
      <c r="H369">
        <v>1</v>
      </c>
      <c r="I369">
        <v>1</v>
      </c>
      <c r="J369" t="s">
        <v>43</v>
      </c>
      <c r="K369" t="s">
        <v>42</v>
      </c>
      <c r="L369" t="s">
        <v>42</v>
      </c>
      <c r="M369" t="s">
        <v>43</v>
      </c>
      <c r="N369" t="s">
        <v>42</v>
      </c>
      <c r="O369">
        <v>5</v>
      </c>
      <c r="P369">
        <v>2</v>
      </c>
      <c r="Q369">
        <v>1</v>
      </c>
      <c r="R369">
        <v>1</v>
      </c>
      <c r="S369">
        <v>2</v>
      </c>
      <c r="T369">
        <f t="shared" si="25"/>
        <v>3</v>
      </c>
      <c r="U369" t="str" cm="1">
        <f t="array" ref="U369">_xlfn.IFS(T369&lt;3, "low", AND(T369&gt;=3, T369&lt;5), "med", T369&gt;=5, "high")</f>
        <v>med</v>
      </c>
      <c r="V369">
        <v>0</v>
      </c>
      <c r="W369" t="str" cm="1">
        <f t="array" ref="W369">_xlfn.IFS(V369&lt;5, "low", AND(V369&gt;=5, V369&lt;10), "med", V369&gt;=10, "high")</f>
        <v>low</v>
      </c>
      <c r="X369">
        <v>7</v>
      </c>
      <c r="Y369">
        <v>6</v>
      </c>
      <c r="Z369">
        <v>0</v>
      </c>
      <c r="AA369">
        <f t="shared" si="26"/>
        <v>1</v>
      </c>
      <c r="AB369">
        <f t="shared" si="27"/>
        <v>1</v>
      </c>
      <c r="AC369">
        <f t="shared" si="28"/>
        <v>2</v>
      </c>
      <c r="AD369" s="1">
        <f t="shared" si="29"/>
        <v>4.333333333333333</v>
      </c>
    </row>
    <row r="370" spans="1:30" x14ac:dyDescent="0.35">
      <c r="A370" t="s">
        <v>34</v>
      </c>
      <c r="B370">
        <v>18</v>
      </c>
      <c r="C370" t="s">
        <v>35</v>
      </c>
      <c r="D370" t="s">
        <v>36</v>
      </c>
      <c r="E370" t="s">
        <v>44</v>
      </c>
      <c r="F370" t="s">
        <v>38</v>
      </c>
      <c r="G370" t="s">
        <v>48</v>
      </c>
      <c r="H370">
        <v>1</v>
      </c>
      <c r="I370">
        <v>0</v>
      </c>
      <c r="J370" t="s">
        <v>43</v>
      </c>
      <c r="K370" t="s">
        <v>42</v>
      </c>
      <c r="L370" t="s">
        <v>42</v>
      </c>
      <c r="M370" t="s">
        <v>43</v>
      </c>
      <c r="N370" t="s">
        <v>42</v>
      </c>
      <c r="O370">
        <v>5</v>
      </c>
      <c r="P370">
        <v>2</v>
      </c>
      <c r="Q370">
        <v>3</v>
      </c>
      <c r="R370">
        <v>1</v>
      </c>
      <c r="S370">
        <v>2</v>
      </c>
      <c r="T370">
        <f t="shared" si="25"/>
        <v>3</v>
      </c>
      <c r="U370" t="str" cm="1">
        <f t="array" ref="U370">_xlfn.IFS(T370&lt;3, "low", AND(T370&gt;=3, T370&lt;5), "med", T370&gt;=5, "high")</f>
        <v>med</v>
      </c>
      <c r="V370">
        <v>0</v>
      </c>
      <c r="W370" t="str" cm="1">
        <f t="array" ref="W370">_xlfn.IFS(V370&lt;5, "low", AND(V370&gt;=5, V370&lt;10), "med", V370&gt;=10, "high")</f>
        <v>low</v>
      </c>
      <c r="X370">
        <v>11</v>
      </c>
      <c r="Y370">
        <v>10</v>
      </c>
      <c r="Z370">
        <v>10</v>
      </c>
      <c r="AA370">
        <f t="shared" si="26"/>
        <v>1</v>
      </c>
      <c r="AB370">
        <f t="shared" si="27"/>
        <v>0</v>
      </c>
      <c r="AC370">
        <f t="shared" si="28"/>
        <v>1</v>
      </c>
      <c r="AD370" s="1">
        <f t="shared" si="29"/>
        <v>10.333333333333334</v>
      </c>
    </row>
    <row r="371" spans="1:30" x14ac:dyDescent="0.35">
      <c r="A371" t="s">
        <v>34</v>
      </c>
      <c r="B371">
        <v>18</v>
      </c>
      <c r="C371" t="s">
        <v>52</v>
      </c>
      <c r="D371" t="s">
        <v>36</v>
      </c>
      <c r="E371" t="s">
        <v>44</v>
      </c>
      <c r="F371" t="s">
        <v>45</v>
      </c>
      <c r="G371" t="s">
        <v>39</v>
      </c>
      <c r="H371">
        <v>2</v>
      </c>
      <c r="I371">
        <v>0</v>
      </c>
      <c r="J371" t="s">
        <v>43</v>
      </c>
      <c r="K371" t="s">
        <v>42</v>
      </c>
      <c r="L371" t="s">
        <v>42</v>
      </c>
      <c r="M371" t="s">
        <v>43</v>
      </c>
      <c r="N371" t="s">
        <v>42</v>
      </c>
      <c r="O371">
        <v>3</v>
      </c>
      <c r="P371">
        <v>2</v>
      </c>
      <c r="Q371">
        <v>2</v>
      </c>
      <c r="R371">
        <v>4</v>
      </c>
      <c r="S371">
        <v>2</v>
      </c>
      <c r="T371">
        <f t="shared" si="25"/>
        <v>6</v>
      </c>
      <c r="U371" t="str" cm="1">
        <f t="array" ref="U371">_xlfn.IFS(T371&lt;3, "low", AND(T371&gt;=3, T371&lt;5), "med", T371&gt;=5, "high")</f>
        <v>high</v>
      </c>
      <c r="V371">
        <v>10</v>
      </c>
      <c r="W371" t="str" cm="1">
        <f t="array" ref="W371">_xlfn.IFS(V371&lt;5, "low", AND(V371&gt;=5, V371&lt;10), "med", V371&gt;=10, "high")</f>
        <v>high</v>
      </c>
      <c r="X371">
        <v>14</v>
      </c>
      <c r="Y371">
        <v>12</v>
      </c>
      <c r="Z371">
        <v>11</v>
      </c>
      <c r="AA371">
        <f t="shared" si="26"/>
        <v>1</v>
      </c>
      <c r="AB371">
        <f t="shared" si="27"/>
        <v>1</v>
      </c>
      <c r="AC371">
        <f t="shared" si="28"/>
        <v>2</v>
      </c>
      <c r="AD371" s="1">
        <f t="shared" si="29"/>
        <v>12.333333333333334</v>
      </c>
    </row>
    <row r="372" spans="1:30" x14ac:dyDescent="0.35">
      <c r="A372" t="s">
        <v>34</v>
      </c>
      <c r="B372">
        <v>19</v>
      </c>
      <c r="C372" t="s">
        <v>35</v>
      </c>
      <c r="D372" t="s">
        <v>47</v>
      </c>
      <c r="E372" t="s">
        <v>44</v>
      </c>
      <c r="F372" t="s">
        <v>48</v>
      </c>
      <c r="G372" t="s">
        <v>48</v>
      </c>
      <c r="H372">
        <v>2</v>
      </c>
      <c r="I372">
        <v>2</v>
      </c>
      <c r="J372" t="s">
        <v>43</v>
      </c>
      <c r="K372" t="s">
        <v>43</v>
      </c>
      <c r="L372" t="s">
        <v>43</v>
      </c>
      <c r="M372" t="s">
        <v>42</v>
      </c>
      <c r="N372" t="s">
        <v>42</v>
      </c>
      <c r="O372">
        <v>3</v>
      </c>
      <c r="P372">
        <v>2</v>
      </c>
      <c r="Q372">
        <v>2</v>
      </c>
      <c r="R372">
        <v>1</v>
      </c>
      <c r="S372">
        <v>1</v>
      </c>
      <c r="T372">
        <f t="shared" si="25"/>
        <v>2</v>
      </c>
      <c r="U372" t="str" cm="1">
        <f t="array" ref="U372">_xlfn.IFS(T372&lt;3, "low", AND(T372&gt;=3, T372&lt;5), "med", T372&gt;=5, "high")</f>
        <v>low</v>
      </c>
      <c r="V372">
        <v>4</v>
      </c>
      <c r="W372" t="str" cm="1">
        <f t="array" ref="W372">_xlfn.IFS(V372&lt;5, "low", AND(V372&gt;=5, V372&lt;10), "med", V372&gt;=10, "high")</f>
        <v>low</v>
      </c>
      <c r="X372">
        <v>7</v>
      </c>
      <c r="Y372">
        <v>7</v>
      </c>
      <c r="Z372">
        <v>9</v>
      </c>
      <c r="AA372">
        <f t="shared" si="26"/>
        <v>0</v>
      </c>
      <c r="AB372">
        <f t="shared" si="27"/>
        <v>0</v>
      </c>
      <c r="AC372">
        <f t="shared" si="28"/>
        <v>0</v>
      </c>
      <c r="AD372" s="1">
        <f t="shared" si="29"/>
        <v>7.666666666666667</v>
      </c>
    </row>
    <row r="373" spans="1:30" x14ac:dyDescent="0.35">
      <c r="A373" t="s">
        <v>50</v>
      </c>
      <c r="B373">
        <v>18</v>
      </c>
      <c r="C373" t="s">
        <v>52</v>
      </c>
      <c r="D373" t="s">
        <v>47</v>
      </c>
      <c r="E373" t="s">
        <v>44</v>
      </c>
      <c r="F373" t="s">
        <v>38</v>
      </c>
      <c r="G373" t="s">
        <v>48</v>
      </c>
      <c r="H373">
        <v>1</v>
      </c>
      <c r="I373">
        <v>0</v>
      </c>
      <c r="J373" t="s">
        <v>43</v>
      </c>
      <c r="K373" t="s">
        <v>42</v>
      </c>
      <c r="L373" t="s">
        <v>42</v>
      </c>
      <c r="M373" t="s">
        <v>42</v>
      </c>
      <c r="N373" t="s">
        <v>42</v>
      </c>
      <c r="O373">
        <v>4</v>
      </c>
      <c r="P373">
        <v>3</v>
      </c>
      <c r="Q373">
        <v>3</v>
      </c>
      <c r="R373">
        <v>2</v>
      </c>
      <c r="S373">
        <v>3</v>
      </c>
      <c r="T373">
        <f t="shared" si="25"/>
        <v>5</v>
      </c>
      <c r="U373" t="str" cm="1">
        <f t="array" ref="U373">_xlfn.IFS(T373&lt;3, "low", AND(T373&gt;=3, T373&lt;5), "med", T373&gt;=5, "high")</f>
        <v>high</v>
      </c>
      <c r="V373">
        <v>3</v>
      </c>
      <c r="W373" t="str" cm="1">
        <f t="array" ref="W373">_xlfn.IFS(V373&lt;5, "low", AND(V373&gt;=5, V373&lt;10), "med", V373&gt;=10, "high")</f>
        <v>low</v>
      </c>
      <c r="X373">
        <v>14</v>
      </c>
      <c r="Y373">
        <v>12</v>
      </c>
      <c r="Z373">
        <v>12</v>
      </c>
      <c r="AA373">
        <f t="shared" si="26"/>
        <v>1</v>
      </c>
      <c r="AB373">
        <f t="shared" si="27"/>
        <v>0</v>
      </c>
      <c r="AC373">
        <f t="shared" si="28"/>
        <v>1</v>
      </c>
      <c r="AD373" s="1">
        <f t="shared" si="29"/>
        <v>12.666666666666666</v>
      </c>
    </row>
    <row r="374" spans="1:30" x14ac:dyDescent="0.35">
      <c r="A374" t="s">
        <v>34</v>
      </c>
      <c r="B374">
        <v>17</v>
      </c>
      <c r="C374" t="s">
        <v>35</v>
      </c>
      <c r="D374" t="s">
        <v>36</v>
      </c>
      <c r="E374" t="s">
        <v>44</v>
      </c>
      <c r="F374" t="s">
        <v>45</v>
      </c>
      <c r="G374" t="s">
        <v>38</v>
      </c>
      <c r="H374">
        <v>3</v>
      </c>
      <c r="I374">
        <v>0</v>
      </c>
      <c r="J374" t="s">
        <v>43</v>
      </c>
      <c r="K374" t="s">
        <v>43</v>
      </c>
      <c r="L374" t="s">
        <v>43</v>
      </c>
      <c r="M374" t="s">
        <v>42</v>
      </c>
      <c r="N374" t="s">
        <v>42</v>
      </c>
      <c r="O374">
        <v>3</v>
      </c>
      <c r="P374">
        <v>4</v>
      </c>
      <c r="Q374">
        <v>3</v>
      </c>
      <c r="R374">
        <v>1</v>
      </c>
      <c r="S374">
        <v>1</v>
      </c>
      <c r="T374">
        <f t="shared" si="25"/>
        <v>2</v>
      </c>
      <c r="U374" t="str" cm="1">
        <f t="array" ref="U374">_xlfn.IFS(T374&lt;3, "low", AND(T374&gt;=3, T374&lt;5), "med", T374&gt;=5, "high")</f>
        <v>low</v>
      </c>
      <c r="V374">
        <v>8</v>
      </c>
      <c r="W374" t="str" cm="1">
        <f t="array" ref="W374">_xlfn.IFS(V374&lt;5, "low", AND(V374&gt;=5, V374&lt;10), "med", V374&gt;=10, "high")</f>
        <v>med</v>
      </c>
      <c r="X374">
        <v>13</v>
      </c>
      <c r="Y374">
        <v>11</v>
      </c>
      <c r="Z374">
        <v>11</v>
      </c>
      <c r="AA374">
        <f t="shared" si="26"/>
        <v>1</v>
      </c>
      <c r="AB374">
        <f t="shared" si="27"/>
        <v>0</v>
      </c>
      <c r="AC374">
        <f t="shared" si="28"/>
        <v>1</v>
      </c>
      <c r="AD374" s="1">
        <f t="shared" si="29"/>
        <v>11.666666666666666</v>
      </c>
    </row>
    <row r="375" spans="1:30" x14ac:dyDescent="0.35">
      <c r="A375" t="s">
        <v>34</v>
      </c>
      <c r="B375">
        <v>17</v>
      </c>
      <c r="C375" t="s">
        <v>52</v>
      </c>
      <c r="D375" t="s">
        <v>36</v>
      </c>
      <c r="E375" t="s">
        <v>44</v>
      </c>
      <c r="F375" t="s">
        <v>45</v>
      </c>
      <c r="G375" t="s">
        <v>45</v>
      </c>
      <c r="H375">
        <v>1</v>
      </c>
      <c r="I375">
        <v>0</v>
      </c>
      <c r="J375" t="s">
        <v>43</v>
      </c>
      <c r="K375" t="s">
        <v>43</v>
      </c>
      <c r="L375" t="s">
        <v>43</v>
      </c>
      <c r="M375" t="s">
        <v>42</v>
      </c>
      <c r="N375" t="s">
        <v>43</v>
      </c>
      <c r="O375">
        <v>3</v>
      </c>
      <c r="P375">
        <v>5</v>
      </c>
      <c r="Q375">
        <v>5</v>
      </c>
      <c r="R375">
        <v>1</v>
      </c>
      <c r="S375">
        <v>3</v>
      </c>
      <c r="T375">
        <f t="shared" si="25"/>
        <v>4</v>
      </c>
      <c r="U375" t="str" cm="1">
        <f t="array" ref="U375">_xlfn.IFS(T375&lt;3, "low", AND(T375&gt;=3, T375&lt;5), "med", T375&gt;=5, "high")</f>
        <v>med</v>
      </c>
      <c r="V375">
        <v>14</v>
      </c>
      <c r="W375" t="str" cm="1">
        <f t="array" ref="W375">_xlfn.IFS(V375&lt;5, "low", AND(V375&gt;=5, V375&lt;10), "med", V375&gt;=10, "high")</f>
        <v>high</v>
      </c>
      <c r="X375">
        <v>6</v>
      </c>
      <c r="Y375">
        <v>5</v>
      </c>
      <c r="Z375">
        <v>5</v>
      </c>
      <c r="AA375">
        <f t="shared" si="26"/>
        <v>1</v>
      </c>
      <c r="AB375">
        <f t="shared" si="27"/>
        <v>0</v>
      </c>
      <c r="AC375">
        <f t="shared" si="28"/>
        <v>1</v>
      </c>
      <c r="AD375" s="1">
        <f t="shared" si="29"/>
        <v>5.333333333333333</v>
      </c>
    </row>
    <row r="376" spans="1:30" x14ac:dyDescent="0.35">
      <c r="A376" t="s">
        <v>34</v>
      </c>
      <c r="B376">
        <v>18</v>
      </c>
      <c r="C376" t="s">
        <v>52</v>
      </c>
      <c r="D376" t="s">
        <v>47</v>
      </c>
      <c r="E376" t="s">
        <v>44</v>
      </c>
      <c r="F376" t="s">
        <v>45</v>
      </c>
      <c r="G376" t="s">
        <v>45</v>
      </c>
      <c r="H376">
        <v>3</v>
      </c>
      <c r="I376">
        <v>0</v>
      </c>
      <c r="J376" t="s">
        <v>43</v>
      </c>
      <c r="K376" t="s">
        <v>43</v>
      </c>
      <c r="L376" t="s">
        <v>43</v>
      </c>
      <c r="M376" t="s">
        <v>43</v>
      </c>
      <c r="N376" t="s">
        <v>43</v>
      </c>
      <c r="O376">
        <v>5</v>
      </c>
      <c r="P376">
        <v>4</v>
      </c>
      <c r="Q376">
        <v>4</v>
      </c>
      <c r="R376">
        <v>1</v>
      </c>
      <c r="S376">
        <v>1</v>
      </c>
      <c r="T376">
        <f t="shared" si="25"/>
        <v>2</v>
      </c>
      <c r="U376" t="str" cm="1">
        <f t="array" ref="U376">_xlfn.IFS(T376&lt;3, "low", AND(T376&gt;=3, T376&lt;5), "med", T376&gt;=5, "high")</f>
        <v>low</v>
      </c>
      <c r="V376">
        <v>0</v>
      </c>
      <c r="W376" t="str" cm="1">
        <f t="array" ref="W376">_xlfn.IFS(V376&lt;5, "low", AND(V376&gt;=5, V376&lt;10), "med", V376&gt;=10, "high")</f>
        <v>low</v>
      </c>
      <c r="X376">
        <v>19</v>
      </c>
      <c r="Y376">
        <v>18</v>
      </c>
      <c r="Z376">
        <v>19</v>
      </c>
      <c r="AA376">
        <f t="shared" si="26"/>
        <v>1</v>
      </c>
      <c r="AB376">
        <f t="shared" si="27"/>
        <v>0</v>
      </c>
      <c r="AC376">
        <f t="shared" si="28"/>
        <v>1</v>
      </c>
      <c r="AD376" s="1">
        <f t="shared" si="29"/>
        <v>18.666666666666668</v>
      </c>
    </row>
    <row r="377" spans="1:30" x14ac:dyDescent="0.35">
      <c r="A377" t="s">
        <v>34</v>
      </c>
      <c r="B377">
        <v>18</v>
      </c>
      <c r="C377" t="s">
        <v>52</v>
      </c>
      <c r="D377" t="s">
        <v>36</v>
      </c>
      <c r="E377" t="s">
        <v>44</v>
      </c>
      <c r="F377" t="s">
        <v>45</v>
      </c>
      <c r="G377" t="s">
        <v>45</v>
      </c>
      <c r="H377">
        <v>3</v>
      </c>
      <c r="I377">
        <v>0</v>
      </c>
      <c r="J377" t="s">
        <v>43</v>
      </c>
      <c r="K377" t="s">
        <v>43</v>
      </c>
      <c r="L377" t="s">
        <v>43</v>
      </c>
      <c r="M377" t="s">
        <v>43</v>
      </c>
      <c r="N377" t="s">
        <v>43</v>
      </c>
      <c r="O377">
        <v>4</v>
      </c>
      <c r="P377">
        <v>3</v>
      </c>
      <c r="Q377">
        <v>2</v>
      </c>
      <c r="R377">
        <v>1</v>
      </c>
      <c r="S377">
        <v>2</v>
      </c>
      <c r="T377">
        <f t="shared" si="25"/>
        <v>3</v>
      </c>
      <c r="U377" t="str" cm="1">
        <f t="array" ref="U377">_xlfn.IFS(T377&lt;3, "low", AND(T377&gt;=3, T377&lt;5), "med", T377&gt;=5, "high")</f>
        <v>med</v>
      </c>
      <c r="V377">
        <v>2</v>
      </c>
      <c r="W377" t="str" cm="1">
        <f t="array" ref="W377">_xlfn.IFS(V377&lt;5, "low", AND(V377&gt;=5, V377&lt;10), "med", V377&gt;=10, "high")</f>
        <v>low</v>
      </c>
      <c r="X377">
        <v>8</v>
      </c>
      <c r="Y377">
        <v>8</v>
      </c>
      <c r="Z377">
        <v>10</v>
      </c>
      <c r="AA377">
        <f t="shared" si="26"/>
        <v>0</v>
      </c>
      <c r="AB377">
        <f t="shared" si="27"/>
        <v>0</v>
      </c>
      <c r="AC377">
        <f t="shared" si="28"/>
        <v>0</v>
      </c>
      <c r="AD377" s="1">
        <f t="shared" si="29"/>
        <v>8.6666666666666661</v>
      </c>
    </row>
    <row r="378" spans="1:30" x14ac:dyDescent="0.35">
      <c r="A378" t="s">
        <v>34</v>
      </c>
      <c r="B378">
        <v>20</v>
      </c>
      <c r="C378" t="s">
        <v>35</v>
      </c>
      <c r="D378" t="s">
        <v>36</v>
      </c>
      <c r="E378" t="s">
        <v>44</v>
      </c>
      <c r="F378" t="s">
        <v>28</v>
      </c>
      <c r="G378" t="s">
        <v>45</v>
      </c>
      <c r="H378">
        <v>3</v>
      </c>
      <c r="I378">
        <v>2</v>
      </c>
      <c r="J378" t="s">
        <v>43</v>
      </c>
      <c r="K378" t="s">
        <v>42</v>
      </c>
      <c r="L378" t="s">
        <v>42</v>
      </c>
      <c r="M378" t="s">
        <v>43</v>
      </c>
      <c r="N378" t="s">
        <v>42</v>
      </c>
      <c r="O378">
        <v>5</v>
      </c>
      <c r="P378">
        <v>4</v>
      </c>
      <c r="Q378">
        <v>3</v>
      </c>
      <c r="R378">
        <v>1</v>
      </c>
      <c r="S378">
        <v>1</v>
      </c>
      <c r="T378">
        <f t="shared" si="25"/>
        <v>2</v>
      </c>
      <c r="U378" t="str" cm="1">
        <f t="array" ref="U378">_xlfn.IFS(T378&lt;3, "low", AND(T378&gt;=3, T378&lt;5), "med", T378&gt;=5, "high")</f>
        <v>low</v>
      </c>
      <c r="V378">
        <v>4</v>
      </c>
      <c r="W378" t="str" cm="1">
        <f t="array" ref="W378">_xlfn.IFS(V378&lt;5, "low", AND(V378&gt;=5, V378&lt;10), "med", V378&gt;=10, "high")</f>
        <v>low</v>
      </c>
      <c r="X378">
        <v>15</v>
      </c>
      <c r="Y378">
        <v>14</v>
      </c>
      <c r="Z378">
        <v>15</v>
      </c>
      <c r="AA378">
        <f t="shared" si="26"/>
        <v>1</v>
      </c>
      <c r="AB378">
        <f t="shared" si="27"/>
        <v>0</v>
      </c>
      <c r="AC378">
        <f t="shared" si="28"/>
        <v>1</v>
      </c>
      <c r="AD378" s="1">
        <f t="shared" si="29"/>
        <v>14.666666666666666</v>
      </c>
    </row>
    <row r="379" spans="1:30" x14ac:dyDescent="0.35">
      <c r="A379" t="s">
        <v>34</v>
      </c>
      <c r="B379">
        <v>18</v>
      </c>
      <c r="C379" t="s">
        <v>52</v>
      </c>
      <c r="D379" t="s">
        <v>47</v>
      </c>
      <c r="E379" t="s">
        <v>44</v>
      </c>
      <c r="F379" t="s">
        <v>39</v>
      </c>
      <c r="G379" t="s">
        <v>48</v>
      </c>
      <c r="H379">
        <v>2</v>
      </c>
      <c r="I379">
        <v>0</v>
      </c>
      <c r="J379" t="s">
        <v>43</v>
      </c>
      <c r="K379" t="s">
        <v>43</v>
      </c>
      <c r="L379" t="s">
        <v>42</v>
      </c>
      <c r="M379" t="s">
        <v>42</v>
      </c>
      <c r="N379" t="s">
        <v>43</v>
      </c>
      <c r="O379">
        <v>5</v>
      </c>
      <c r="P379">
        <v>4</v>
      </c>
      <c r="Q379">
        <v>3</v>
      </c>
      <c r="R379">
        <v>3</v>
      </c>
      <c r="S379">
        <v>4</v>
      </c>
      <c r="T379">
        <f t="shared" si="25"/>
        <v>7</v>
      </c>
      <c r="U379" t="str" cm="1">
        <f t="array" ref="U379">_xlfn.IFS(T379&lt;3, "low", AND(T379&gt;=3, T379&lt;5), "med", T379&gt;=5, "high")</f>
        <v>high</v>
      </c>
      <c r="V379">
        <v>4</v>
      </c>
      <c r="W379" t="str" cm="1">
        <f t="array" ref="W379">_xlfn.IFS(V379&lt;5, "low", AND(V379&gt;=5, V379&lt;10), "med", V379&gt;=10, "high")</f>
        <v>low</v>
      </c>
      <c r="X379">
        <v>8</v>
      </c>
      <c r="Y379">
        <v>9</v>
      </c>
      <c r="Z379">
        <v>10</v>
      </c>
      <c r="AA379">
        <f t="shared" si="26"/>
        <v>0</v>
      </c>
      <c r="AB379">
        <f t="shared" si="27"/>
        <v>0</v>
      </c>
      <c r="AC379">
        <f t="shared" si="28"/>
        <v>0</v>
      </c>
      <c r="AD379" s="1">
        <f t="shared" si="29"/>
        <v>9</v>
      </c>
    </row>
    <row r="380" spans="1:30" x14ac:dyDescent="0.35">
      <c r="A380" t="s">
        <v>34</v>
      </c>
      <c r="B380">
        <v>18</v>
      </c>
      <c r="C380" t="s">
        <v>35</v>
      </c>
      <c r="D380" t="s">
        <v>36</v>
      </c>
      <c r="E380" t="s">
        <v>44</v>
      </c>
      <c r="F380" t="s">
        <v>45</v>
      </c>
      <c r="G380" t="s">
        <v>45</v>
      </c>
      <c r="H380">
        <v>2</v>
      </c>
      <c r="I380">
        <v>0</v>
      </c>
      <c r="J380" t="s">
        <v>43</v>
      </c>
      <c r="K380" t="s">
        <v>43</v>
      </c>
      <c r="L380" t="s">
        <v>42</v>
      </c>
      <c r="M380" t="s">
        <v>43</v>
      </c>
      <c r="N380" t="s">
        <v>42</v>
      </c>
      <c r="O380">
        <v>4</v>
      </c>
      <c r="P380">
        <v>1</v>
      </c>
      <c r="Q380">
        <v>3</v>
      </c>
      <c r="R380">
        <v>1</v>
      </c>
      <c r="S380">
        <v>2</v>
      </c>
      <c r="T380">
        <f t="shared" si="25"/>
        <v>3</v>
      </c>
      <c r="U380" t="str" cm="1">
        <f t="array" ref="U380">_xlfn.IFS(T380&lt;3, "low", AND(T380&gt;=3, T380&lt;5), "med", T380&gt;=5, "high")</f>
        <v>med</v>
      </c>
      <c r="V380">
        <v>0</v>
      </c>
      <c r="W380" t="str" cm="1">
        <f t="array" ref="W380">_xlfn.IFS(V380&lt;5, "low", AND(V380&gt;=5, V380&lt;10), "med", V380&gt;=10, "high")</f>
        <v>low</v>
      </c>
      <c r="X380">
        <v>15</v>
      </c>
      <c r="Y380">
        <v>15</v>
      </c>
      <c r="Z380">
        <v>15</v>
      </c>
      <c r="AA380">
        <f t="shared" si="26"/>
        <v>0</v>
      </c>
      <c r="AB380">
        <f t="shared" si="27"/>
        <v>0</v>
      </c>
      <c r="AC380">
        <f t="shared" si="28"/>
        <v>0</v>
      </c>
      <c r="AD380" s="1">
        <f t="shared" si="29"/>
        <v>15</v>
      </c>
    </row>
    <row r="381" spans="1:30" x14ac:dyDescent="0.35">
      <c r="A381" t="s">
        <v>34</v>
      </c>
      <c r="B381">
        <v>17</v>
      </c>
      <c r="C381" t="s">
        <v>52</v>
      </c>
      <c r="D381" t="s">
        <v>36</v>
      </c>
      <c r="E381" t="s">
        <v>44</v>
      </c>
      <c r="F381" t="s">
        <v>38</v>
      </c>
      <c r="G381" t="s">
        <v>45</v>
      </c>
      <c r="H381">
        <v>2</v>
      </c>
      <c r="I381">
        <v>0</v>
      </c>
      <c r="J381" t="s">
        <v>43</v>
      </c>
      <c r="K381" t="s">
        <v>42</v>
      </c>
      <c r="L381" t="s">
        <v>42</v>
      </c>
      <c r="M381" t="s">
        <v>42</v>
      </c>
      <c r="N381" t="s">
        <v>43</v>
      </c>
      <c r="O381">
        <v>4</v>
      </c>
      <c r="P381">
        <v>5</v>
      </c>
      <c r="Q381">
        <v>4</v>
      </c>
      <c r="R381">
        <v>2</v>
      </c>
      <c r="S381">
        <v>3</v>
      </c>
      <c r="T381">
        <f t="shared" si="25"/>
        <v>5</v>
      </c>
      <c r="U381" t="str" cm="1">
        <f t="array" ref="U381">_xlfn.IFS(T381&lt;3, "low", AND(T381&gt;=3, T381&lt;5), "med", T381&gt;=5, "high")</f>
        <v>high</v>
      </c>
      <c r="V381">
        <v>17</v>
      </c>
      <c r="W381" t="str" cm="1">
        <f t="array" ref="W381">_xlfn.IFS(V381&lt;5, "low", AND(V381&gt;=5, V381&lt;10), "med", V381&gt;=10, "high")</f>
        <v>high</v>
      </c>
      <c r="X381">
        <v>10</v>
      </c>
      <c r="Y381">
        <v>10</v>
      </c>
      <c r="Z381">
        <v>10</v>
      </c>
      <c r="AA381">
        <f t="shared" si="26"/>
        <v>0</v>
      </c>
      <c r="AB381">
        <f t="shared" si="27"/>
        <v>0</v>
      </c>
      <c r="AC381">
        <f t="shared" si="28"/>
        <v>0</v>
      </c>
      <c r="AD381" s="1">
        <f t="shared" si="29"/>
        <v>10</v>
      </c>
    </row>
    <row r="382" spans="1:30" x14ac:dyDescent="0.35">
      <c r="A382" t="s">
        <v>50</v>
      </c>
      <c r="B382">
        <v>18</v>
      </c>
      <c r="C382" t="s">
        <v>35</v>
      </c>
      <c r="D382" t="s">
        <v>36</v>
      </c>
      <c r="E382" t="s">
        <v>44</v>
      </c>
      <c r="F382" t="s">
        <v>39</v>
      </c>
      <c r="G382" t="s">
        <v>39</v>
      </c>
      <c r="H382">
        <v>2</v>
      </c>
      <c r="I382">
        <v>0</v>
      </c>
      <c r="J382" t="s">
        <v>43</v>
      </c>
      <c r="K382" t="s">
        <v>43</v>
      </c>
      <c r="L382" t="s">
        <v>42</v>
      </c>
      <c r="M382" t="s">
        <v>42</v>
      </c>
      <c r="N382" t="s">
        <v>43</v>
      </c>
      <c r="O382">
        <v>3</v>
      </c>
      <c r="P382">
        <v>2</v>
      </c>
      <c r="Q382">
        <v>4</v>
      </c>
      <c r="R382">
        <v>1</v>
      </c>
      <c r="S382">
        <v>4</v>
      </c>
      <c r="T382">
        <f t="shared" si="25"/>
        <v>5</v>
      </c>
      <c r="U382" t="str" cm="1">
        <f t="array" ref="U382">_xlfn.IFS(T382&lt;3, "low", AND(T382&gt;=3, T382&lt;5), "med", T382&gt;=5, "high")</f>
        <v>high</v>
      </c>
      <c r="V382">
        <v>4</v>
      </c>
      <c r="W382" t="str" cm="1">
        <f t="array" ref="W382">_xlfn.IFS(V382&lt;5, "low", AND(V382&gt;=5, V382&lt;10), "med", V382&gt;=10, "high")</f>
        <v>low</v>
      </c>
      <c r="X382">
        <v>15</v>
      </c>
      <c r="Y382">
        <v>14</v>
      </c>
      <c r="Z382">
        <v>14</v>
      </c>
      <c r="AA382">
        <f t="shared" si="26"/>
        <v>1</v>
      </c>
      <c r="AB382">
        <f t="shared" si="27"/>
        <v>0</v>
      </c>
      <c r="AC382">
        <f t="shared" si="28"/>
        <v>1</v>
      </c>
      <c r="AD382" s="1">
        <f t="shared" si="29"/>
        <v>14.333333333333334</v>
      </c>
    </row>
    <row r="383" spans="1:30" x14ac:dyDescent="0.35">
      <c r="A383" t="s">
        <v>50</v>
      </c>
      <c r="B383">
        <v>18</v>
      </c>
      <c r="C383" t="s">
        <v>52</v>
      </c>
      <c r="D383" t="s">
        <v>36</v>
      </c>
      <c r="E383" t="s">
        <v>44</v>
      </c>
      <c r="F383" t="s">
        <v>45</v>
      </c>
      <c r="G383" t="s">
        <v>45</v>
      </c>
      <c r="H383">
        <v>1</v>
      </c>
      <c r="I383">
        <v>0</v>
      </c>
      <c r="J383" t="s">
        <v>43</v>
      </c>
      <c r="K383" t="s">
        <v>43</v>
      </c>
      <c r="L383" t="s">
        <v>43</v>
      </c>
      <c r="M383" t="s">
        <v>42</v>
      </c>
      <c r="N383" t="s">
        <v>42</v>
      </c>
      <c r="O383">
        <v>4</v>
      </c>
      <c r="P383">
        <v>4</v>
      </c>
      <c r="Q383">
        <v>3</v>
      </c>
      <c r="R383">
        <v>1</v>
      </c>
      <c r="S383">
        <v>3</v>
      </c>
      <c r="T383">
        <f t="shared" si="25"/>
        <v>4</v>
      </c>
      <c r="U383" t="str" cm="1">
        <f t="array" ref="U383">_xlfn.IFS(T383&lt;3, "low", AND(T383&gt;=3, T383&lt;5), "med", T383&gt;=5, "high")</f>
        <v>med</v>
      </c>
      <c r="V383">
        <v>5</v>
      </c>
      <c r="W383" t="str" cm="1">
        <f t="array" ref="W383">_xlfn.IFS(V383&lt;5, "low", AND(V383&gt;=5, V383&lt;10), "med", V383&gt;=10, "high")</f>
        <v>med</v>
      </c>
      <c r="X383">
        <v>7</v>
      </c>
      <c r="Y383">
        <v>6</v>
      </c>
      <c r="Z383">
        <v>7</v>
      </c>
      <c r="AA383">
        <f t="shared" si="26"/>
        <v>1</v>
      </c>
      <c r="AB383">
        <f t="shared" si="27"/>
        <v>0</v>
      </c>
      <c r="AC383">
        <f t="shared" si="28"/>
        <v>1</v>
      </c>
      <c r="AD383" s="1">
        <f t="shared" si="29"/>
        <v>6.666666666666667</v>
      </c>
    </row>
    <row r="384" spans="1:30" x14ac:dyDescent="0.35">
      <c r="A384" t="s">
        <v>50</v>
      </c>
      <c r="B384">
        <v>17</v>
      </c>
      <c r="C384" t="s">
        <v>35</v>
      </c>
      <c r="D384" t="s">
        <v>36</v>
      </c>
      <c r="E384" t="s">
        <v>44</v>
      </c>
      <c r="F384" t="s">
        <v>45</v>
      </c>
      <c r="G384" t="s">
        <v>48</v>
      </c>
      <c r="H384">
        <v>2</v>
      </c>
      <c r="I384">
        <v>0</v>
      </c>
      <c r="J384" t="s">
        <v>43</v>
      </c>
      <c r="K384" t="s">
        <v>43</v>
      </c>
      <c r="L384" t="s">
        <v>43</v>
      </c>
      <c r="M384" t="s">
        <v>42</v>
      </c>
      <c r="N384" t="s">
        <v>43</v>
      </c>
      <c r="O384">
        <v>4</v>
      </c>
      <c r="P384">
        <v>4</v>
      </c>
      <c r="Q384">
        <v>3</v>
      </c>
      <c r="R384">
        <v>1</v>
      </c>
      <c r="S384">
        <v>1</v>
      </c>
      <c r="T384">
        <f t="shared" si="25"/>
        <v>2</v>
      </c>
      <c r="U384" t="str" cm="1">
        <f t="array" ref="U384">_xlfn.IFS(T384&lt;3, "low", AND(T384&gt;=3, T384&lt;5), "med", T384&gt;=5, "high")</f>
        <v>low</v>
      </c>
      <c r="V384">
        <v>2</v>
      </c>
      <c r="W384" t="str" cm="1">
        <f t="array" ref="W384">_xlfn.IFS(V384&lt;5, "low", AND(V384&gt;=5, V384&lt;10), "med", V384&gt;=10, "high")</f>
        <v>low</v>
      </c>
      <c r="X384">
        <v>11</v>
      </c>
      <c r="Y384">
        <v>11</v>
      </c>
      <c r="Z384">
        <v>10</v>
      </c>
      <c r="AA384">
        <f t="shared" si="26"/>
        <v>0</v>
      </c>
      <c r="AB384">
        <f t="shared" si="27"/>
        <v>1</v>
      </c>
      <c r="AC384">
        <f t="shared" si="28"/>
        <v>1</v>
      </c>
      <c r="AD384" s="1">
        <f t="shared" si="29"/>
        <v>10.666666666666666</v>
      </c>
    </row>
    <row r="385" spans="1:30" x14ac:dyDescent="0.35">
      <c r="A385" t="s">
        <v>50</v>
      </c>
      <c r="B385">
        <v>19</v>
      </c>
      <c r="C385" t="s">
        <v>52</v>
      </c>
      <c r="D385" t="s">
        <v>36</v>
      </c>
      <c r="E385" t="s">
        <v>44</v>
      </c>
      <c r="F385" t="s">
        <v>45</v>
      </c>
      <c r="G385" t="s">
        <v>48</v>
      </c>
      <c r="H385">
        <v>1</v>
      </c>
      <c r="I385">
        <v>1</v>
      </c>
      <c r="J385" t="s">
        <v>43</v>
      </c>
      <c r="K385" t="s">
        <v>43</v>
      </c>
      <c r="L385" t="s">
        <v>43</v>
      </c>
      <c r="M385" t="s">
        <v>43</v>
      </c>
      <c r="N385" t="s">
        <v>43</v>
      </c>
      <c r="O385">
        <v>4</v>
      </c>
      <c r="P385">
        <v>3</v>
      </c>
      <c r="Q385">
        <v>2</v>
      </c>
      <c r="R385">
        <v>1</v>
      </c>
      <c r="S385">
        <v>3</v>
      </c>
      <c r="T385">
        <f t="shared" si="25"/>
        <v>4</v>
      </c>
      <c r="U385" t="str" cm="1">
        <f t="array" ref="U385">_xlfn.IFS(T385&lt;3, "low", AND(T385&gt;=3, T385&lt;5), "med", T385&gt;=5, "high")</f>
        <v>med</v>
      </c>
      <c r="V385">
        <v>0</v>
      </c>
      <c r="W385" t="str" cm="1">
        <f t="array" ref="W385">_xlfn.IFS(V385&lt;5, "low", AND(V385&gt;=5, V385&lt;10), "med", V385&gt;=10, "high")</f>
        <v>low</v>
      </c>
      <c r="X385">
        <v>6</v>
      </c>
      <c r="Y385">
        <v>5</v>
      </c>
      <c r="Z385">
        <v>0</v>
      </c>
      <c r="AA385">
        <f t="shared" si="26"/>
        <v>1</v>
      </c>
      <c r="AB385">
        <f t="shared" si="27"/>
        <v>1</v>
      </c>
      <c r="AC385">
        <f t="shared" si="28"/>
        <v>2</v>
      </c>
      <c r="AD385" s="1">
        <f t="shared" si="29"/>
        <v>3.6666666666666665</v>
      </c>
    </row>
    <row r="386" spans="1:30" x14ac:dyDescent="0.35">
      <c r="A386" t="s">
        <v>50</v>
      </c>
      <c r="B386">
        <v>18</v>
      </c>
      <c r="C386" t="s">
        <v>52</v>
      </c>
      <c r="D386" t="s">
        <v>36</v>
      </c>
      <c r="E386" t="s">
        <v>44</v>
      </c>
      <c r="F386" t="s">
        <v>45</v>
      </c>
      <c r="G386" t="s">
        <v>45</v>
      </c>
      <c r="H386">
        <v>1</v>
      </c>
      <c r="I386">
        <v>1</v>
      </c>
      <c r="J386" t="s">
        <v>43</v>
      </c>
      <c r="K386" t="s">
        <v>43</v>
      </c>
      <c r="L386" t="s">
        <v>42</v>
      </c>
      <c r="M386" t="s">
        <v>43</v>
      </c>
      <c r="N386" t="s">
        <v>43</v>
      </c>
      <c r="O386">
        <v>5</v>
      </c>
      <c r="P386">
        <v>4</v>
      </c>
      <c r="Q386">
        <v>3</v>
      </c>
      <c r="R386">
        <v>4</v>
      </c>
      <c r="S386">
        <v>3</v>
      </c>
      <c r="T386">
        <f t="shared" si="25"/>
        <v>7</v>
      </c>
      <c r="U386" t="str" cm="1">
        <f t="array" ref="U386">_xlfn.IFS(T386&lt;3, "low", AND(T386&gt;=3, T386&lt;5), "med", T386&gt;=5, "high")</f>
        <v>high</v>
      </c>
      <c r="V386">
        <v>14</v>
      </c>
      <c r="W386" t="str" cm="1">
        <f t="array" ref="W386">_xlfn.IFS(V386&lt;5, "low", AND(V386&gt;=5, V386&lt;10), "med", V386&gt;=10, "high")</f>
        <v>high</v>
      </c>
      <c r="X386">
        <v>6</v>
      </c>
      <c r="Y386">
        <v>5</v>
      </c>
      <c r="Z386">
        <v>5</v>
      </c>
      <c r="AA386">
        <f t="shared" si="26"/>
        <v>1</v>
      </c>
      <c r="AB386">
        <f t="shared" si="27"/>
        <v>0</v>
      </c>
      <c r="AC386">
        <f t="shared" si="28"/>
        <v>1</v>
      </c>
      <c r="AD386" s="1">
        <f t="shared" si="29"/>
        <v>5.333333333333333</v>
      </c>
    </row>
    <row r="387" spans="1:30" x14ac:dyDescent="0.35">
      <c r="A387" t="s">
        <v>34</v>
      </c>
      <c r="B387">
        <v>18</v>
      </c>
      <c r="C387" t="s">
        <v>52</v>
      </c>
      <c r="D387" t="s">
        <v>36</v>
      </c>
      <c r="E387" t="s">
        <v>44</v>
      </c>
      <c r="F387" t="s">
        <v>38</v>
      </c>
      <c r="G387" t="s">
        <v>45</v>
      </c>
      <c r="H387">
        <v>3</v>
      </c>
      <c r="I387">
        <v>0</v>
      </c>
      <c r="J387" t="s">
        <v>43</v>
      </c>
      <c r="K387" t="s">
        <v>43</v>
      </c>
      <c r="L387" t="s">
        <v>42</v>
      </c>
      <c r="M387" t="s">
        <v>43</v>
      </c>
      <c r="N387" t="s">
        <v>43</v>
      </c>
      <c r="O387">
        <v>5</v>
      </c>
      <c r="P387">
        <v>3</v>
      </c>
      <c r="Q387">
        <v>3</v>
      </c>
      <c r="R387">
        <v>1</v>
      </c>
      <c r="S387">
        <v>3</v>
      </c>
      <c r="T387">
        <f t="shared" ref="T387:T450" si="30">R387+S387</f>
        <v>4</v>
      </c>
      <c r="U387" t="str" cm="1">
        <f t="array" ref="U387">_xlfn.IFS(T387&lt;3, "low", AND(T387&gt;=3, T387&lt;5), "med", T387&gt;=5, "high")</f>
        <v>med</v>
      </c>
      <c r="V387">
        <v>2</v>
      </c>
      <c r="W387" t="str" cm="1">
        <f t="array" ref="W387">_xlfn.IFS(V387&lt;5, "low", AND(V387&gt;=5, V387&lt;10), "med", V387&gt;=10, "high")</f>
        <v>low</v>
      </c>
      <c r="X387">
        <v>10</v>
      </c>
      <c r="Y387">
        <v>9</v>
      </c>
      <c r="Z387">
        <v>10</v>
      </c>
      <c r="AA387">
        <f t="shared" ref="AA387:AA450" si="31">IF(Y387&lt;X387,1,0)</f>
        <v>1</v>
      </c>
      <c r="AB387">
        <f t="shared" ref="AB387:AB450" si="32">IF(Z387&lt;Y387,1,0)</f>
        <v>0</v>
      </c>
      <c r="AC387">
        <f t="shared" ref="AC387:AC450" si="33">SUM(AA387:AB387)</f>
        <v>1</v>
      </c>
      <c r="AD387" s="1">
        <f t="shared" ref="AD387:AD450" si="34">AVERAGE(X387:Z387)</f>
        <v>9.6666666666666661</v>
      </c>
    </row>
    <row r="388" spans="1:30" x14ac:dyDescent="0.35">
      <c r="A388" t="s">
        <v>34</v>
      </c>
      <c r="B388">
        <v>18</v>
      </c>
      <c r="C388" t="s">
        <v>52</v>
      </c>
      <c r="D388" t="s">
        <v>36</v>
      </c>
      <c r="E388" t="s">
        <v>44</v>
      </c>
      <c r="F388" t="s">
        <v>39</v>
      </c>
      <c r="G388" t="s">
        <v>38</v>
      </c>
      <c r="H388">
        <v>1</v>
      </c>
      <c r="I388">
        <v>0</v>
      </c>
      <c r="J388" t="s">
        <v>43</v>
      </c>
      <c r="K388" t="s">
        <v>42</v>
      </c>
      <c r="L388" t="s">
        <v>42</v>
      </c>
      <c r="M388" t="s">
        <v>42</v>
      </c>
      <c r="N388" t="s">
        <v>42</v>
      </c>
      <c r="O388">
        <v>4</v>
      </c>
      <c r="P388">
        <v>4</v>
      </c>
      <c r="Q388">
        <v>3</v>
      </c>
      <c r="R388">
        <v>2</v>
      </c>
      <c r="S388">
        <v>2</v>
      </c>
      <c r="T388">
        <f t="shared" si="30"/>
        <v>4</v>
      </c>
      <c r="U388" t="str" cm="1">
        <f t="array" ref="U388">_xlfn.IFS(T388&lt;3, "low", AND(T388&gt;=3, T388&lt;5), "med", T388&gt;=5, "high")</f>
        <v>med</v>
      </c>
      <c r="V388">
        <v>7</v>
      </c>
      <c r="W388" t="str" cm="1">
        <f t="array" ref="W388">_xlfn.IFS(V388&lt;5, "low", AND(V388&gt;=5, V388&lt;10), "med", V388&gt;=10, "high")</f>
        <v>med</v>
      </c>
      <c r="X388">
        <v>6</v>
      </c>
      <c r="Y388">
        <v>5</v>
      </c>
      <c r="Z388">
        <v>6</v>
      </c>
      <c r="AA388">
        <f t="shared" si="31"/>
        <v>1</v>
      </c>
      <c r="AB388">
        <f t="shared" si="32"/>
        <v>0</v>
      </c>
      <c r="AC388">
        <f t="shared" si="33"/>
        <v>1</v>
      </c>
      <c r="AD388" s="1">
        <f t="shared" si="34"/>
        <v>5.666666666666667</v>
      </c>
    </row>
    <row r="389" spans="1:30" x14ac:dyDescent="0.35">
      <c r="A389" t="s">
        <v>34</v>
      </c>
      <c r="B389">
        <v>19</v>
      </c>
      <c r="C389" t="s">
        <v>52</v>
      </c>
      <c r="D389" t="s">
        <v>36</v>
      </c>
      <c r="E389" t="s">
        <v>44</v>
      </c>
      <c r="F389" t="s">
        <v>48</v>
      </c>
      <c r="G389" t="s">
        <v>45</v>
      </c>
      <c r="H389">
        <v>3</v>
      </c>
      <c r="I389">
        <v>1</v>
      </c>
      <c r="J389" t="s">
        <v>43</v>
      </c>
      <c r="K389" t="s">
        <v>43</v>
      </c>
      <c r="L389" t="s">
        <v>43</v>
      </c>
      <c r="M389" t="s">
        <v>42</v>
      </c>
      <c r="N389" t="s">
        <v>43</v>
      </c>
      <c r="O389">
        <v>5</v>
      </c>
      <c r="P389">
        <v>4</v>
      </c>
      <c r="Q389">
        <v>2</v>
      </c>
      <c r="R389">
        <v>1</v>
      </c>
      <c r="S389">
        <v>2</v>
      </c>
      <c r="T389">
        <f t="shared" si="30"/>
        <v>3</v>
      </c>
      <c r="U389" t="str" cm="1">
        <f t="array" ref="U389">_xlfn.IFS(T389&lt;3, "low", AND(T389&gt;=3, T389&lt;5), "med", T389&gt;=5, "high")</f>
        <v>med</v>
      </c>
      <c r="V389">
        <v>0</v>
      </c>
      <c r="W389" t="str" cm="1">
        <f t="array" ref="W389">_xlfn.IFS(V389&lt;5, "low", AND(V389&gt;=5, V389&lt;10), "med", V389&gt;=10, "high")</f>
        <v>low</v>
      </c>
      <c r="X389">
        <v>7</v>
      </c>
      <c r="Y389">
        <v>5</v>
      </c>
      <c r="Z389">
        <v>0</v>
      </c>
      <c r="AA389">
        <f t="shared" si="31"/>
        <v>1</v>
      </c>
      <c r="AB389">
        <f t="shared" si="32"/>
        <v>1</v>
      </c>
      <c r="AC389">
        <f t="shared" si="33"/>
        <v>2</v>
      </c>
      <c r="AD389" s="1">
        <f t="shared" si="34"/>
        <v>4</v>
      </c>
    </row>
    <row r="390" spans="1:30" x14ac:dyDescent="0.35">
      <c r="A390" t="s">
        <v>34</v>
      </c>
      <c r="B390">
        <v>18</v>
      </c>
      <c r="C390" t="s">
        <v>35</v>
      </c>
      <c r="D390" t="s">
        <v>47</v>
      </c>
      <c r="E390" t="s">
        <v>44</v>
      </c>
      <c r="F390" t="s">
        <v>39</v>
      </c>
      <c r="G390" t="s">
        <v>48</v>
      </c>
      <c r="H390">
        <v>2</v>
      </c>
      <c r="I390">
        <v>0</v>
      </c>
      <c r="J390" t="s">
        <v>43</v>
      </c>
      <c r="K390" t="s">
        <v>42</v>
      </c>
      <c r="L390" t="s">
        <v>42</v>
      </c>
      <c r="M390" t="s">
        <v>43</v>
      </c>
      <c r="N390" t="s">
        <v>43</v>
      </c>
      <c r="O390">
        <v>4</v>
      </c>
      <c r="P390">
        <v>3</v>
      </c>
      <c r="Q390">
        <v>4</v>
      </c>
      <c r="R390">
        <v>1</v>
      </c>
      <c r="S390">
        <v>1</v>
      </c>
      <c r="T390">
        <f t="shared" si="30"/>
        <v>2</v>
      </c>
      <c r="U390" t="str" cm="1">
        <f t="array" ref="U390">_xlfn.IFS(T390&lt;3, "low", AND(T390&gt;=3, T390&lt;5), "med", T390&gt;=5, "high")</f>
        <v>low</v>
      </c>
      <c r="V390">
        <v>0</v>
      </c>
      <c r="W390" t="str" cm="1">
        <f t="array" ref="W390">_xlfn.IFS(V390&lt;5, "low", AND(V390&gt;=5, V390&lt;10), "med", V390&gt;=10, "high")</f>
        <v>low</v>
      </c>
      <c r="X390">
        <v>7</v>
      </c>
      <c r="Y390">
        <v>9</v>
      </c>
      <c r="Z390">
        <v>8</v>
      </c>
      <c r="AA390">
        <f t="shared" si="31"/>
        <v>0</v>
      </c>
      <c r="AB390">
        <f t="shared" si="32"/>
        <v>1</v>
      </c>
      <c r="AC390">
        <f t="shared" si="33"/>
        <v>1</v>
      </c>
      <c r="AD390" s="1">
        <f t="shared" si="34"/>
        <v>8</v>
      </c>
    </row>
    <row r="391" spans="1:30" x14ac:dyDescent="0.35">
      <c r="A391" t="s">
        <v>34</v>
      </c>
      <c r="B391">
        <v>18</v>
      </c>
      <c r="C391" t="s">
        <v>35</v>
      </c>
      <c r="D391" t="s">
        <v>36</v>
      </c>
      <c r="E391" t="s">
        <v>44</v>
      </c>
      <c r="F391" t="s">
        <v>45</v>
      </c>
      <c r="G391" t="s">
        <v>45</v>
      </c>
      <c r="H391">
        <v>2</v>
      </c>
      <c r="I391">
        <v>1</v>
      </c>
      <c r="J391" t="s">
        <v>43</v>
      </c>
      <c r="K391" t="s">
        <v>43</v>
      </c>
      <c r="L391" t="s">
        <v>43</v>
      </c>
      <c r="M391" t="s">
        <v>42</v>
      </c>
      <c r="N391" t="s">
        <v>43</v>
      </c>
      <c r="O391">
        <v>1</v>
      </c>
      <c r="P391">
        <v>1</v>
      </c>
      <c r="Q391">
        <v>1</v>
      </c>
      <c r="R391">
        <v>1</v>
      </c>
      <c r="S391">
        <v>1</v>
      </c>
      <c r="T391">
        <f t="shared" si="30"/>
        <v>2</v>
      </c>
      <c r="U391" t="str" cm="1">
        <f t="array" ref="U391">_xlfn.IFS(T391&lt;3, "low", AND(T391&gt;=3, T391&lt;5), "med", T391&gt;=5, "high")</f>
        <v>low</v>
      </c>
      <c r="V391">
        <v>0</v>
      </c>
      <c r="W391" t="str" cm="1">
        <f t="array" ref="W391">_xlfn.IFS(V391&lt;5, "low", AND(V391&gt;=5, V391&lt;10), "med", V391&gt;=10, "high")</f>
        <v>low</v>
      </c>
      <c r="X391">
        <v>6</v>
      </c>
      <c r="Y391">
        <v>5</v>
      </c>
      <c r="Z391">
        <v>0</v>
      </c>
      <c r="AA391">
        <f t="shared" si="31"/>
        <v>1</v>
      </c>
      <c r="AB391">
        <f t="shared" si="32"/>
        <v>1</v>
      </c>
      <c r="AC391">
        <f t="shared" si="33"/>
        <v>2</v>
      </c>
      <c r="AD391" s="1">
        <f t="shared" si="34"/>
        <v>3.6666666666666665</v>
      </c>
    </row>
    <row r="392" spans="1:30" x14ac:dyDescent="0.35">
      <c r="A392" t="s">
        <v>50</v>
      </c>
      <c r="B392">
        <v>20</v>
      </c>
      <c r="C392" t="s">
        <v>35</v>
      </c>
      <c r="D392" t="s">
        <v>47</v>
      </c>
      <c r="E392" t="s">
        <v>37</v>
      </c>
      <c r="F392" t="s">
        <v>48</v>
      </c>
      <c r="G392" t="s">
        <v>48</v>
      </c>
      <c r="H392">
        <v>2</v>
      </c>
      <c r="I392">
        <v>2</v>
      </c>
      <c r="J392" t="s">
        <v>43</v>
      </c>
      <c r="K392" t="s">
        <v>42</v>
      </c>
      <c r="L392" t="s">
        <v>42</v>
      </c>
      <c r="M392" t="s">
        <v>43</v>
      </c>
      <c r="N392" t="s">
        <v>43</v>
      </c>
      <c r="O392">
        <v>5</v>
      </c>
      <c r="P392">
        <v>5</v>
      </c>
      <c r="Q392">
        <v>4</v>
      </c>
      <c r="R392">
        <v>4</v>
      </c>
      <c r="S392">
        <v>5</v>
      </c>
      <c r="T392">
        <f t="shared" si="30"/>
        <v>9</v>
      </c>
      <c r="U392" t="str" cm="1">
        <f t="array" ref="U392">_xlfn.IFS(T392&lt;3, "low", AND(T392&gt;=3, T392&lt;5), "med", T392&gt;=5, "high")</f>
        <v>high</v>
      </c>
      <c r="V392">
        <v>11</v>
      </c>
      <c r="W392" t="str" cm="1">
        <f t="array" ref="W392">_xlfn.IFS(V392&lt;5, "low", AND(V392&gt;=5, V392&lt;10), "med", V392&gt;=10, "high")</f>
        <v>high</v>
      </c>
      <c r="X392">
        <v>9</v>
      </c>
      <c r="Y392">
        <v>9</v>
      </c>
      <c r="Z392">
        <v>9</v>
      </c>
      <c r="AA392">
        <f t="shared" si="31"/>
        <v>0</v>
      </c>
      <c r="AB392">
        <f t="shared" si="32"/>
        <v>0</v>
      </c>
      <c r="AC392">
        <f t="shared" si="33"/>
        <v>0</v>
      </c>
      <c r="AD392" s="1">
        <f t="shared" si="34"/>
        <v>9</v>
      </c>
    </row>
    <row r="393" spans="1:30" x14ac:dyDescent="0.35">
      <c r="A393" t="s">
        <v>50</v>
      </c>
      <c r="B393">
        <v>17</v>
      </c>
      <c r="C393" t="s">
        <v>35</v>
      </c>
      <c r="D393" t="s">
        <v>47</v>
      </c>
      <c r="E393" t="s">
        <v>44</v>
      </c>
      <c r="F393" t="s">
        <v>48</v>
      </c>
      <c r="G393" t="s">
        <v>48</v>
      </c>
      <c r="H393">
        <v>1</v>
      </c>
      <c r="I393">
        <v>0</v>
      </c>
      <c r="J393" t="s">
        <v>43</v>
      </c>
      <c r="K393" t="s">
        <v>43</v>
      </c>
      <c r="L393" t="s">
        <v>43</v>
      </c>
      <c r="M393" t="s">
        <v>43</v>
      </c>
      <c r="N393" t="s">
        <v>43</v>
      </c>
      <c r="O393">
        <v>2</v>
      </c>
      <c r="P393">
        <v>4</v>
      </c>
      <c r="Q393">
        <v>5</v>
      </c>
      <c r="R393">
        <v>3</v>
      </c>
      <c r="S393">
        <v>4</v>
      </c>
      <c r="T393">
        <f t="shared" si="30"/>
        <v>7</v>
      </c>
      <c r="U393" t="str" cm="1">
        <f t="array" ref="U393">_xlfn.IFS(T393&lt;3, "low", AND(T393&gt;=3, T393&lt;5), "med", T393&gt;=5, "high")</f>
        <v>high</v>
      </c>
      <c r="V393">
        <v>3</v>
      </c>
      <c r="W393" t="str" cm="1">
        <f t="array" ref="W393">_xlfn.IFS(V393&lt;5, "low", AND(V393&gt;=5, V393&lt;10), "med", V393&gt;=10, "high")</f>
        <v>low</v>
      </c>
      <c r="X393">
        <v>14</v>
      </c>
      <c r="Y393">
        <v>16</v>
      </c>
      <c r="Z393">
        <v>16</v>
      </c>
      <c r="AA393">
        <f t="shared" si="31"/>
        <v>0</v>
      </c>
      <c r="AB393">
        <f t="shared" si="32"/>
        <v>0</v>
      </c>
      <c r="AC393">
        <f t="shared" si="33"/>
        <v>0</v>
      </c>
      <c r="AD393" s="1">
        <f t="shared" si="34"/>
        <v>15.333333333333334</v>
      </c>
    </row>
    <row r="394" spans="1:30" x14ac:dyDescent="0.35">
      <c r="A394" t="s">
        <v>50</v>
      </c>
      <c r="B394">
        <v>21</v>
      </c>
      <c r="C394" t="s">
        <v>52</v>
      </c>
      <c r="D394" t="s">
        <v>36</v>
      </c>
      <c r="E394" t="s">
        <v>44</v>
      </c>
      <c r="F394" t="s">
        <v>45</v>
      </c>
      <c r="G394" t="s">
        <v>45</v>
      </c>
      <c r="H394">
        <v>1</v>
      </c>
      <c r="I394">
        <v>3</v>
      </c>
      <c r="J394" t="s">
        <v>43</v>
      </c>
      <c r="K394" t="s">
        <v>43</v>
      </c>
      <c r="L394" t="s">
        <v>43</v>
      </c>
      <c r="M394" t="s">
        <v>43</v>
      </c>
      <c r="N394" t="s">
        <v>43</v>
      </c>
      <c r="O394">
        <v>5</v>
      </c>
      <c r="P394">
        <v>5</v>
      </c>
      <c r="Q394">
        <v>3</v>
      </c>
      <c r="R394">
        <v>3</v>
      </c>
      <c r="S394">
        <v>3</v>
      </c>
      <c r="T394">
        <f t="shared" si="30"/>
        <v>6</v>
      </c>
      <c r="U394" t="str" cm="1">
        <f t="array" ref="U394">_xlfn.IFS(T394&lt;3, "low", AND(T394&gt;=3, T394&lt;5), "med", T394&gt;=5, "high")</f>
        <v>high</v>
      </c>
      <c r="V394">
        <v>3</v>
      </c>
      <c r="W394" t="str" cm="1">
        <f t="array" ref="W394">_xlfn.IFS(V394&lt;5, "low", AND(V394&gt;=5, V394&lt;10), "med", V394&gt;=10, "high")</f>
        <v>low</v>
      </c>
      <c r="X394">
        <v>10</v>
      </c>
      <c r="Y394">
        <v>8</v>
      </c>
      <c r="Z394">
        <v>7</v>
      </c>
      <c r="AA394">
        <f t="shared" si="31"/>
        <v>1</v>
      </c>
      <c r="AB394">
        <f t="shared" si="32"/>
        <v>1</v>
      </c>
      <c r="AC394">
        <f t="shared" si="33"/>
        <v>2</v>
      </c>
      <c r="AD394" s="1">
        <f t="shared" si="34"/>
        <v>8.3333333333333339</v>
      </c>
    </row>
    <row r="395" spans="1:30" x14ac:dyDescent="0.35">
      <c r="A395" t="s">
        <v>50</v>
      </c>
      <c r="B395">
        <v>18</v>
      </c>
      <c r="C395" t="s">
        <v>52</v>
      </c>
      <c r="D395" t="s">
        <v>47</v>
      </c>
      <c r="E395" t="s">
        <v>44</v>
      </c>
      <c r="F395" t="s">
        <v>48</v>
      </c>
      <c r="G395" t="s">
        <v>45</v>
      </c>
      <c r="H395">
        <v>1</v>
      </c>
      <c r="I395">
        <v>0</v>
      </c>
      <c r="J395" t="s">
        <v>43</v>
      </c>
      <c r="K395" t="s">
        <v>43</v>
      </c>
      <c r="L395" t="s">
        <v>43</v>
      </c>
      <c r="M395" t="s">
        <v>43</v>
      </c>
      <c r="N395" t="s">
        <v>43</v>
      </c>
      <c r="O395">
        <v>4</v>
      </c>
      <c r="P395">
        <v>4</v>
      </c>
      <c r="Q395">
        <v>1</v>
      </c>
      <c r="R395">
        <v>3</v>
      </c>
      <c r="S395">
        <v>4</v>
      </c>
      <c r="T395">
        <f t="shared" si="30"/>
        <v>7</v>
      </c>
      <c r="U395" t="str" cm="1">
        <f t="array" ref="U395">_xlfn.IFS(T395&lt;3, "low", AND(T395&gt;=3, T395&lt;5), "med", T395&gt;=5, "high")</f>
        <v>high</v>
      </c>
      <c r="V395">
        <v>0</v>
      </c>
      <c r="W395" t="str" cm="1">
        <f t="array" ref="W395">_xlfn.IFS(V395&lt;5, "low", AND(V395&gt;=5, V395&lt;10), "med", V395&gt;=10, "high")</f>
        <v>low</v>
      </c>
      <c r="X395">
        <v>11</v>
      </c>
      <c r="Y395">
        <v>12</v>
      </c>
      <c r="Z395">
        <v>10</v>
      </c>
      <c r="AA395">
        <f t="shared" si="31"/>
        <v>0</v>
      </c>
      <c r="AB395">
        <f t="shared" si="32"/>
        <v>1</v>
      </c>
      <c r="AC395">
        <f t="shared" si="33"/>
        <v>1</v>
      </c>
      <c r="AD395" s="1">
        <f t="shared" si="34"/>
        <v>11</v>
      </c>
    </row>
    <row r="396" spans="1:30" x14ac:dyDescent="0.35">
      <c r="A396" t="s">
        <v>50</v>
      </c>
      <c r="B396">
        <v>19</v>
      </c>
      <c r="C396" t="s">
        <v>35</v>
      </c>
      <c r="D396" t="s">
        <v>47</v>
      </c>
      <c r="E396" t="s">
        <v>44</v>
      </c>
      <c r="F396" t="s">
        <v>45</v>
      </c>
      <c r="G396" t="s">
        <v>38</v>
      </c>
      <c r="H396">
        <v>1</v>
      </c>
      <c r="I396">
        <v>0</v>
      </c>
      <c r="J396" t="s">
        <v>43</v>
      </c>
      <c r="K396" t="s">
        <v>43</v>
      </c>
      <c r="L396" t="s">
        <v>43</v>
      </c>
      <c r="M396" t="s">
        <v>43</v>
      </c>
      <c r="N396" t="s">
        <v>43</v>
      </c>
      <c r="O396">
        <v>3</v>
      </c>
      <c r="P396">
        <v>2</v>
      </c>
      <c r="Q396">
        <v>3</v>
      </c>
      <c r="R396">
        <v>3</v>
      </c>
      <c r="S396">
        <v>3</v>
      </c>
      <c r="T396">
        <f t="shared" si="30"/>
        <v>6</v>
      </c>
      <c r="U396" t="str" cm="1">
        <f t="array" ref="U396">_xlfn.IFS(T396&lt;3, "low", AND(T396&gt;=3, T396&lt;5), "med", T396&gt;=5, "high")</f>
        <v>high</v>
      </c>
      <c r="V396">
        <v>5</v>
      </c>
      <c r="W396" t="str" cm="1">
        <f t="array" ref="W396">_xlfn.IFS(V396&lt;5, "low", AND(V396&gt;=5, V396&lt;10), "med", V396&gt;=10, "high")</f>
        <v>med</v>
      </c>
      <c r="X396">
        <v>8</v>
      </c>
      <c r="Y396">
        <v>9</v>
      </c>
      <c r="Z396">
        <v>9</v>
      </c>
      <c r="AA396">
        <f t="shared" si="31"/>
        <v>0</v>
      </c>
      <c r="AB396">
        <f t="shared" si="32"/>
        <v>0</v>
      </c>
      <c r="AC396">
        <f t="shared" si="33"/>
        <v>0</v>
      </c>
      <c r="AD396" s="1">
        <f t="shared" si="34"/>
        <v>8.6666666666666661</v>
      </c>
    </row>
    <row r="397" spans="1:30" x14ac:dyDescent="0.35">
      <c r="A397" t="s">
        <v>34</v>
      </c>
      <c r="B397">
        <v>18</v>
      </c>
      <c r="C397" t="s">
        <v>35</v>
      </c>
      <c r="D397" t="s">
        <v>36</v>
      </c>
      <c r="E397" t="s">
        <v>37</v>
      </c>
      <c r="F397" t="s">
        <v>38</v>
      </c>
      <c r="G397" t="s">
        <v>39</v>
      </c>
      <c r="H397">
        <v>2</v>
      </c>
      <c r="I397">
        <v>0</v>
      </c>
      <c r="J397" t="s">
        <v>42</v>
      </c>
      <c r="K397" t="s">
        <v>43</v>
      </c>
      <c r="L397" t="s">
        <v>43</v>
      </c>
      <c r="M397" t="s">
        <v>43</v>
      </c>
      <c r="N397" t="s">
        <v>43</v>
      </c>
      <c r="O397">
        <v>4</v>
      </c>
      <c r="P397">
        <v>3</v>
      </c>
      <c r="Q397">
        <v>4</v>
      </c>
      <c r="R397">
        <v>1</v>
      </c>
      <c r="S397">
        <v>1</v>
      </c>
      <c r="T397">
        <f t="shared" si="30"/>
        <v>2</v>
      </c>
      <c r="U397" t="str" cm="1">
        <f t="array" ref="U397">_xlfn.IFS(T397&lt;3, "low", AND(T397&gt;=3, T397&lt;5), "med", T397&gt;=5, "high")</f>
        <v>low</v>
      </c>
      <c r="V397">
        <v>4</v>
      </c>
      <c r="W397" t="str" cm="1">
        <f t="array" ref="W397">_xlfn.IFS(V397&lt;5, "low", AND(V397&gt;=5, V397&lt;10), "med", V397&gt;=10, "high")</f>
        <v>low</v>
      </c>
      <c r="X397">
        <v>0</v>
      </c>
      <c r="Y397">
        <v>11</v>
      </c>
      <c r="Z397">
        <v>11</v>
      </c>
      <c r="AA397">
        <f t="shared" si="31"/>
        <v>0</v>
      </c>
      <c r="AB397">
        <f t="shared" si="32"/>
        <v>0</v>
      </c>
      <c r="AC397">
        <f t="shared" si="33"/>
        <v>0</v>
      </c>
      <c r="AD397" s="1">
        <f t="shared" si="34"/>
        <v>7.333333333333333</v>
      </c>
    </row>
    <row r="398" spans="1:30" x14ac:dyDescent="0.35">
      <c r="A398" t="s">
        <v>34</v>
      </c>
      <c r="B398">
        <v>17</v>
      </c>
      <c r="C398" t="s">
        <v>35</v>
      </c>
      <c r="D398" t="s">
        <v>36</v>
      </c>
      <c r="E398" t="s">
        <v>44</v>
      </c>
      <c r="F398" t="s">
        <v>38</v>
      </c>
      <c r="G398" t="s">
        <v>45</v>
      </c>
      <c r="H398">
        <v>2</v>
      </c>
      <c r="I398">
        <v>0</v>
      </c>
      <c r="J398" t="s">
        <v>43</v>
      </c>
      <c r="K398" t="s">
        <v>42</v>
      </c>
      <c r="L398" t="s">
        <v>43</v>
      </c>
      <c r="M398" t="s">
        <v>43</v>
      </c>
      <c r="N398" t="s">
        <v>43</v>
      </c>
      <c r="O398">
        <v>5</v>
      </c>
      <c r="P398">
        <v>3</v>
      </c>
      <c r="Q398">
        <v>3</v>
      </c>
      <c r="R398">
        <v>1</v>
      </c>
      <c r="S398">
        <v>1</v>
      </c>
      <c r="T398">
        <f t="shared" si="30"/>
        <v>2</v>
      </c>
      <c r="U398" t="str" cm="1">
        <f t="array" ref="U398">_xlfn.IFS(T398&lt;3, "low", AND(T398&gt;=3, T398&lt;5), "med", T398&gt;=5, "high")</f>
        <v>low</v>
      </c>
      <c r="V398">
        <v>2</v>
      </c>
      <c r="W398" t="str" cm="1">
        <f t="array" ref="W398">_xlfn.IFS(V398&lt;5, "low", AND(V398&gt;=5, V398&lt;10), "med", V398&gt;=10, "high")</f>
        <v>low</v>
      </c>
      <c r="X398">
        <v>9</v>
      </c>
      <c r="Y398">
        <v>11</v>
      </c>
      <c r="Z398">
        <v>11</v>
      </c>
      <c r="AA398">
        <f t="shared" si="31"/>
        <v>0</v>
      </c>
      <c r="AB398">
        <f t="shared" si="32"/>
        <v>0</v>
      </c>
      <c r="AC398">
        <f t="shared" si="33"/>
        <v>0</v>
      </c>
      <c r="AD398" s="1">
        <f t="shared" si="34"/>
        <v>10.333333333333334</v>
      </c>
    </row>
    <row r="399" spans="1:30" x14ac:dyDescent="0.35">
      <c r="A399" t="s">
        <v>34</v>
      </c>
      <c r="B399">
        <v>15</v>
      </c>
      <c r="C399" t="s">
        <v>35</v>
      </c>
      <c r="D399" t="s">
        <v>47</v>
      </c>
      <c r="E399" t="s">
        <v>44</v>
      </c>
      <c r="F399" t="s">
        <v>38</v>
      </c>
      <c r="G399" t="s">
        <v>45</v>
      </c>
      <c r="H399">
        <v>2</v>
      </c>
      <c r="I399">
        <v>0</v>
      </c>
      <c r="J399" t="s">
        <v>42</v>
      </c>
      <c r="K399" t="s">
        <v>43</v>
      </c>
      <c r="L399" t="s">
        <v>43</v>
      </c>
      <c r="M399" t="s">
        <v>43</v>
      </c>
      <c r="N399" t="s">
        <v>43</v>
      </c>
      <c r="O399">
        <v>4</v>
      </c>
      <c r="P399">
        <v>3</v>
      </c>
      <c r="Q399">
        <v>2</v>
      </c>
      <c r="R399">
        <v>2</v>
      </c>
      <c r="S399">
        <v>3</v>
      </c>
      <c r="T399">
        <f t="shared" si="30"/>
        <v>5</v>
      </c>
      <c r="U399" t="str" cm="1">
        <f t="array" ref="U399">_xlfn.IFS(T399&lt;3, "low", AND(T399&gt;=3, T399&lt;5), "med", T399&gt;=5, "high")</f>
        <v>high</v>
      </c>
      <c r="V399">
        <v>6</v>
      </c>
      <c r="W399" t="str" cm="1">
        <f t="array" ref="W399">_xlfn.IFS(V399&lt;5, "low", AND(V399&gt;=5, V399&lt;10), "med", V399&gt;=10, "high")</f>
        <v>med</v>
      </c>
      <c r="X399">
        <v>12</v>
      </c>
      <c r="Y399">
        <v>13</v>
      </c>
      <c r="Z399">
        <v>12</v>
      </c>
      <c r="AA399">
        <f t="shared" si="31"/>
        <v>0</v>
      </c>
      <c r="AB399">
        <f t="shared" si="32"/>
        <v>1</v>
      </c>
      <c r="AC399">
        <f t="shared" si="33"/>
        <v>1</v>
      </c>
      <c r="AD399" s="1">
        <f t="shared" si="34"/>
        <v>12.333333333333334</v>
      </c>
    </row>
    <row r="400" spans="1:30" x14ac:dyDescent="0.35">
      <c r="A400" t="s">
        <v>34</v>
      </c>
      <c r="B400">
        <v>15</v>
      </c>
      <c r="C400" t="s">
        <v>35</v>
      </c>
      <c r="D400" t="s">
        <v>36</v>
      </c>
      <c r="E400" t="s">
        <v>44</v>
      </c>
      <c r="F400" t="s">
        <v>28</v>
      </c>
      <c r="G400" t="s">
        <v>48</v>
      </c>
      <c r="H400">
        <v>3</v>
      </c>
      <c r="I400">
        <v>0</v>
      </c>
      <c r="J400" t="s">
        <v>43</v>
      </c>
      <c r="K400" t="s">
        <v>42</v>
      </c>
      <c r="L400" t="s">
        <v>43</v>
      </c>
      <c r="M400" t="s">
        <v>42</v>
      </c>
      <c r="N400" t="s">
        <v>42</v>
      </c>
      <c r="O400">
        <v>3</v>
      </c>
      <c r="P400">
        <v>2</v>
      </c>
      <c r="Q400">
        <v>2</v>
      </c>
      <c r="R400">
        <v>1</v>
      </c>
      <c r="S400">
        <v>1</v>
      </c>
      <c r="T400">
        <f t="shared" si="30"/>
        <v>2</v>
      </c>
      <c r="U400" t="str" cm="1">
        <f t="array" ref="U400">_xlfn.IFS(T400&lt;3, "low", AND(T400&gt;=3, T400&lt;5), "med", T400&gt;=5, "high")</f>
        <v>low</v>
      </c>
      <c r="V400">
        <v>0</v>
      </c>
      <c r="W400" t="str" cm="1">
        <f t="array" ref="W400">_xlfn.IFS(V400&lt;5, "low", AND(V400&gt;=5, V400&lt;10), "med", V400&gt;=10, "high")</f>
        <v>low</v>
      </c>
      <c r="X400">
        <v>14</v>
      </c>
      <c r="Y400">
        <v>14</v>
      </c>
      <c r="Z400">
        <v>14</v>
      </c>
      <c r="AA400">
        <f t="shared" si="31"/>
        <v>0</v>
      </c>
      <c r="AB400">
        <f t="shared" si="32"/>
        <v>0</v>
      </c>
      <c r="AC400">
        <f t="shared" si="33"/>
        <v>0</v>
      </c>
      <c r="AD400" s="1">
        <f t="shared" si="34"/>
        <v>14</v>
      </c>
    </row>
    <row r="401" spans="1:30" x14ac:dyDescent="0.35">
      <c r="A401" t="s">
        <v>34</v>
      </c>
      <c r="B401">
        <v>16</v>
      </c>
      <c r="C401" t="s">
        <v>35</v>
      </c>
      <c r="D401" t="s">
        <v>36</v>
      </c>
      <c r="E401" t="s">
        <v>44</v>
      </c>
      <c r="F401" t="s">
        <v>45</v>
      </c>
      <c r="G401" t="s">
        <v>45</v>
      </c>
      <c r="H401">
        <v>2</v>
      </c>
      <c r="I401">
        <v>0</v>
      </c>
      <c r="J401" t="s">
        <v>43</v>
      </c>
      <c r="K401" t="s">
        <v>42</v>
      </c>
      <c r="L401" t="s">
        <v>43</v>
      </c>
      <c r="M401" t="s">
        <v>43</v>
      </c>
      <c r="N401" t="s">
        <v>43</v>
      </c>
      <c r="O401">
        <v>4</v>
      </c>
      <c r="P401">
        <v>3</v>
      </c>
      <c r="Q401">
        <v>2</v>
      </c>
      <c r="R401">
        <v>1</v>
      </c>
      <c r="S401">
        <v>2</v>
      </c>
      <c r="T401">
        <f t="shared" si="30"/>
        <v>3</v>
      </c>
      <c r="U401" t="str" cm="1">
        <f t="array" ref="U401">_xlfn.IFS(T401&lt;3, "low", AND(T401&gt;=3, T401&lt;5), "med", T401&gt;=5, "high")</f>
        <v>med</v>
      </c>
      <c r="V401">
        <v>0</v>
      </c>
      <c r="W401" t="str" cm="1">
        <f t="array" ref="W401">_xlfn.IFS(V401&lt;5, "low", AND(V401&gt;=5, V401&lt;10), "med", V401&gt;=10, "high")</f>
        <v>low</v>
      </c>
      <c r="X401">
        <v>11</v>
      </c>
      <c r="Y401">
        <v>13</v>
      </c>
      <c r="Z401">
        <v>13</v>
      </c>
      <c r="AA401">
        <f t="shared" si="31"/>
        <v>0</v>
      </c>
      <c r="AB401">
        <f t="shared" si="32"/>
        <v>0</v>
      </c>
      <c r="AC401">
        <f t="shared" si="33"/>
        <v>0</v>
      </c>
      <c r="AD401" s="1">
        <f t="shared" si="34"/>
        <v>12.333333333333334</v>
      </c>
    </row>
    <row r="402" spans="1:30" x14ac:dyDescent="0.35">
      <c r="A402" t="s">
        <v>50</v>
      </c>
      <c r="B402">
        <v>16</v>
      </c>
      <c r="C402" t="s">
        <v>35</v>
      </c>
      <c r="D402" t="s">
        <v>47</v>
      </c>
      <c r="E402" t="s">
        <v>44</v>
      </c>
      <c r="F402" t="s">
        <v>48</v>
      </c>
      <c r="G402" t="s">
        <v>45</v>
      </c>
      <c r="H402">
        <v>2</v>
      </c>
      <c r="I402">
        <v>0</v>
      </c>
      <c r="J402" t="s">
        <v>43</v>
      </c>
      <c r="K402" t="s">
        <v>42</v>
      </c>
      <c r="L402" t="s">
        <v>43</v>
      </c>
      <c r="M402" t="s">
        <v>42</v>
      </c>
      <c r="N402" t="s">
        <v>43</v>
      </c>
      <c r="O402">
        <v>5</v>
      </c>
      <c r="P402">
        <v>4</v>
      </c>
      <c r="Q402">
        <v>2</v>
      </c>
      <c r="R402">
        <v>1</v>
      </c>
      <c r="S402">
        <v>2</v>
      </c>
      <c r="T402">
        <f t="shared" si="30"/>
        <v>3</v>
      </c>
      <c r="U402" t="str" cm="1">
        <f t="array" ref="U402">_xlfn.IFS(T402&lt;3, "low", AND(T402&gt;=3, T402&lt;5), "med", T402&gt;=5, "high")</f>
        <v>med</v>
      </c>
      <c r="V402">
        <v>6</v>
      </c>
      <c r="W402" t="str" cm="1">
        <f t="array" ref="W402">_xlfn.IFS(V402&lt;5, "low", AND(V402&gt;=5, V402&lt;10), "med", V402&gt;=10, "high")</f>
        <v>med</v>
      </c>
      <c r="X402">
        <v>12</v>
      </c>
      <c r="Y402">
        <v>12</v>
      </c>
      <c r="Z402">
        <v>13</v>
      </c>
      <c r="AA402">
        <f t="shared" si="31"/>
        <v>0</v>
      </c>
      <c r="AB402">
        <f t="shared" si="32"/>
        <v>0</v>
      </c>
      <c r="AC402">
        <f t="shared" si="33"/>
        <v>0</v>
      </c>
      <c r="AD402" s="1">
        <f t="shared" si="34"/>
        <v>12.333333333333334</v>
      </c>
    </row>
    <row r="403" spans="1:30" x14ac:dyDescent="0.35">
      <c r="A403" t="s">
        <v>50</v>
      </c>
      <c r="B403">
        <v>16</v>
      </c>
      <c r="C403" t="s">
        <v>35</v>
      </c>
      <c r="D403" t="s">
        <v>47</v>
      </c>
      <c r="E403" t="s">
        <v>44</v>
      </c>
      <c r="F403" t="s">
        <v>45</v>
      </c>
      <c r="G403" t="s">
        <v>45</v>
      </c>
      <c r="H403">
        <v>2</v>
      </c>
      <c r="I403">
        <v>0</v>
      </c>
      <c r="J403" t="s">
        <v>43</v>
      </c>
      <c r="K403" t="s">
        <v>43</v>
      </c>
      <c r="L403" t="s">
        <v>43</v>
      </c>
      <c r="M403" t="s">
        <v>43</v>
      </c>
      <c r="N403" t="s">
        <v>43</v>
      </c>
      <c r="O403">
        <v>4</v>
      </c>
      <c r="P403">
        <v>4</v>
      </c>
      <c r="Q403">
        <v>4</v>
      </c>
      <c r="R403">
        <v>1</v>
      </c>
      <c r="S403">
        <v>1</v>
      </c>
      <c r="T403">
        <f t="shared" si="30"/>
        <v>2</v>
      </c>
      <c r="U403" t="str" cm="1">
        <f t="array" ref="U403">_xlfn.IFS(T403&lt;3, "low", AND(T403&gt;=3, T403&lt;5), "med", T403&gt;=5, "high")</f>
        <v>low</v>
      </c>
      <c r="V403">
        <v>0</v>
      </c>
      <c r="W403" t="str" cm="1">
        <f t="array" ref="W403">_xlfn.IFS(V403&lt;5, "low", AND(V403&gt;=5, V403&lt;10), "med", V403&gt;=10, "high")</f>
        <v>low</v>
      </c>
      <c r="X403">
        <v>13</v>
      </c>
      <c r="Y403">
        <v>12</v>
      </c>
      <c r="Z403">
        <v>13</v>
      </c>
      <c r="AA403">
        <f t="shared" si="31"/>
        <v>1</v>
      </c>
      <c r="AB403">
        <f t="shared" si="32"/>
        <v>0</v>
      </c>
      <c r="AC403">
        <f t="shared" si="33"/>
        <v>1</v>
      </c>
      <c r="AD403" s="1">
        <f t="shared" si="34"/>
        <v>12.666666666666666</v>
      </c>
    </row>
    <row r="404" spans="1:30" x14ac:dyDescent="0.35">
      <c r="A404" t="s">
        <v>34</v>
      </c>
      <c r="B404">
        <v>17</v>
      </c>
      <c r="C404" t="s">
        <v>35</v>
      </c>
      <c r="D404" t="s">
        <v>36</v>
      </c>
      <c r="E404" t="s">
        <v>37</v>
      </c>
      <c r="F404" t="s">
        <v>45</v>
      </c>
      <c r="G404" t="s">
        <v>39</v>
      </c>
      <c r="H404">
        <v>2</v>
      </c>
      <c r="I404">
        <v>0</v>
      </c>
      <c r="J404" t="s">
        <v>42</v>
      </c>
      <c r="K404" t="s">
        <v>42</v>
      </c>
      <c r="L404" t="s">
        <v>43</v>
      </c>
      <c r="M404" t="s">
        <v>43</v>
      </c>
      <c r="N404" t="s">
        <v>43</v>
      </c>
      <c r="O404">
        <v>4</v>
      </c>
      <c r="P404">
        <v>1</v>
      </c>
      <c r="Q404">
        <v>4</v>
      </c>
      <c r="R404">
        <v>1</v>
      </c>
      <c r="S404">
        <v>1</v>
      </c>
      <c r="T404">
        <f t="shared" si="30"/>
        <v>2</v>
      </c>
      <c r="U404" t="str" cm="1">
        <f t="array" ref="U404">_xlfn.IFS(T404&lt;3, "low", AND(T404&gt;=3, T404&lt;5), "med", T404&gt;=5, "high")</f>
        <v>low</v>
      </c>
      <c r="V404">
        <v>2</v>
      </c>
      <c r="W404" t="str" cm="1">
        <f t="array" ref="W404">_xlfn.IFS(V404&lt;5, "low", AND(V404&gt;=5, V404&lt;10), "med", V404&gt;=10, "high")</f>
        <v>low</v>
      </c>
      <c r="X404">
        <v>10</v>
      </c>
      <c r="Y404">
        <v>13</v>
      </c>
      <c r="Z404">
        <v>13</v>
      </c>
      <c r="AA404">
        <f t="shared" si="31"/>
        <v>0</v>
      </c>
      <c r="AB404">
        <f t="shared" si="32"/>
        <v>0</v>
      </c>
      <c r="AC404">
        <f t="shared" si="33"/>
        <v>0</v>
      </c>
      <c r="AD404" s="1">
        <f t="shared" si="34"/>
        <v>12</v>
      </c>
    </row>
    <row r="405" spans="1:30" x14ac:dyDescent="0.35">
      <c r="A405" t="s">
        <v>50</v>
      </c>
      <c r="B405">
        <v>15</v>
      </c>
      <c r="C405" t="s">
        <v>35</v>
      </c>
      <c r="D405" t="s">
        <v>47</v>
      </c>
      <c r="E405" t="s">
        <v>37</v>
      </c>
      <c r="F405" t="s">
        <v>48</v>
      </c>
      <c r="G405" t="s">
        <v>45</v>
      </c>
      <c r="H405">
        <v>2</v>
      </c>
      <c r="I405">
        <v>0</v>
      </c>
      <c r="J405" t="s">
        <v>43</v>
      </c>
      <c r="K405" t="s">
        <v>42</v>
      </c>
      <c r="L405" t="s">
        <v>43</v>
      </c>
      <c r="M405" t="s">
        <v>43</v>
      </c>
      <c r="N405" t="s">
        <v>43</v>
      </c>
      <c r="O405">
        <v>4</v>
      </c>
      <c r="P405">
        <v>2</v>
      </c>
      <c r="Q405">
        <v>2</v>
      </c>
      <c r="R405">
        <v>1</v>
      </c>
      <c r="S405">
        <v>1</v>
      </c>
      <c r="T405">
        <f t="shared" si="30"/>
        <v>2</v>
      </c>
      <c r="U405" t="str" cm="1">
        <f t="array" ref="U405">_xlfn.IFS(T405&lt;3, "low", AND(T405&gt;=3, T405&lt;5), "med", T405&gt;=5, "high")</f>
        <v>low</v>
      </c>
      <c r="V405">
        <v>0</v>
      </c>
      <c r="W405" t="str" cm="1">
        <f t="array" ref="W405">_xlfn.IFS(V405&lt;5, "low", AND(V405&gt;=5, V405&lt;10), "med", V405&gt;=10, "high")</f>
        <v>low</v>
      </c>
      <c r="X405">
        <v>15</v>
      </c>
      <c r="Y405">
        <v>16</v>
      </c>
      <c r="Z405">
        <v>17</v>
      </c>
      <c r="AA405">
        <f t="shared" si="31"/>
        <v>0</v>
      </c>
      <c r="AB405">
        <f t="shared" si="32"/>
        <v>0</v>
      </c>
      <c r="AC405">
        <f t="shared" si="33"/>
        <v>0</v>
      </c>
      <c r="AD405" s="1">
        <f t="shared" si="34"/>
        <v>16</v>
      </c>
    </row>
    <row r="406" spans="1:30" x14ac:dyDescent="0.35">
      <c r="A406" t="s">
        <v>50</v>
      </c>
      <c r="B406">
        <v>15</v>
      </c>
      <c r="C406" t="s">
        <v>35</v>
      </c>
      <c r="D406" t="s">
        <v>36</v>
      </c>
      <c r="E406" t="s">
        <v>44</v>
      </c>
      <c r="F406" t="s">
        <v>45</v>
      </c>
      <c r="G406" t="s">
        <v>45</v>
      </c>
      <c r="H406">
        <v>2</v>
      </c>
      <c r="I406">
        <v>0</v>
      </c>
      <c r="J406" t="s">
        <v>43</v>
      </c>
      <c r="K406" t="s">
        <v>42</v>
      </c>
      <c r="L406" t="s">
        <v>43</v>
      </c>
      <c r="M406" t="s">
        <v>42</v>
      </c>
      <c r="N406" t="s">
        <v>43</v>
      </c>
      <c r="O406">
        <v>5</v>
      </c>
      <c r="P406">
        <v>5</v>
      </c>
      <c r="Q406">
        <v>1</v>
      </c>
      <c r="R406">
        <v>1</v>
      </c>
      <c r="S406">
        <v>1</v>
      </c>
      <c r="T406">
        <f t="shared" si="30"/>
        <v>2</v>
      </c>
      <c r="U406" t="str" cm="1">
        <f t="array" ref="U406">_xlfn.IFS(T406&lt;3, "low", AND(T406&gt;=3, T406&lt;5), "med", T406&gt;=5, "high")</f>
        <v>low</v>
      </c>
      <c r="V406">
        <v>0</v>
      </c>
      <c r="W406" t="str" cm="1">
        <f t="array" ref="W406">_xlfn.IFS(V406&lt;5, "low", AND(V406&gt;=5, V406&lt;10), "med", V406&gt;=10, "high")</f>
        <v>low</v>
      </c>
      <c r="X406">
        <v>12</v>
      </c>
      <c r="Y406">
        <v>12</v>
      </c>
      <c r="Z406">
        <v>13</v>
      </c>
      <c r="AA406">
        <f t="shared" si="31"/>
        <v>0</v>
      </c>
      <c r="AB406">
        <f t="shared" si="32"/>
        <v>0</v>
      </c>
      <c r="AC406">
        <f t="shared" si="33"/>
        <v>0</v>
      </c>
      <c r="AD406" s="1">
        <f t="shared" si="34"/>
        <v>12.333333333333334</v>
      </c>
    </row>
    <row r="407" spans="1:30" x14ac:dyDescent="0.35">
      <c r="A407" t="s">
        <v>34</v>
      </c>
      <c r="B407">
        <v>15</v>
      </c>
      <c r="C407" t="s">
        <v>35</v>
      </c>
      <c r="D407" t="s">
        <v>36</v>
      </c>
      <c r="E407" t="s">
        <v>44</v>
      </c>
      <c r="F407" t="s">
        <v>39</v>
      </c>
      <c r="G407" t="s">
        <v>28</v>
      </c>
      <c r="H407">
        <v>2</v>
      </c>
      <c r="I407">
        <v>0</v>
      </c>
      <c r="J407" t="s">
        <v>43</v>
      </c>
      <c r="K407" t="s">
        <v>42</v>
      </c>
      <c r="L407" t="s">
        <v>43</v>
      </c>
      <c r="M407" t="s">
        <v>43</v>
      </c>
      <c r="N407" t="s">
        <v>43</v>
      </c>
      <c r="O407">
        <v>3</v>
      </c>
      <c r="P407">
        <v>3</v>
      </c>
      <c r="Q407">
        <v>3</v>
      </c>
      <c r="R407">
        <v>1</v>
      </c>
      <c r="S407">
        <v>2</v>
      </c>
      <c r="T407">
        <f t="shared" si="30"/>
        <v>3</v>
      </c>
      <c r="U407" t="str" cm="1">
        <f t="array" ref="U407">_xlfn.IFS(T407&lt;3, "low", AND(T407&gt;=3, T407&lt;5), "med", T407&gt;=5, "high")</f>
        <v>med</v>
      </c>
      <c r="V407">
        <v>2</v>
      </c>
      <c r="W407" t="str" cm="1">
        <f t="array" ref="W407">_xlfn.IFS(V407&lt;5, "low", AND(V407&gt;=5, V407&lt;10), "med", V407&gt;=10, "high")</f>
        <v>low</v>
      </c>
      <c r="X407">
        <v>14</v>
      </c>
      <c r="Y407">
        <v>14</v>
      </c>
      <c r="Z407">
        <v>14</v>
      </c>
      <c r="AA407">
        <f t="shared" si="31"/>
        <v>0</v>
      </c>
      <c r="AB407">
        <f t="shared" si="32"/>
        <v>0</v>
      </c>
      <c r="AC407">
        <f t="shared" si="33"/>
        <v>0</v>
      </c>
      <c r="AD407" s="1">
        <f t="shared" si="34"/>
        <v>14</v>
      </c>
    </row>
    <row r="408" spans="1:30" x14ac:dyDescent="0.35">
      <c r="A408" t="s">
        <v>34</v>
      </c>
      <c r="B408">
        <v>15</v>
      </c>
      <c r="C408" t="s">
        <v>35</v>
      </c>
      <c r="D408" t="s">
        <v>36</v>
      </c>
      <c r="E408" t="s">
        <v>44</v>
      </c>
      <c r="F408" t="s">
        <v>48</v>
      </c>
      <c r="G408" t="s">
        <v>45</v>
      </c>
      <c r="H408">
        <v>3</v>
      </c>
      <c r="I408">
        <v>0</v>
      </c>
      <c r="J408" t="s">
        <v>43</v>
      </c>
      <c r="K408" t="s">
        <v>42</v>
      </c>
      <c r="L408" t="s">
        <v>43</v>
      </c>
      <c r="M408" t="s">
        <v>42</v>
      </c>
      <c r="N408" t="s">
        <v>43</v>
      </c>
      <c r="O408">
        <v>5</v>
      </c>
      <c r="P408">
        <v>2</v>
      </c>
      <c r="Q408">
        <v>2</v>
      </c>
      <c r="R408">
        <v>1</v>
      </c>
      <c r="S408">
        <v>1</v>
      </c>
      <c r="T408">
        <f t="shared" si="30"/>
        <v>2</v>
      </c>
      <c r="U408" t="str" cm="1">
        <f t="array" ref="U408">_xlfn.IFS(T408&lt;3, "low", AND(T408&gt;=3, T408&lt;5), "med", T408&gt;=5, "high")</f>
        <v>low</v>
      </c>
      <c r="V408">
        <v>0</v>
      </c>
      <c r="W408" t="str" cm="1">
        <f t="array" ref="W408">_xlfn.IFS(V408&lt;5, "low", AND(V408&gt;=5, V408&lt;10), "med", V408&gt;=10, "high")</f>
        <v>low</v>
      </c>
      <c r="X408">
        <v>10</v>
      </c>
      <c r="Y408">
        <v>12</v>
      </c>
      <c r="Z408">
        <v>13</v>
      </c>
      <c r="AA408">
        <f t="shared" si="31"/>
        <v>0</v>
      </c>
      <c r="AB408">
        <f t="shared" si="32"/>
        <v>0</v>
      </c>
      <c r="AC408">
        <f t="shared" si="33"/>
        <v>0</v>
      </c>
      <c r="AD408" s="1">
        <f t="shared" si="34"/>
        <v>11.666666666666666</v>
      </c>
    </row>
    <row r="409" spans="1:30" x14ac:dyDescent="0.35">
      <c r="A409" t="s">
        <v>50</v>
      </c>
      <c r="B409">
        <v>15</v>
      </c>
      <c r="C409" t="s">
        <v>35</v>
      </c>
      <c r="D409" t="s">
        <v>47</v>
      </c>
      <c r="E409" t="s">
        <v>44</v>
      </c>
      <c r="F409" t="s">
        <v>28</v>
      </c>
      <c r="G409" t="s">
        <v>48</v>
      </c>
      <c r="H409">
        <v>1</v>
      </c>
      <c r="I409">
        <v>0</v>
      </c>
      <c r="J409" t="s">
        <v>43</v>
      </c>
      <c r="K409" t="s">
        <v>42</v>
      </c>
      <c r="L409" t="s">
        <v>43</v>
      </c>
      <c r="M409" t="s">
        <v>42</v>
      </c>
      <c r="N409" t="s">
        <v>43</v>
      </c>
      <c r="O409">
        <v>4</v>
      </c>
      <c r="P409">
        <v>3</v>
      </c>
      <c r="Q409">
        <v>3</v>
      </c>
      <c r="R409">
        <v>1</v>
      </c>
      <c r="S409">
        <v>3</v>
      </c>
      <c r="T409">
        <f t="shared" si="30"/>
        <v>4</v>
      </c>
      <c r="U409" t="str" cm="1">
        <f t="array" ref="U409">_xlfn.IFS(T409&lt;3, "low", AND(T409&gt;=3, T409&lt;5), "med", T409&gt;=5, "high")</f>
        <v>med</v>
      </c>
      <c r="V409">
        <v>0</v>
      </c>
      <c r="W409" t="str" cm="1">
        <f t="array" ref="W409">_xlfn.IFS(V409&lt;5, "low", AND(V409&gt;=5, V409&lt;10), "med", V409&gt;=10, "high")</f>
        <v>low</v>
      </c>
      <c r="X409">
        <v>12</v>
      </c>
      <c r="Y409">
        <v>13</v>
      </c>
      <c r="Z409">
        <v>12</v>
      </c>
      <c r="AA409">
        <f t="shared" si="31"/>
        <v>0</v>
      </c>
      <c r="AB409">
        <f t="shared" si="32"/>
        <v>1</v>
      </c>
      <c r="AC409">
        <f t="shared" si="33"/>
        <v>1</v>
      </c>
      <c r="AD409" s="1">
        <f t="shared" si="34"/>
        <v>12.333333333333334</v>
      </c>
    </row>
    <row r="410" spans="1:30" x14ac:dyDescent="0.35">
      <c r="A410" t="s">
        <v>50</v>
      </c>
      <c r="B410">
        <v>15</v>
      </c>
      <c r="C410" t="s">
        <v>35</v>
      </c>
      <c r="D410" t="s">
        <v>36</v>
      </c>
      <c r="E410" t="s">
        <v>44</v>
      </c>
      <c r="F410" t="s">
        <v>39</v>
      </c>
      <c r="G410" t="s">
        <v>45</v>
      </c>
      <c r="H410">
        <v>2</v>
      </c>
      <c r="I410">
        <v>0</v>
      </c>
      <c r="J410" t="s">
        <v>43</v>
      </c>
      <c r="K410" t="s">
        <v>42</v>
      </c>
      <c r="L410" t="s">
        <v>43</v>
      </c>
      <c r="M410" t="s">
        <v>43</v>
      </c>
      <c r="N410" t="s">
        <v>43</v>
      </c>
      <c r="O410">
        <v>5</v>
      </c>
      <c r="P410">
        <v>4</v>
      </c>
      <c r="Q410">
        <v>3</v>
      </c>
      <c r="R410">
        <v>1</v>
      </c>
      <c r="S410">
        <v>2</v>
      </c>
      <c r="T410">
        <f t="shared" si="30"/>
        <v>3</v>
      </c>
      <c r="U410" t="str" cm="1">
        <f t="array" ref="U410">_xlfn.IFS(T410&lt;3, "low", AND(T410&gt;=3, T410&lt;5), "med", T410&gt;=5, "high")</f>
        <v>med</v>
      </c>
      <c r="V410">
        <v>0</v>
      </c>
      <c r="W410" t="str" cm="1">
        <f t="array" ref="W410">_xlfn.IFS(V410&lt;5, "low", AND(V410&gt;=5, V410&lt;10), "med", V410&gt;=10, "high")</f>
        <v>low</v>
      </c>
      <c r="X410">
        <v>12</v>
      </c>
      <c r="Y410">
        <v>12</v>
      </c>
      <c r="Z410">
        <v>13</v>
      </c>
      <c r="AA410">
        <f t="shared" si="31"/>
        <v>0</v>
      </c>
      <c r="AB410">
        <f t="shared" si="32"/>
        <v>0</v>
      </c>
      <c r="AC410">
        <f t="shared" si="33"/>
        <v>0</v>
      </c>
      <c r="AD410" s="1">
        <f t="shared" si="34"/>
        <v>12.333333333333334</v>
      </c>
    </row>
    <row r="411" spans="1:30" x14ac:dyDescent="0.35">
      <c r="A411" t="s">
        <v>50</v>
      </c>
      <c r="B411">
        <v>15</v>
      </c>
      <c r="C411" t="s">
        <v>35</v>
      </c>
      <c r="D411" t="s">
        <v>36</v>
      </c>
      <c r="E411" t="s">
        <v>37</v>
      </c>
      <c r="F411" t="s">
        <v>45</v>
      </c>
      <c r="G411" t="s">
        <v>45</v>
      </c>
      <c r="H411">
        <v>3</v>
      </c>
      <c r="I411">
        <v>0</v>
      </c>
      <c r="J411" t="s">
        <v>43</v>
      </c>
      <c r="K411" t="s">
        <v>42</v>
      </c>
      <c r="L411" t="s">
        <v>43</v>
      </c>
      <c r="M411" t="s">
        <v>43</v>
      </c>
      <c r="N411" t="s">
        <v>42</v>
      </c>
      <c r="O411">
        <v>4</v>
      </c>
      <c r="P411">
        <v>5</v>
      </c>
      <c r="Q411">
        <v>2</v>
      </c>
      <c r="R411">
        <v>1</v>
      </c>
      <c r="S411">
        <v>1</v>
      </c>
      <c r="T411">
        <f t="shared" si="30"/>
        <v>2</v>
      </c>
      <c r="U411" t="str" cm="1">
        <f t="array" ref="U411">_xlfn.IFS(T411&lt;3, "low", AND(T411&gt;=3, T411&lt;5), "med", T411&gt;=5, "high")</f>
        <v>low</v>
      </c>
      <c r="V411">
        <v>0</v>
      </c>
      <c r="W411" t="str" cm="1">
        <f t="array" ref="W411">_xlfn.IFS(V411&lt;5, "low", AND(V411&gt;=5, V411&lt;10), "med", V411&gt;=10, "high")</f>
        <v>low</v>
      </c>
      <c r="X411">
        <v>14</v>
      </c>
      <c r="Y411">
        <v>14</v>
      </c>
      <c r="Z411">
        <v>15</v>
      </c>
      <c r="AA411">
        <f t="shared" si="31"/>
        <v>0</v>
      </c>
      <c r="AB411">
        <f t="shared" si="32"/>
        <v>0</v>
      </c>
      <c r="AC411">
        <f t="shared" si="33"/>
        <v>0</v>
      </c>
      <c r="AD411" s="1">
        <f t="shared" si="34"/>
        <v>14.333333333333334</v>
      </c>
    </row>
    <row r="412" spans="1:30" x14ac:dyDescent="0.35">
      <c r="A412" t="s">
        <v>34</v>
      </c>
      <c r="B412">
        <v>16</v>
      </c>
      <c r="C412" t="s">
        <v>35</v>
      </c>
      <c r="D412" t="s">
        <v>36</v>
      </c>
      <c r="E412" t="s">
        <v>44</v>
      </c>
      <c r="F412" t="s">
        <v>28</v>
      </c>
      <c r="G412" t="s">
        <v>45</v>
      </c>
      <c r="H412">
        <v>1</v>
      </c>
      <c r="I412">
        <v>0</v>
      </c>
      <c r="J412" t="s">
        <v>43</v>
      </c>
      <c r="K412" t="s">
        <v>42</v>
      </c>
      <c r="L412" t="s">
        <v>43</v>
      </c>
      <c r="M412" t="s">
        <v>43</v>
      </c>
      <c r="N412" t="s">
        <v>43</v>
      </c>
      <c r="O412">
        <v>4</v>
      </c>
      <c r="P412">
        <v>4</v>
      </c>
      <c r="Q412">
        <v>4</v>
      </c>
      <c r="R412">
        <v>1</v>
      </c>
      <c r="S412">
        <v>2</v>
      </c>
      <c r="T412">
        <f t="shared" si="30"/>
        <v>3</v>
      </c>
      <c r="U412" t="str" cm="1">
        <f t="array" ref="U412">_xlfn.IFS(T412&lt;3, "low", AND(T412&gt;=3, T412&lt;5), "med", T412&gt;=5, "high")</f>
        <v>med</v>
      </c>
      <c r="V412">
        <v>6</v>
      </c>
      <c r="W412" t="str" cm="1">
        <f t="array" ref="W412">_xlfn.IFS(V412&lt;5, "low", AND(V412&gt;=5, V412&lt;10), "med", V412&gt;=10, "high")</f>
        <v>med</v>
      </c>
      <c r="X412">
        <v>17</v>
      </c>
      <c r="Y412">
        <v>17</v>
      </c>
      <c r="Z412">
        <v>17</v>
      </c>
      <c r="AA412">
        <f t="shared" si="31"/>
        <v>0</v>
      </c>
      <c r="AB412">
        <f t="shared" si="32"/>
        <v>0</v>
      </c>
      <c r="AC412">
        <f t="shared" si="33"/>
        <v>0</v>
      </c>
      <c r="AD412" s="1">
        <f t="shared" si="34"/>
        <v>17</v>
      </c>
    </row>
    <row r="413" spans="1:30" x14ac:dyDescent="0.35">
      <c r="A413" t="s">
        <v>34</v>
      </c>
      <c r="B413">
        <v>16</v>
      </c>
      <c r="C413" t="s">
        <v>35</v>
      </c>
      <c r="D413" t="s">
        <v>36</v>
      </c>
      <c r="E413" t="s">
        <v>44</v>
      </c>
      <c r="F413" t="s">
        <v>48</v>
      </c>
      <c r="G413" t="s">
        <v>48</v>
      </c>
      <c r="H413">
        <v>3</v>
      </c>
      <c r="I413">
        <v>0</v>
      </c>
      <c r="J413" t="s">
        <v>43</v>
      </c>
      <c r="K413" t="s">
        <v>42</v>
      </c>
      <c r="L413" t="s">
        <v>43</v>
      </c>
      <c r="M413" t="s">
        <v>42</v>
      </c>
      <c r="N413" t="s">
        <v>43</v>
      </c>
      <c r="O413">
        <v>3</v>
      </c>
      <c r="P413">
        <v>2</v>
      </c>
      <c r="Q413">
        <v>3</v>
      </c>
      <c r="R413">
        <v>1</v>
      </c>
      <c r="S413">
        <v>2</v>
      </c>
      <c r="T413">
        <f t="shared" si="30"/>
        <v>3</v>
      </c>
      <c r="U413" t="str" cm="1">
        <f t="array" ref="U413">_xlfn.IFS(T413&lt;3, "low", AND(T413&gt;=3, T413&lt;5), "med", T413&gt;=5, "high")</f>
        <v>med</v>
      </c>
      <c r="V413">
        <v>10</v>
      </c>
      <c r="W413" t="str" cm="1">
        <f t="array" ref="W413">_xlfn.IFS(V413&lt;5, "low", AND(V413&gt;=5, V413&lt;10), "med", V413&gt;=10, "high")</f>
        <v>high</v>
      </c>
      <c r="X413">
        <v>13</v>
      </c>
      <c r="Y413">
        <v>13</v>
      </c>
      <c r="Z413">
        <v>14</v>
      </c>
      <c r="AA413">
        <f t="shared" si="31"/>
        <v>0</v>
      </c>
      <c r="AB413">
        <f t="shared" si="32"/>
        <v>0</v>
      </c>
      <c r="AC413">
        <f t="shared" si="33"/>
        <v>0</v>
      </c>
      <c r="AD413" s="1">
        <f t="shared" si="34"/>
        <v>13.333333333333334</v>
      </c>
    </row>
    <row r="414" spans="1:30" x14ac:dyDescent="0.35">
      <c r="A414" t="s">
        <v>34</v>
      </c>
      <c r="B414">
        <v>16</v>
      </c>
      <c r="C414" t="s">
        <v>35</v>
      </c>
      <c r="D414" t="s">
        <v>36</v>
      </c>
      <c r="E414" t="s">
        <v>44</v>
      </c>
      <c r="F414" t="s">
        <v>45</v>
      </c>
      <c r="G414" t="s">
        <v>45</v>
      </c>
      <c r="H414">
        <v>2</v>
      </c>
      <c r="I414">
        <v>0</v>
      </c>
      <c r="J414" t="s">
        <v>42</v>
      </c>
      <c r="K414" t="s">
        <v>42</v>
      </c>
      <c r="L414" t="s">
        <v>43</v>
      </c>
      <c r="M414" t="s">
        <v>42</v>
      </c>
      <c r="N414" t="s">
        <v>43</v>
      </c>
      <c r="O414">
        <v>5</v>
      </c>
      <c r="P414">
        <v>3</v>
      </c>
      <c r="Q414">
        <v>2</v>
      </c>
      <c r="R414">
        <v>1</v>
      </c>
      <c r="S414">
        <v>1</v>
      </c>
      <c r="T414">
        <f t="shared" si="30"/>
        <v>2</v>
      </c>
      <c r="U414" t="str" cm="1">
        <f t="array" ref="U414">_xlfn.IFS(T414&lt;3, "low", AND(T414&gt;=3, T414&lt;5), "med", T414&gt;=5, "high")</f>
        <v>low</v>
      </c>
      <c r="V414">
        <v>2</v>
      </c>
      <c r="W414" t="str" cm="1">
        <f t="array" ref="W414">_xlfn.IFS(V414&lt;5, "low", AND(V414&gt;=5, V414&lt;10), "med", V414&gt;=10, "high")</f>
        <v>low</v>
      </c>
      <c r="X414">
        <v>13</v>
      </c>
      <c r="Y414">
        <v>14</v>
      </c>
      <c r="Z414">
        <v>14</v>
      </c>
      <c r="AA414">
        <f t="shared" si="31"/>
        <v>0</v>
      </c>
      <c r="AB414">
        <f t="shared" si="32"/>
        <v>0</v>
      </c>
      <c r="AC414">
        <f t="shared" si="33"/>
        <v>0</v>
      </c>
      <c r="AD414" s="1">
        <f t="shared" si="34"/>
        <v>13.666666666666666</v>
      </c>
    </row>
    <row r="415" spans="1:30" x14ac:dyDescent="0.35">
      <c r="A415" t="s">
        <v>50</v>
      </c>
      <c r="B415">
        <v>17</v>
      </c>
      <c r="C415" t="s">
        <v>35</v>
      </c>
      <c r="D415" t="s">
        <v>36</v>
      </c>
      <c r="E415" t="s">
        <v>44</v>
      </c>
      <c r="F415" t="s">
        <v>48</v>
      </c>
      <c r="G415" t="s">
        <v>48</v>
      </c>
      <c r="H415">
        <v>1</v>
      </c>
      <c r="I415">
        <v>3</v>
      </c>
      <c r="J415" t="s">
        <v>43</v>
      </c>
      <c r="K415" t="s">
        <v>42</v>
      </c>
      <c r="L415" t="s">
        <v>42</v>
      </c>
      <c r="M415" t="s">
        <v>42</v>
      </c>
      <c r="N415" t="s">
        <v>43</v>
      </c>
      <c r="O415">
        <v>5</v>
      </c>
      <c r="P415">
        <v>5</v>
      </c>
      <c r="Q415">
        <v>5</v>
      </c>
      <c r="R415">
        <v>2</v>
      </c>
      <c r="S415">
        <v>4</v>
      </c>
      <c r="T415">
        <f t="shared" si="30"/>
        <v>6</v>
      </c>
      <c r="U415" t="str" cm="1">
        <f t="array" ref="U415">_xlfn.IFS(T415&lt;3, "low", AND(T415&gt;=3, T415&lt;5), "med", T415&gt;=5, "high")</f>
        <v>high</v>
      </c>
      <c r="V415">
        <v>2</v>
      </c>
      <c r="W415" t="str" cm="1">
        <f t="array" ref="W415">_xlfn.IFS(V415&lt;5, "low", AND(V415&gt;=5, V415&lt;10), "med", V415&gt;=10, "high")</f>
        <v>low</v>
      </c>
      <c r="X415">
        <v>8</v>
      </c>
      <c r="Y415">
        <v>8</v>
      </c>
      <c r="Z415">
        <v>7</v>
      </c>
      <c r="AA415">
        <f t="shared" si="31"/>
        <v>0</v>
      </c>
      <c r="AB415">
        <f t="shared" si="32"/>
        <v>1</v>
      </c>
      <c r="AC415">
        <f t="shared" si="33"/>
        <v>1</v>
      </c>
      <c r="AD415" s="1">
        <f t="shared" si="34"/>
        <v>7.666666666666667</v>
      </c>
    </row>
    <row r="416" spans="1:30" x14ac:dyDescent="0.35">
      <c r="A416" t="s">
        <v>50</v>
      </c>
      <c r="B416">
        <v>16</v>
      </c>
      <c r="C416" t="s">
        <v>35</v>
      </c>
      <c r="D416" t="s">
        <v>47</v>
      </c>
      <c r="E416" t="s">
        <v>44</v>
      </c>
      <c r="F416" t="s">
        <v>28</v>
      </c>
      <c r="G416" t="s">
        <v>45</v>
      </c>
      <c r="H416">
        <v>1</v>
      </c>
      <c r="I416">
        <v>0</v>
      </c>
      <c r="J416" t="s">
        <v>43</v>
      </c>
      <c r="K416" t="s">
        <v>43</v>
      </c>
      <c r="L416" t="s">
        <v>43</v>
      </c>
      <c r="M416" t="s">
        <v>42</v>
      </c>
      <c r="N416" t="s">
        <v>43</v>
      </c>
      <c r="O416">
        <v>3</v>
      </c>
      <c r="P416">
        <v>1</v>
      </c>
      <c r="Q416">
        <v>3</v>
      </c>
      <c r="R416">
        <v>1</v>
      </c>
      <c r="S416">
        <v>3</v>
      </c>
      <c r="T416">
        <f t="shared" si="30"/>
        <v>4</v>
      </c>
      <c r="U416" t="str" cm="1">
        <f t="array" ref="U416">_xlfn.IFS(T416&lt;3, "low", AND(T416&gt;=3, T416&lt;5), "med", T416&gt;=5, "high")</f>
        <v>med</v>
      </c>
      <c r="V416">
        <v>6</v>
      </c>
      <c r="W416" t="str" cm="1">
        <f t="array" ref="W416">_xlfn.IFS(V416&lt;5, "low", AND(V416&gt;=5, V416&lt;10), "med", V416&gt;=10, "high")</f>
        <v>med</v>
      </c>
      <c r="X416">
        <v>12</v>
      </c>
      <c r="Y416">
        <v>12</v>
      </c>
      <c r="Z416">
        <v>12</v>
      </c>
      <c r="AA416">
        <f t="shared" si="31"/>
        <v>0</v>
      </c>
      <c r="AB416">
        <f t="shared" si="32"/>
        <v>0</v>
      </c>
      <c r="AC416">
        <f t="shared" si="33"/>
        <v>0</v>
      </c>
      <c r="AD416" s="1">
        <f t="shared" si="34"/>
        <v>12</v>
      </c>
    </row>
    <row r="417" spans="1:30" x14ac:dyDescent="0.35">
      <c r="A417" t="s">
        <v>50</v>
      </c>
      <c r="B417">
        <v>15</v>
      </c>
      <c r="C417" t="s">
        <v>35</v>
      </c>
      <c r="D417" t="s">
        <v>36</v>
      </c>
      <c r="E417" t="s">
        <v>44</v>
      </c>
      <c r="F417" t="s">
        <v>39</v>
      </c>
      <c r="G417" t="s">
        <v>45</v>
      </c>
      <c r="H417">
        <v>2</v>
      </c>
      <c r="I417">
        <v>0</v>
      </c>
      <c r="J417" t="s">
        <v>43</v>
      </c>
      <c r="K417" t="s">
        <v>43</v>
      </c>
      <c r="L417" t="s">
        <v>43</v>
      </c>
      <c r="M417" t="s">
        <v>43</v>
      </c>
      <c r="N417" t="s">
        <v>43</v>
      </c>
      <c r="O417">
        <v>4</v>
      </c>
      <c r="P417">
        <v>4</v>
      </c>
      <c r="Q417">
        <v>1</v>
      </c>
      <c r="R417">
        <v>1</v>
      </c>
      <c r="S417">
        <v>1</v>
      </c>
      <c r="T417">
        <f t="shared" si="30"/>
        <v>2</v>
      </c>
      <c r="U417" t="str" cm="1">
        <f t="array" ref="U417">_xlfn.IFS(T417&lt;3, "low", AND(T417&gt;=3, T417&lt;5), "med", T417&gt;=5, "high")</f>
        <v>low</v>
      </c>
      <c r="V417">
        <v>0</v>
      </c>
      <c r="W417" t="str" cm="1">
        <f t="array" ref="W417">_xlfn.IFS(V417&lt;5, "low", AND(V417&gt;=5, V417&lt;10), "med", V417&gt;=10, "high")</f>
        <v>low</v>
      </c>
      <c r="X417">
        <v>12</v>
      </c>
      <c r="Y417">
        <v>13</v>
      </c>
      <c r="Z417">
        <v>14</v>
      </c>
      <c r="AA417">
        <f t="shared" si="31"/>
        <v>0</v>
      </c>
      <c r="AB417">
        <f t="shared" si="32"/>
        <v>0</v>
      </c>
      <c r="AC417">
        <f t="shared" si="33"/>
        <v>0</v>
      </c>
      <c r="AD417" s="1">
        <f t="shared" si="34"/>
        <v>13</v>
      </c>
    </row>
    <row r="418" spans="1:30" x14ac:dyDescent="0.35">
      <c r="A418" t="s">
        <v>50</v>
      </c>
      <c r="B418">
        <v>15</v>
      </c>
      <c r="C418" t="s">
        <v>35</v>
      </c>
      <c r="D418" t="s">
        <v>36</v>
      </c>
      <c r="E418" t="s">
        <v>44</v>
      </c>
      <c r="F418" t="s">
        <v>28</v>
      </c>
      <c r="G418" t="s">
        <v>28</v>
      </c>
      <c r="H418">
        <v>1</v>
      </c>
      <c r="I418">
        <v>0</v>
      </c>
      <c r="J418" t="s">
        <v>43</v>
      </c>
      <c r="K418" t="s">
        <v>42</v>
      </c>
      <c r="L418" t="s">
        <v>42</v>
      </c>
      <c r="M418" t="s">
        <v>43</v>
      </c>
      <c r="N418" t="s">
        <v>43</v>
      </c>
      <c r="O418">
        <v>5</v>
      </c>
      <c r="P418">
        <v>4</v>
      </c>
      <c r="Q418">
        <v>2</v>
      </c>
      <c r="R418">
        <v>1</v>
      </c>
      <c r="S418">
        <v>1</v>
      </c>
      <c r="T418">
        <f t="shared" si="30"/>
        <v>2</v>
      </c>
      <c r="U418" t="str" cm="1">
        <f t="array" ref="U418">_xlfn.IFS(T418&lt;3, "low", AND(T418&gt;=3, T418&lt;5), "med", T418&gt;=5, "high")</f>
        <v>low</v>
      </c>
      <c r="V418">
        <v>0</v>
      </c>
      <c r="W418" t="str" cm="1">
        <f t="array" ref="W418">_xlfn.IFS(V418&lt;5, "low", AND(V418&gt;=5, V418&lt;10), "med", V418&gt;=10, "high")</f>
        <v>low</v>
      </c>
      <c r="X418">
        <v>11</v>
      </c>
      <c r="Y418">
        <v>12</v>
      </c>
      <c r="Z418">
        <v>12</v>
      </c>
      <c r="AA418">
        <f t="shared" si="31"/>
        <v>0</v>
      </c>
      <c r="AB418">
        <f t="shared" si="32"/>
        <v>0</v>
      </c>
      <c r="AC418">
        <f t="shared" si="33"/>
        <v>0</v>
      </c>
      <c r="AD418" s="1">
        <f t="shared" si="34"/>
        <v>11.666666666666666</v>
      </c>
    </row>
    <row r="419" spans="1:30" x14ac:dyDescent="0.35">
      <c r="A419" t="s">
        <v>50</v>
      </c>
      <c r="B419">
        <v>16</v>
      </c>
      <c r="C419" t="s">
        <v>35</v>
      </c>
      <c r="D419" t="s">
        <v>47</v>
      </c>
      <c r="E419" t="s">
        <v>44</v>
      </c>
      <c r="F419" t="s">
        <v>39</v>
      </c>
      <c r="G419" t="s">
        <v>45</v>
      </c>
      <c r="H419">
        <v>2</v>
      </c>
      <c r="I419">
        <v>0</v>
      </c>
      <c r="J419" t="s">
        <v>43</v>
      </c>
      <c r="K419" t="s">
        <v>43</v>
      </c>
      <c r="L419" t="s">
        <v>43</v>
      </c>
      <c r="M419" t="s">
        <v>42</v>
      </c>
      <c r="N419" t="s">
        <v>43</v>
      </c>
      <c r="O419">
        <v>4</v>
      </c>
      <c r="P419">
        <v>5</v>
      </c>
      <c r="Q419">
        <v>1</v>
      </c>
      <c r="R419">
        <v>1</v>
      </c>
      <c r="S419">
        <v>3</v>
      </c>
      <c r="T419">
        <f t="shared" si="30"/>
        <v>4</v>
      </c>
      <c r="U419" t="str" cm="1">
        <f t="array" ref="U419">_xlfn.IFS(T419&lt;3, "low", AND(T419&gt;=3, T419&lt;5), "med", T419&gt;=5, "high")</f>
        <v>med</v>
      </c>
      <c r="V419">
        <v>0</v>
      </c>
      <c r="W419" t="str" cm="1">
        <f t="array" ref="W419">_xlfn.IFS(V419&lt;5, "low", AND(V419&gt;=5, V419&lt;10), "med", V419&gt;=10, "high")</f>
        <v>low</v>
      </c>
      <c r="X419">
        <v>12</v>
      </c>
      <c r="Y419">
        <v>13</v>
      </c>
      <c r="Z419">
        <v>14</v>
      </c>
      <c r="AA419">
        <f t="shared" si="31"/>
        <v>0</v>
      </c>
      <c r="AB419">
        <f t="shared" si="32"/>
        <v>0</v>
      </c>
      <c r="AC419">
        <f t="shared" si="33"/>
        <v>0</v>
      </c>
      <c r="AD419" s="1">
        <f t="shared" si="34"/>
        <v>13</v>
      </c>
    </row>
    <row r="420" spans="1:30" x14ac:dyDescent="0.35">
      <c r="A420" t="s">
        <v>50</v>
      </c>
      <c r="B420">
        <v>16</v>
      </c>
      <c r="C420" t="s">
        <v>35</v>
      </c>
      <c r="D420" t="s">
        <v>47</v>
      </c>
      <c r="E420" t="s">
        <v>44</v>
      </c>
      <c r="F420" t="s">
        <v>45</v>
      </c>
      <c r="G420" t="s">
        <v>45</v>
      </c>
      <c r="H420">
        <v>2</v>
      </c>
      <c r="I420">
        <v>0</v>
      </c>
      <c r="J420" t="s">
        <v>43</v>
      </c>
      <c r="K420" t="s">
        <v>42</v>
      </c>
      <c r="L420" t="s">
        <v>43</v>
      </c>
      <c r="M420" t="s">
        <v>42</v>
      </c>
      <c r="N420" t="s">
        <v>43</v>
      </c>
      <c r="O420">
        <v>5</v>
      </c>
      <c r="P420">
        <v>4</v>
      </c>
      <c r="Q420">
        <v>4</v>
      </c>
      <c r="R420">
        <v>2</v>
      </c>
      <c r="S420">
        <v>4</v>
      </c>
      <c r="T420">
        <f t="shared" si="30"/>
        <v>6</v>
      </c>
      <c r="U420" t="str" cm="1">
        <f t="array" ref="U420">_xlfn.IFS(T420&lt;3, "low", AND(T420&gt;=3, T420&lt;5), "med", T420&gt;=5, "high")</f>
        <v>high</v>
      </c>
      <c r="V420">
        <v>2</v>
      </c>
      <c r="W420" t="str" cm="1">
        <f t="array" ref="W420">_xlfn.IFS(V420&lt;5, "low", AND(V420&gt;=5, V420&lt;10), "med", V420&gt;=10, "high")</f>
        <v>low</v>
      </c>
      <c r="X420">
        <v>10</v>
      </c>
      <c r="Y420">
        <v>10</v>
      </c>
      <c r="Z420">
        <v>10</v>
      </c>
      <c r="AA420">
        <f t="shared" si="31"/>
        <v>0</v>
      </c>
      <c r="AB420">
        <f t="shared" si="32"/>
        <v>0</v>
      </c>
      <c r="AC420">
        <f t="shared" si="33"/>
        <v>0</v>
      </c>
      <c r="AD420" s="1">
        <f t="shared" si="34"/>
        <v>10</v>
      </c>
    </row>
    <row r="421" spans="1:30" x14ac:dyDescent="0.35">
      <c r="A421" t="s">
        <v>34</v>
      </c>
      <c r="B421">
        <v>15</v>
      </c>
      <c r="C421" t="s">
        <v>52</v>
      </c>
      <c r="D421" t="s">
        <v>36</v>
      </c>
      <c r="E421" t="s">
        <v>44</v>
      </c>
      <c r="F421" t="s">
        <v>48</v>
      </c>
      <c r="G421" t="s">
        <v>28</v>
      </c>
      <c r="H421">
        <v>3</v>
      </c>
      <c r="I421">
        <v>0</v>
      </c>
      <c r="J421" t="s">
        <v>42</v>
      </c>
      <c r="K421" t="s">
        <v>42</v>
      </c>
      <c r="L421" t="s">
        <v>43</v>
      </c>
      <c r="M421" t="s">
        <v>42</v>
      </c>
      <c r="N421" t="s">
        <v>43</v>
      </c>
      <c r="O421">
        <v>4</v>
      </c>
      <c r="P421">
        <v>3</v>
      </c>
      <c r="Q421">
        <v>2</v>
      </c>
      <c r="R421">
        <v>1</v>
      </c>
      <c r="S421">
        <v>1</v>
      </c>
      <c r="T421">
        <f t="shared" si="30"/>
        <v>2</v>
      </c>
      <c r="U421" t="str" cm="1">
        <f t="array" ref="U421">_xlfn.IFS(T421&lt;3, "low", AND(T421&gt;=3, T421&lt;5), "med", T421&gt;=5, "high")</f>
        <v>low</v>
      </c>
      <c r="V421">
        <v>2</v>
      </c>
      <c r="W421" t="str" cm="1">
        <f t="array" ref="W421">_xlfn.IFS(V421&lt;5, "low", AND(V421&gt;=5, V421&lt;10), "med", V421&gt;=10, "high")</f>
        <v>low</v>
      </c>
      <c r="X421">
        <v>10</v>
      </c>
      <c r="Y421">
        <v>11</v>
      </c>
      <c r="Z421">
        <v>10</v>
      </c>
      <c r="AA421">
        <f t="shared" si="31"/>
        <v>0</v>
      </c>
      <c r="AB421">
        <f t="shared" si="32"/>
        <v>1</v>
      </c>
      <c r="AC421">
        <f t="shared" si="33"/>
        <v>1</v>
      </c>
      <c r="AD421" s="1">
        <f t="shared" si="34"/>
        <v>10.333333333333334</v>
      </c>
    </row>
    <row r="422" spans="1:30" x14ac:dyDescent="0.35">
      <c r="A422" t="s">
        <v>34</v>
      </c>
      <c r="B422">
        <v>16</v>
      </c>
      <c r="C422" t="s">
        <v>35</v>
      </c>
      <c r="D422" t="s">
        <v>36</v>
      </c>
      <c r="E422" t="s">
        <v>44</v>
      </c>
      <c r="F422" t="s">
        <v>48</v>
      </c>
      <c r="G422" t="s">
        <v>48</v>
      </c>
      <c r="H422">
        <v>1</v>
      </c>
      <c r="I422">
        <v>0</v>
      </c>
      <c r="J422" t="s">
        <v>43</v>
      </c>
      <c r="K422" t="s">
        <v>42</v>
      </c>
      <c r="L422" t="s">
        <v>43</v>
      </c>
      <c r="M422" t="s">
        <v>43</v>
      </c>
      <c r="N422" t="s">
        <v>43</v>
      </c>
      <c r="O422">
        <v>1</v>
      </c>
      <c r="P422">
        <v>2</v>
      </c>
      <c r="Q422">
        <v>2</v>
      </c>
      <c r="R422">
        <v>1</v>
      </c>
      <c r="S422">
        <v>3</v>
      </c>
      <c r="T422">
        <f t="shared" si="30"/>
        <v>4</v>
      </c>
      <c r="U422" t="str" cm="1">
        <f t="array" ref="U422">_xlfn.IFS(T422&lt;3, "low", AND(T422&gt;=3, T422&lt;5), "med", T422&gt;=5, "high")</f>
        <v>med</v>
      </c>
      <c r="V422">
        <v>6</v>
      </c>
      <c r="W422" t="str" cm="1">
        <f t="array" ref="W422">_xlfn.IFS(V422&lt;5, "low", AND(V422&gt;=5, V422&lt;10), "med", V422&gt;=10, "high")</f>
        <v>med</v>
      </c>
      <c r="X422">
        <v>10</v>
      </c>
      <c r="Y422">
        <v>11</v>
      </c>
      <c r="Z422">
        <v>12</v>
      </c>
      <c r="AA422">
        <f t="shared" si="31"/>
        <v>0</v>
      </c>
      <c r="AB422">
        <f t="shared" si="32"/>
        <v>0</v>
      </c>
      <c r="AC422">
        <f t="shared" si="33"/>
        <v>0</v>
      </c>
      <c r="AD422" s="1">
        <f t="shared" si="34"/>
        <v>11</v>
      </c>
    </row>
    <row r="423" spans="1:30" x14ac:dyDescent="0.35">
      <c r="A423" t="s">
        <v>50</v>
      </c>
      <c r="B423">
        <v>15</v>
      </c>
      <c r="C423" t="s">
        <v>35</v>
      </c>
      <c r="D423" t="s">
        <v>36</v>
      </c>
      <c r="E423" t="s">
        <v>44</v>
      </c>
      <c r="F423" t="s">
        <v>45</v>
      </c>
      <c r="G423" t="s">
        <v>45</v>
      </c>
      <c r="H423">
        <v>1</v>
      </c>
      <c r="I423">
        <v>0</v>
      </c>
      <c r="J423" t="s">
        <v>43</v>
      </c>
      <c r="K423" t="s">
        <v>42</v>
      </c>
      <c r="L423" t="s">
        <v>43</v>
      </c>
      <c r="M423" t="s">
        <v>43</v>
      </c>
      <c r="N423" t="s">
        <v>43</v>
      </c>
      <c r="O423">
        <v>4</v>
      </c>
      <c r="P423">
        <v>2</v>
      </c>
      <c r="Q423">
        <v>2</v>
      </c>
      <c r="R423">
        <v>1</v>
      </c>
      <c r="S423">
        <v>2</v>
      </c>
      <c r="T423">
        <f t="shared" si="30"/>
        <v>3</v>
      </c>
      <c r="U423" t="str" cm="1">
        <f t="array" ref="U423">_xlfn.IFS(T423&lt;3, "low", AND(T423&gt;=3, T423&lt;5), "med", T423&gt;=5, "high")</f>
        <v>med</v>
      </c>
      <c r="V423">
        <v>8</v>
      </c>
      <c r="W423" t="str" cm="1">
        <f t="array" ref="W423">_xlfn.IFS(V423&lt;5, "low", AND(V423&gt;=5, V423&lt;10), "med", V423&gt;=10, "high")</f>
        <v>med</v>
      </c>
      <c r="X423">
        <v>11</v>
      </c>
      <c r="Y423">
        <v>12</v>
      </c>
      <c r="Z423">
        <v>12</v>
      </c>
      <c r="AA423">
        <f t="shared" si="31"/>
        <v>0</v>
      </c>
      <c r="AB423">
        <f t="shared" si="32"/>
        <v>0</v>
      </c>
      <c r="AC423">
        <f t="shared" si="33"/>
        <v>0</v>
      </c>
      <c r="AD423" s="1">
        <f t="shared" si="34"/>
        <v>11.666666666666666</v>
      </c>
    </row>
    <row r="424" spans="1:30" x14ac:dyDescent="0.35">
      <c r="A424" t="s">
        <v>50</v>
      </c>
      <c r="B424">
        <v>15</v>
      </c>
      <c r="C424" t="s">
        <v>35</v>
      </c>
      <c r="D424" t="s">
        <v>36</v>
      </c>
      <c r="E424" t="s">
        <v>44</v>
      </c>
      <c r="F424" t="s">
        <v>28</v>
      </c>
      <c r="G424" t="s">
        <v>48</v>
      </c>
      <c r="H424">
        <v>1</v>
      </c>
      <c r="I424">
        <v>0</v>
      </c>
      <c r="J424" t="s">
        <v>43</v>
      </c>
      <c r="K424" t="s">
        <v>43</v>
      </c>
      <c r="L424" t="s">
        <v>43</v>
      </c>
      <c r="M424" t="s">
        <v>43</v>
      </c>
      <c r="N424" t="s">
        <v>43</v>
      </c>
      <c r="O424">
        <v>2</v>
      </c>
      <c r="P424">
        <v>2</v>
      </c>
      <c r="Q424">
        <v>4</v>
      </c>
      <c r="R424">
        <v>2</v>
      </c>
      <c r="S424">
        <v>4</v>
      </c>
      <c r="T424">
        <f t="shared" si="30"/>
        <v>6</v>
      </c>
      <c r="U424" t="str" cm="1">
        <f t="array" ref="U424">_xlfn.IFS(T424&lt;3, "low", AND(T424&gt;=3, T424&lt;5), "med", T424&gt;=5, "high")</f>
        <v>high</v>
      </c>
      <c r="V424">
        <v>0</v>
      </c>
      <c r="W424" t="str" cm="1">
        <f t="array" ref="W424">_xlfn.IFS(V424&lt;5, "low", AND(V424&gt;=5, V424&lt;10), "med", V424&gt;=10, "high")</f>
        <v>low</v>
      </c>
      <c r="X424">
        <v>11</v>
      </c>
      <c r="Y424">
        <v>11</v>
      </c>
      <c r="Z424">
        <v>11</v>
      </c>
      <c r="AA424">
        <f t="shared" si="31"/>
        <v>0</v>
      </c>
      <c r="AB424">
        <f t="shared" si="32"/>
        <v>0</v>
      </c>
      <c r="AC424">
        <f t="shared" si="33"/>
        <v>0</v>
      </c>
      <c r="AD424" s="1">
        <f t="shared" si="34"/>
        <v>11</v>
      </c>
    </row>
    <row r="425" spans="1:30" x14ac:dyDescent="0.35">
      <c r="A425" t="s">
        <v>50</v>
      </c>
      <c r="B425">
        <v>16</v>
      </c>
      <c r="C425" t="s">
        <v>35</v>
      </c>
      <c r="D425" t="s">
        <v>47</v>
      </c>
      <c r="E425" t="s">
        <v>37</v>
      </c>
      <c r="F425" t="s">
        <v>48</v>
      </c>
      <c r="G425" t="s">
        <v>45</v>
      </c>
      <c r="H425">
        <v>2</v>
      </c>
      <c r="I425">
        <v>0</v>
      </c>
      <c r="J425" t="s">
        <v>42</v>
      </c>
      <c r="K425" t="s">
        <v>42</v>
      </c>
      <c r="L425" t="s">
        <v>42</v>
      </c>
      <c r="M425" t="s">
        <v>42</v>
      </c>
      <c r="N425" t="s">
        <v>43</v>
      </c>
      <c r="O425">
        <v>5</v>
      </c>
      <c r="P425">
        <v>3</v>
      </c>
      <c r="Q425">
        <v>3</v>
      </c>
      <c r="R425">
        <v>1</v>
      </c>
      <c r="S425">
        <v>1</v>
      </c>
      <c r="T425">
        <f t="shared" si="30"/>
        <v>2</v>
      </c>
      <c r="U425" t="str" cm="1">
        <f t="array" ref="U425">_xlfn.IFS(T425&lt;3, "low", AND(T425&gt;=3, T425&lt;5), "med", T425&gt;=5, "high")</f>
        <v>low</v>
      </c>
      <c r="V425">
        <v>2</v>
      </c>
      <c r="W425" t="str" cm="1">
        <f t="array" ref="W425">_xlfn.IFS(V425&lt;5, "low", AND(V425&gt;=5, V425&lt;10), "med", V425&gt;=10, "high")</f>
        <v>low</v>
      </c>
      <c r="X425">
        <v>12</v>
      </c>
      <c r="Y425">
        <v>12</v>
      </c>
      <c r="Z425">
        <v>13</v>
      </c>
      <c r="AA425">
        <f t="shared" si="31"/>
        <v>0</v>
      </c>
      <c r="AB425">
        <f t="shared" si="32"/>
        <v>0</v>
      </c>
      <c r="AC425">
        <f t="shared" si="33"/>
        <v>0</v>
      </c>
      <c r="AD425" s="1">
        <f t="shared" si="34"/>
        <v>12.333333333333334</v>
      </c>
    </row>
    <row r="426" spans="1:30" x14ac:dyDescent="0.35">
      <c r="A426" t="s">
        <v>50</v>
      </c>
      <c r="B426">
        <v>16</v>
      </c>
      <c r="C426" t="s">
        <v>35</v>
      </c>
      <c r="D426" t="s">
        <v>36</v>
      </c>
      <c r="E426" t="s">
        <v>44</v>
      </c>
      <c r="F426" t="s">
        <v>39</v>
      </c>
      <c r="G426" t="s">
        <v>39</v>
      </c>
      <c r="H426">
        <v>2</v>
      </c>
      <c r="I426">
        <v>0</v>
      </c>
      <c r="J426" t="s">
        <v>43</v>
      </c>
      <c r="K426" t="s">
        <v>42</v>
      </c>
      <c r="L426" t="s">
        <v>42</v>
      </c>
      <c r="M426" t="s">
        <v>42</v>
      </c>
      <c r="N426" t="s">
        <v>42</v>
      </c>
      <c r="O426">
        <v>4</v>
      </c>
      <c r="P426">
        <v>4</v>
      </c>
      <c r="Q426">
        <v>5</v>
      </c>
      <c r="R426">
        <v>5</v>
      </c>
      <c r="S426">
        <v>5</v>
      </c>
      <c r="T426">
        <f t="shared" si="30"/>
        <v>10</v>
      </c>
      <c r="U426" t="str" cm="1">
        <f t="array" ref="U426">_xlfn.IFS(T426&lt;3, "low", AND(T426&gt;=3, T426&lt;5), "med", T426&gt;=5, "high")</f>
        <v>high</v>
      </c>
      <c r="V426">
        <v>4</v>
      </c>
      <c r="W426" t="str" cm="1">
        <f t="array" ref="W426">_xlfn.IFS(V426&lt;5, "low", AND(V426&gt;=5, V426&lt;10), "med", V426&gt;=10, "high")</f>
        <v>low</v>
      </c>
      <c r="X426">
        <v>12</v>
      </c>
      <c r="Y426">
        <v>11</v>
      </c>
      <c r="Z426">
        <v>12</v>
      </c>
      <c r="AA426">
        <f t="shared" si="31"/>
        <v>1</v>
      </c>
      <c r="AB426">
        <f t="shared" si="32"/>
        <v>0</v>
      </c>
      <c r="AC426">
        <f t="shared" si="33"/>
        <v>1</v>
      </c>
      <c r="AD426" s="1">
        <f t="shared" si="34"/>
        <v>11.666666666666666</v>
      </c>
    </row>
    <row r="427" spans="1:30" x14ac:dyDescent="0.35">
      <c r="A427" t="s">
        <v>50</v>
      </c>
      <c r="B427">
        <v>15</v>
      </c>
      <c r="C427" t="s">
        <v>35</v>
      </c>
      <c r="D427" t="s">
        <v>36</v>
      </c>
      <c r="E427" t="s">
        <v>44</v>
      </c>
      <c r="F427" t="s">
        <v>28</v>
      </c>
      <c r="G427" t="s">
        <v>48</v>
      </c>
      <c r="H427">
        <v>2</v>
      </c>
      <c r="I427">
        <v>0</v>
      </c>
      <c r="J427" t="s">
        <v>43</v>
      </c>
      <c r="K427" t="s">
        <v>42</v>
      </c>
      <c r="L427" t="s">
        <v>42</v>
      </c>
      <c r="M427" t="s">
        <v>43</v>
      </c>
      <c r="N427" t="s">
        <v>43</v>
      </c>
      <c r="O427">
        <v>5</v>
      </c>
      <c r="P427">
        <v>4</v>
      </c>
      <c r="Q427">
        <v>2</v>
      </c>
      <c r="R427">
        <v>3</v>
      </c>
      <c r="S427">
        <v>4</v>
      </c>
      <c r="T427">
        <f t="shared" si="30"/>
        <v>7</v>
      </c>
      <c r="U427" t="str" cm="1">
        <f t="array" ref="U427">_xlfn.IFS(T427&lt;3, "low", AND(T427&gt;=3, T427&lt;5), "med", T427&gt;=5, "high")</f>
        <v>high</v>
      </c>
      <c r="V427">
        <v>0</v>
      </c>
      <c r="W427" t="str" cm="1">
        <f t="array" ref="W427">_xlfn.IFS(V427&lt;5, "low", AND(V427&gt;=5, V427&lt;10), "med", V427&gt;=10, "high")</f>
        <v>low</v>
      </c>
      <c r="X427">
        <v>10</v>
      </c>
      <c r="Y427">
        <v>11</v>
      </c>
      <c r="Z427">
        <v>11</v>
      </c>
      <c r="AA427">
        <f t="shared" si="31"/>
        <v>0</v>
      </c>
      <c r="AB427">
        <f t="shared" si="32"/>
        <v>0</v>
      </c>
      <c r="AC427">
        <f t="shared" si="33"/>
        <v>0</v>
      </c>
      <c r="AD427" s="1">
        <f t="shared" si="34"/>
        <v>10.666666666666666</v>
      </c>
    </row>
    <row r="428" spans="1:30" x14ac:dyDescent="0.35">
      <c r="A428" t="s">
        <v>50</v>
      </c>
      <c r="B428">
        <v>15</v>
      </c>
      <c r="C428" t="s">
        <v>35</v>
      </c>
      <c r="D428" t="s">
        <v>36</v>
      </c>
      <c r="E428" t="s">
        <v>44</v>
      </c>
      <c r="F428" t="s">
        <v>48</v>
      </c>
      <c r="G428" t="s">
        <v>48</v>
      </c>
      <c r="H428">
        <v>2</v>
      </c>
      <c r="I428">
        <v>0</v>
      </c>
      <c r="J428" t="s">
        <v>43</v>
      </c>
      <c r="K428" t="s">
        <v>42</v>
      </c>
      <c r="L428" t="s">
        <v>43</v>
      </c>
      <c r="M428" t="s">
        <v>42</v>
      </c>
      <c r="N428" t="s">
        <v>43</v>
      </c>
      <c r="O428">
        <v>4</v>
      </c>
      <c r="P428">
        <v>3</v>
      </c>
      <c r="Q428">
        <v>1</v>
      </c>
      <c r="R428">
        <v>1</v>
      </c>
      <c r="S428">
        <v>1</v>
      </c>
      <c r="T428">
        <f t="shared" si="30"/>
        <v>2</v>
      </c>
      <c r="U428" t="str" cm="1">
        <f t="array" ref="U428">_xlfn.IFS(T428&lt;3, "low", AND(T428&gt;=3, T428&lt;5), "med", T428&gt;=5, "high")</f>
        <v>low</v>
      </c>
      <c r="V428">
        <v>2</v>
      </c>
      <c r="W428" t="str" cm="1">
        <f t="array" ref="W428">_xlfn.IFS(V428&lt;5, "low", AND(V428&gt;=5, V428&lt;10), "med", V428&gt;=10, "high")</f>
        <v>low</v>
      </c>
      <c r="X428">
        <v>15</v>
      </c>
      <c r="Y428">
        <v>15</v>
      </c>
      <c r="Z428">
        <v>15</v>
      </c>
      <c r="AA428">
        <f t="shared" si="31"/>
        <v>0</v>
      </c>
      <c r="AB428">
        <f t="shared" si="32"/>
        <v>0</v>
      </c>
      <c r="AC428">
        <f t="shared" si="33"/>
        <v>0</v>
      </c>
      <c r="AD428" s="1">
        <f t="shared" si="34"/>
        <v>15</v>
      </c>
    </row>
    <row r="429" spans="1:30" x14ac:dyDescent="0.35">
      <c r="A429" t="s">
        <v>50</v>
      </c>
      <c r="B429">
        <v>15</v>
      </c>
      <c r="C429" t="s">
        <v>52</v>
      </c>
      <c r="D429" t="s">
        <v>36</v>
      </c>
      <c r="E429" t="s">
        <v>44</v>
      </c>
      <c r="F429" t="s">
        <v>39</v>
      </c>
      <c r="G429" t="s">
        <v>38</v>
      </c>
      <c r="H429">
        <v>2</v>
      </c>
      <c r="I429">
        <v>0</v>
      </c>
      <c r="J429" t="s">
        <v>43</v>
      </c>
      <c r="K429" t="s">
        <v>42</v>
      </c>
      <c r="L429" t="s">
        <v>43</v>
      </c>
      <c r="M429" t="s">
        <v>42</v>
      </c>
      <c r="N429" t="s">
        <v>42</v>
      </c>
      <c r="O429">
        <v>4</v>
      </c>
      <c r="P429">
        <v>5</v>
      </c>
      <c r="Q429">
        <v>2</v>
      </c>
      <c r="R429">
        <v>1</v>
      </c>
      <c r="S429">
        <v>1</v>
      </c>
      <c r="T429">
        <f t="shared" si="30"/>
        <v>2</v>
      </c>
      <c r="U429" t="str" cm="1">
        <f t="array" ref="U429">_xlfn.IFS(T429&lt;3, "low", AND(T429&gt;=3, T429&lt;5), "med", T429&gt;=5, "high")</f>
        <v>low</v>
      </c>
      <c r="V429">
        <v>0</v>
      </c>
      <c r="W429" t="str" cm="1">
        <f t="array" ref="W429">_xlfn.IFS(V429&lt;5, "low", AND(V429&gt;=5, V429&lt;10), "med", V429&gt;=10, "high")</f>
        <v>low</v>
      </c>
      <c r="X429">
        <v>13</v>
      </c>
      <c r="Y429">
        <v>14</v>
      </c>
      <c r="Z429">
        <v>15</v>
      </c>
      <c r="AA429">
        <f t="shared" si="31"/>
        <v>0</v>
      </c>
      <c r="AB429">
        <f t="shared" si="32"/>
        <v>0</v>
      </c>
      <c r="AC429">
        <f t="shared" si="33"/>
        <v>0</v>
      </c>
      <c r="AD429" s="1">
        <f t="shared" si="34"/>
        <v>14</v>
      </c>
    </row>
    <row r="430" spans="1:30" x14ac:dyDescent="0.35">
      <c r="A430" t="s">
        <v>50</v>
      </c>
      <c r="B430">
        <v>15</v>
      </c>
      <c r="C430" t="s">
        <v>35</v>
      </c>
      <c r="D430" t="s">
        <v>47</v>
      </c>
      <c r="E430" t="s">
        <v>44</v>
      </c>
      <c r="F430" t="s">
        <v>45</v>
      </c>
      <c r="G430" t="s">
        <v>45</v>
      </c>
      <c r="H430">
        <v>2</v>
      </c>
      <c r="I430">
        <v>0</v>
      </c>
      <c r="J430" t="s">
        <v>43</v>
      </c>
      <c r="K430" t="s">
        <v>43</v>
      </c>
      <c r="L430" t="s">
        <v>43</v>
      </c>
      <c r="M430" t="s">
        <v>42</v>
      </c>
      <c r="N430" t="s">
        <v>43</v>
      </c>
      <c r="O430">
        <v>5</v>
      </c>
      <c r="P430">
        <v>3</v>
      </c>
      <c r="Q430">
        <v>2</v>
      </c>
      <c r="R430">
        <v>1</v>
      </c>
      <c r="S430">
        <v>1</v>
      </c>
      <c r="T430">
        <f t="shared" si="30"/>
        <v>2</v>
      </c>
      <c r="U430" t="str" cm="1">
        <f t="array" ref="U430">_xlfn.IFS(T430&lt;3, "low", AND(T430&gt;=3, T430&lt;5), "med", T430&gt;=5, "high")</f>
        <v>low</v>
      </c>
      <c r="V430">
        <v>0</v>
      </c>
      <c r="W430" t="str" cm="1">
        <f t="array" ref="W430">_xlfn.IFS(V430&lt;5, "low", AND(V430&gt;=5, V430&lt;10), "med", V430&gt;=10, "high")</f>
        <v>low</v>
      </c>
      <c r="X430">
        <v>13</v>
      </c>
      <c r="Y430">
        <v>12</v>
      </c>
      <c r="Z430">
        <v>12</v>
      </c>
      <c r="AA430">
        <f t="shared" si="31"/>
        <v>1</v>
      </c>
      <c r="AB430">
        <f t="shared" si="32"/>
        <v>0</v>
      </c>
      <c r="AC430">
        <f t="shared" si="33"/>
        <v>1</v>
      </c>
      <c r="AD430" s="1">
        <f t="shared" si="34"/>
        <v>12.333333333333334</v>
      </c>
    </row>
    <row r="431" spans="1:30" x14ac:dyDescent="0.35">
      <c r="A431" t="s">
        <v>50</v>
      </c>
      <c r="B431">
        <v>16</v>
      </c>
      <c r="C431" t="s">
        <v>35</v>
      </c>
      <c r="D431" t="s">
        <v>36</v>
      </c>
      <c r="E431" t="s">
        <v>44</v>
      </c>
      <c r="F431" t="s">
        <v>45</v>
      </c>
      <c r="G431" t="s">
        <v>45</v>
      </c>
      <c r="H431">
        <v>1</v>
      </c>
      <c r="I431">
        <v>0</v>
      </c>
      <c r="J431" t="s">
        <v>43</v>
      </c>
      <c r="K431" t="s">
        <v>42</v>
      </c>
      <c r="L431" t="s">
        <v>43</v>
      </c>
      <c r="M431" t="s">
        <v>43</v>
      </c>
      <c r="N431" t="s">
        <v>43</v>
      </c>
      <c r="O431">
        <v>5</v>
      </c>
      <c r="P431">
        <v>4</v>
      </c>
      <c r="Q431">
        <v>3</v>
      </c>
      <c r="R431">
        <v>1</v>
      </c>
      <c r="S431">
        <v>1</v>
      </c>
      <c r="T431">
        <f t="shared" si="30"/>
        <v>2</v>
      </c>
      <c r="U431" t="str" cm="1">
        <f t="array" ref="U431">_xlfn.IFS(T431&lt;3, "low", AND(T431&gt;=3, T431&lt;5), "med", T431&gt;=5, "high")</f>
        <v>low</v>
      </c>
      <c r="V431">
        <v>4</v>
      </c>
      <c r="W431" t="str" cm="1">
        <f t="array" ref="W431">_xlfn.IFS(V431&lt;5, "low", AND(V431&gt;=5, V431&lt;10), "med", V431&gt;=10, "high")</f>
        <v>low</v>
      </c>
      <c r="X431">
        <v>12</v>
      </c>
      <c r="Y431">
        <v>12</v>
      </c>
      <c r="Z431">
        <v>12</v>
      </c>
      <c r="AA431">
        <f t="shared" si="31"/>
        <v>0</v>
      </c>
      <c r="AB431">
        <f t="shared" si="32"/>
        <v>0</v>
      </c>
      <c r="AC431">
        <f t="shared" si="33"/>
        <v>0</v>
      </c>
      <c r="AD431" s="1">
        <f t="shared" si="34"/>
        <v>12</v>
      </c>
    </row>
    <row r="432" spans="1:30" x14ac:dyDescent="0.35">
      <c r="A432" t="s">
        <v>34</v>
      </c>
      <c r="B432">
        <v>15</v>
      </c>
      <c r="C432" t="s">
        <v>35</v>
      </c>
      <c r="D432" t="s">
        <v>36</v>
      </c>
      <c r="E432" t="s">
        <v>44</v>
      </c>
      <c r="F432" t="s">
        <v>45</v>
      </c>
      <c r="G432" t="s">
        <v>45</v>
      </c>
      <c r="H432">
        <v>1</v>
      </c>
      <c r="I432">
        <v>0</v>
      </c>
      <c r="J432" t="s">
        <v>43</v>
      </c>
      <c r="K432" t="s">
        <v>42</v>
      </c>
      <c r="L432" t="s">
        <v>43</v>
      </c>
      <c r="M432" t="s">
        <v>42</v>
      </c>
      <c r="N432" t="s">
        <v>43</v>
      </c>
      <c r="O432">
        <v>3</v>
      </c>
      <c r="P432">
        <v>5</v>
      </c>
      <c r="Q432">
        <v>1</v>
      </c>
      <c r="R432">
        <v>1</v>
      </c>
      <c r="S432">
        <v>1</v>
      </c>
      <c r="T432">
        <f t="shared" si="30"/>
        <v>2</v>
      </c>
      <c r="U432" t="str" cm="1">
        <f t="array" ref="U432">_xlfn.IFS(T432&lt;3, "low", AND(T432&gt;=3, T432&lt;5), "med", T432&gt;=5, "high")</f>
        <v>low</v>
      </c>
      <c r="V432">
        <v>4</v>
      </c>
      <c r="W432" t="str" cm="1">
        <f t="array" ref="W432">_xlfn.IFS(V432&lt;5, "low", AND(V432&gt;=5, V432&lt;10), "med", V432&gt;=10, "high")</f>
        <v>low</v>
      </c>
      <c r="X432">
        <v>11</v>
      </c>
      <c r="Y432">
        <v>11</v>
      </c>
      <c r="Z432">
        <v>11</v>
      </c>
      <c r="AA432">
        <f t="shared" si="31"/>
        <v>0</v>
      </c>
      <c r="AB432">
        <f t="shared" si="32"/>
        <v>0</v>
      </c>
      <c r="AC432">
        <f t="shared" si="33"/>
        <v>0</v>
      </c>
      <c r="AD432" s="1">
        <f t="shared" si="34"/>
        <v>11</v>
      </c>
    </row>
    <row r="433" spans="1:30" x14ac:dyDescent="0.35">
      <c r="A433" t="s">
        <v>50</v>
      </c>
      <c r="B433">
        <v>15</v>
      </c>
      <c r="C433" t="s">
        <v>35</v>
      </c>
      <c r="D433" t="s">
        <v>47</v>
      </c>
      <c r="E433" t="s">
        <v>44</v>
      </c>
      <c r="F433" t="s">
        <v>39</v>
      </c>
      <c r="G433" t="s">
        <v>48</v>
      </c>
      <c r="H433">
        <v>3</v>
      </c>
      <c r="I433">
        <v>0</v>
      </c>
      <c r="J433" t="s">
        <v>43</v>
      </c>
      <c r="K433" t="s">
        <v>42</v>
      </c>
      <c r="L433" t="s">
        <v>43</v>
      </c>
      <c r="M433" t="s">
        <v>42</v>
      </c>
      <c r="N433" t="s">
        <v>43</v>
      </c>
      <c r="O433">
        <v>5</v>
      </c>
      <c r="P433">
        <v>4</v>
      </c>
      <c r="Q433">
        <v>3</v>
      </c>
      <c r="R433">
        <v>1</v>
      </c>
      <c r="S433">
        <v>1</v>
      </c>
      <c r="T433">
        <f t="shared" si="30"/>
        <v>2</v>
      </c>
      <c r="U433" t="str" cm="1">
        <f t="array" ref="U433">_xlfn.IFS(T433&lt;3, "low", AND(T433&gt;=3, T433&lt;5), "med", T433&gt;=5, "high")</f>
        <v>low</v>
      </c>
      <c r="V433">
        <v>0</v>
      </c>
      <c r="W433" t="str" cm="1">
        <f t="array" ref="W433">_xlfn.IFS(V433&lt;5, "low", AND(V433&gt;=5, V433&lt;10), "med", V433&gt;=10, "high")</f>
        <v>low</v>
      </c>
      <c r="X433">
        <v>14</v>
      </c>
      <c r="Y433">
        <v>14</v>
      </c>
      <c r="Z433">
        <v>14</v>
      </c>
      <c r="AA433">
        <f t="shared" si="31"/>
        <v>0</v>
      </c>
      <c r="AB433">
        <f t="shared" si="32"/>
        <v>0</v>
      </c>
      <c r="AC433">
        <f t="shared" si="33"/>
        <v>0</v>
      </c>
      <c r="AD433" s="1">
        <f t="shared" si="34"/>
        <v>14</v>
      </c>
    </row>
    <row r="434" spans="1:30" x14ac:dyDescent="0.35">
      <c r="A434" t="s">
        <v>50</v>
      </c>
      <c r="B434">
        <v>16</v>
      </c>
      <c r="C434" t="s">
        <v>52</v>
      </c>
      <c r="D434" t="s">
        <v>36</v>
      </c>
      <c r="E434" t="s">
        <v>37</v>
      </c>
      <c r="F434" t="s">
        <v>45</v>
      </c>
      <c r="G434" t="s">
        <v>39</v>
      </c>
      <c r="H434">
        <v>3</v>
      </c>
      <c r="I434">
        <v>0</v>
      </c>
      <c r="J434" t="s">
        <v>43</v>
      </c>
      <c r="K434" t="s">
        <v>42</v>
      </c>
      <c r="L434" t="s">
        <v>43</v>
      </c>
      <c r="M434" t="s">
        <v>42</v>
      </c>
      <c r="N434" t="s">
        <v>42</v>
      </c>
      <c r="O434">
        <v>2</v>
      </c>
      <c r="P434">
        <v>4</v>
      </c>
      <c r="Q434">
        <v>3</v>
      </c>
      <c r="R434">
        <v>1</v>
      </c>
      <c r="S434">
        <v>1</v>
      </c>
      <c r="T434">
        <f t="shared" si="30"/>
        <v>2</v>
      </c>
      <c r="U434" t="str" cm="1">
        <f t="array" ref="U434">_xlfn.IFS(T434&lt;3, "low", AND(T434&gt;=3, T434&lt;5), "med", T434&gt;=5, "high")</f>
        <v>low</v>
      </c>
      <c r="V434">
        <v>4</v>
      </c>
      <c r="W434" t="str" cm="1">
        <f t="array" ref="W434">_xlfn.IFS(V434&lt;5, "low", AND(V434&gt;=5, V434&lt;10), "med", V434&gt;=10, "high")</f>
        <v>low</v>
      </c>
      <c r="X434">
        <v>13</v>
      </c>
      <c r="Y434">
        <v>13</v>
      </c>
      <c r="Z434">
        <v>13</v>
      </c>
      <c r="AA434">
        <f t="shared" si="31"/>
        <v>0</v>
      </c>
      <c r="AB434">
        <f t="shared" si="32"/>
        <v>0</v>
      </c>
      <c r="AC434">
        <f t="shared" si="33"/>
        <v>0</v>
      </c>
      <c r="AD434" s="1">
        <f t="shared" si="34"/>
        <v>13</v>
      </c>
    </row>
    <row r="435" spans="1:30" x14ac:dyDescent="0.35">
      <c r="A435" t="s">
        <v>34</v>
      </c>
      <c r="B435">
        <v>15</v>
      </c>
      <c r="C435" t="s">
        <v>52</v>
      </c>
      <c r="D435" t="s">
        <v>36</v>
      </c>
      <c r="E435" t="s">
        <v>44</v>
      </c>
      <c r="F435" t="s">
        <v>48</v>
      </c>
      <c r="G435" t="s">
        <v>28</v>
      </c>
      <c r="H435">
        <v>3</v>
      </c>
      <c r="I435">
        <v>0</v>
      </c>
      <c r="J435" t="s">
        <v>42</v>
      </c>
      <c r="K435" t="s">
        <v>42</v>
      </c>
      <c r="L435" t="s">
        <v>43</v>
      </c>
      <c r="M435" t="s">
        <v>42</v>
      </c>
      <c r="N435" t="s">
        <v>43</v>
      </c>
      <c r="O435">
        <v>4</v>
      </c>
      <c r="P435">
        <v>3</v>
      </c>
      <c r="Q435">
        <v>2</v>
      </c>
      <c r="R435">
        <v>1</v>
      </c>
      <c r="S435">
        <v>1</v>
      </c>
      <c r="T435">
        <f t="shared" si="30"/>
        <v>2</v>
      </c>
      <c r="U435" t="str" cm="1">
        <f t="array" ref="U435">_xlfn.IFS(T435&lt;3, "low", AND(T435&gt;=3, T435&lt;5), "med", T435&gt;=5, "high")</f>
        <v>low</v>
      </c>
      <c r="V435">
        <v>2</v>
      </c>
      <c r="W435" t="str" cm="1">
        <f t="array" ref="W435">_xlfn.IFS(V435&lt;5, "low", AND(V435&gt;=5, V435&lt;10), "med", V435&gt;=10, "high")</f>
        <v>low</v>
      </c>
      <c r="X435">
        <v>11</v>
      </c>
      <c r="Y435">
        <v>12</v>
      </c>
      <c r="Z435">
        <v>12</v>
      </c>
      <c r="AA435">
        <f t="shared" si="31"/>
        <v>0</v>
      </c>
      <c r="AB435">
        <f t="shared" si="32"/>
        <v>0</v>
      </c>
      <c r="AC435">
        <f t="shared" si="33"/>
        <v>0</v>
      </c>
      <c r="AD435" s="1">
        <f t="shared" si="34"/>
        <v>11.666666666666666</v>
      </c>
    </row>
    <row r="436" spans="1:30" x14ac:dyDescent="0.35">
      <c r="A436" t="s">
        <v>34</v>
      </c>
      <c r="B436">
        <v>15</v>
      </c>
      <c r="C436" t="s">
        <v>52</v>
      </c>
      <c r="D436" t="s">
        <v>36</v>
      </c>
      <c r="E436" t="s">
        <v>44</v>
      </c>
      <c r="F436" t="s">
        <v>38</v>
      </c>
      <c r="G436" t="s">
        <v>45</v>
      </c>
      <c r="H436">
        <v>1</v>
      </c>
      <c r="I436">
        <v>0</v>
      </c>
      <c r="J436" t="s">
        <v>42</v>
      </c>
      <c r="K436" t="s">
        <v>42</v>
      </c>
      <c r="L436" t="s">
        <v>43</v>
      </c>
      <c r="M436" t="s">
        <v>42</v>
      </c>
      <c r="N436" t="s">
        <v>43</v>
      </c>
      <c r="O436">
        <v>4</v>
      </c>
      <c r="P436">
        <v>3</v>
      </c>
      <c r="Q436">
        <v>1</v>
      </c>
      <c r="R436">
        <v>1</v>
      </c>
      <c r="S436">
        <v>1</v>
      </c>
      <c r="T436">
        <f t="shared" si="30"/>
        <v>2</v>
      </c>
      <c r="U436" t="str" cm="1">
        <f t="array" ref="U436">_xlfn.IFS(T436&lt;3, "low", AND(T436&gt;=3, T436&lt;5), "med", T436&gt;=5, "high")</f>
        <v>low</v>
      </c>
      <c r="V436">
        <v>8</v>
      </c>
      <c r="W436" t="str" cm="1">
        <f t="array" ref="W436">_xlfn.IFS(V436&lt;5, "low", AND(V436&gt;=5, V436&lt;10), "med", V436&gt;=10, "high")</f>
        <v>med</v>
      </c>
      <c r="X436">
        <v>14</v>
      </c>
      <c r="Y436">
        <v>13</v>
      </c>
      <c r="Z436">
        <v>12</v>
      </c>
      <c r="AA436">
        <f t="shared" si="31"/>
        <v>1</v>
      </c>
      <c r="AB436">
        <f t="shared" si="32"/>
        <v>1</v>
      </c>
      <c r="AC436">
        <f t="shared" si="33"/>
        <v>2</v>
      </c>
      <c r="AD436" s="1">
        <f t="shared" si="34"/>
        <v>13</v>
      </c>
    </row>
    <row r="437" spans="1:30" x14ac:dyDescent="0.35">
      <c r="A437" t="s">
        <v>34</v>
      </c>
      <c r="B437">
        <v>16</v>
      </c>
      <c r="C437" t="s">
        <v>35</v>
      </c>
      <c r="D437" t="s">
        <v>47</v>
      </c>
      <c r="E437" t="s">
        <v>44</v>
      </c>
      <c r="F437" t="s">
        <v>45</v>
      </c>
      <c r="G437" t="s">
        <v>45</v>
      </c>
      <c r="H437">
        <v>2</v>
      </c>
      <c r="I437">
        <v>0</v>
      </c>
      <c r="J437" t="s">
        <v>43</v>
      </c>
      <c r="K437" t="s">
        <v>42</v>
      </c>
      <c r="L437" t="s">
        <v>43</v>
      </c>
      <c r="M437" t="s">
        <v>42</v>
      </c>
      <c r="N437" t="s">
        <v>42</v>
      </c>
      <c r="O437">
        <v>3</v>
      </c>
      <c r="P437">
        <v>3</v>
      </c>
      <c r="Q437">
        <v>3</v>
      </c>
      <c r="R437">
        <v>1</v>
      </c>
      <c r="S437">
        <v>2</v>
      </c>
      <c r="T437">
        <f t="shared" si="30"/>
        <v>3</v>
      </c>
      <c r="U437" t="str" cm="1">
        <f t="array" ref="U437">_xlfn.IFS(T437&lt;3, "low", AND(T437&gt;=3, T437&lt;5), "med", T437&gt;=5, "high")</f>
        <v>med</v>
      </c>
      <c r="V437">
        <v>16</v>
      </c>
      <c r="W437" t="str" cm="1">
        <f t="array" ref="W437">_xlfn.IFS(V437&lt;5, "low", AND(V437&gt;=5, V437&lt;10), "med", V437&gt;=10, "high")</f>
        <v>high</v>
      </c>
      <c r="X437">
        <v>11</v>
      </c>
      <c r="Y437">
        <v>11</v>
      </c>
      <c r="Z437">
        <v>10</v>
      </c>
      <c r="AA437">
        <f t="shared" si="31"/>
        <v>0</v>
      </c>
      <c r="AB437">
        <f t="shared" si="32"/>
        <v>1</v>
      </c>
      <c r="AC437">
        <f t="shared" si="33"/>
        <v>1</v>
      </c>
      <c r="AD437" s="1">
        <f t="shared" si="34"/>
        <v>10.666666666666666</v>
      </c>
    </row>
    <row r="438" spans="1:30" x14ac:dyDescent="0.35">
      <c r="A438" t="s">
        <v>50</v>
      </c>
      <c r="B438">
        <v>15</v>
      </c>
      <c r="C438" t="s">
        <v>35</v>
      </c>
      <c r="D438" t="s">
        <v>47</v>
      </c>
      <c r="E438" t="s">
        <v>44</v>
      </c>
      <c r="F438" t="s">
        <v>39</v>
      </c>
      <c r="G438" t="s">
        <v>45</v>
      </c>
      <c r="H438">
        <v>1</v>
      </c>
      <c r="I438">
        <v>0</v>
      </c>
      <c r="J438" t="s">
        <v>43</v>
      </c>
      <c r="K438" t="s">
        <v>42</v>
      </c>
      <c r="L438" t="s">
        <v>43</v>
      </c>
      <c r="M438" t="s">
        <v>43</v>
      </c>
      <c r="N438" t="s">
        <v>42</v>
      </c>
      <c r="O438">
        <v>5</v>
      </c>
      <c r="P438">
        <v>4</v>
      </c>
      <c r="Q438">
        <v>3</v>
      </c>
      <c r="R438">
        <v>2</v>
      </c>
      <c r="S438">
        <v>4</v>
      </c>
      <c r="T438">
        <f t="shared" si="30"/>
        <v>6</v>
      </c>
      <c r="U438" t="str" cm="1">
        <f t="array" ref="U438">_xlfn.IFS(T438&lt;3, "low", AND(T438&gt;=3, T438&lt;5), "med", T438&gt;=5, "high")</f>
        <v>high</v>
      </c>
      <c r="V438">
        <v>8</v>
      </c>
      <c r="W438" t="str" cm="1">
        <f t="array" ref="W438">_xlfn.IFS(V438&lt;5, "low", AND(V438&gt;=5, V438&lt;10), "med", V438&gt;=10, "high")</f>
        <v>med</v>
      </c>
      <c r="X438">
        <v>10</v>
      </c>
      <c r="Y438">
        <v>11</v>
      </c>
      <c r="Z438">
        <v>11</v>
      </c>
      <c r="AA438">
        <f t="shared" si="31"/>
        <v>0</v>
      </c>
      <c r="AB438">
        <f t="shared" si="32"/>
        <v>0</v>
      </c>
      <c r="AC438">
        <f t="shared" si="33"/>
        <v>0</v>
      </c>
      <c r="AD438" s="1">
        <f t="shared" si="34"/>
        <v>10.666666666666666</v>
      </c>
    </row>
    <row r="439" spans="1:30" x14ac:dyDescent="0.35">
      <c r="A439" t="s">
        <v>50</v>
      </c>
      <c r="B439">
        <v>15</v>
      </c>
      <c r="C439" t="s">
        <v>35</v>
      </c>
      <c r="D439" t="s">
        <v>36</v>
      </c>
      <c r="E439" t="s">
        <v>44</v>
      </c>
      <c r="F439" t="s">
        <v>48</v>
      </c>
      <c r="G439" t="s">
        <v>39</v>
      </c>
      <c r="H439">
        <v>2</v>
      </c>
      <c r="I439">
        <v>0</v>
      </c>
      <c r="J439" t="s">
        <v>43</v>
      </c>
      <c r="K439" t="s">
        <v>42</v>
      </c>
      <c r="L439" t="s">
        <v>43</v>
      </c>
      <c r="M439" t="s">
        <v>42</v>
      </c>
      <c r="N439" t="s">
        <v>43</v>
      </c>
      <c r="O439">
        <v>4</v>
      </c>
      <c r="P439">
        <v>3</v>
      </c>
      <c r="Q439">
        <v>3</v>
      </c>
      <c r="R439">
        <v>1</v>
      </c>
      <c r="S439">
        <v>1</v>
      </c>
      <c r="T439">
        <f t="shared" si="30"/>
        <v>2</v>
      </c>
      <c r="U439" t="str" cm="1">
        <f t="array" ref="U439">_xlfn.IFS(T439&lt;3, "low", AND(T439&gt;=3, T439&lt;5), "med", T439&gt;=5, "high")</f>
        <v>low</v>
      </c>
      <c r="V439">
        <v>0</v>
      </c>
      <c r="W439" t="str" cm="1">
        <f t="array" ref="W439">_xlfn.IFS(V439&lt;5, "low", AND(V439&gt;=5, V439&lt;10), "med", V439&gt;=10, "high")</f>
        <v>low</v>
      </c>
      <c r="X439">
        <v>14</v>
      </c>
      <c r="Y439">
        <v>15</v>
      </c>
      <c r="Z439">
        <v>15</v>
      </c>
      <c r="AA439">
        <f t="shared" si="31"/>
        <v>0</v>
      </c>
      <c r="AB439">
        <f t="shared" si="32"/>
        <v>0</v>
      </c>
      <c r="AC439">
        <f t="shared" si="33"/>
        <v>0</v>
      </c>
      <c r="AD439" s="1">
        <f t="shared" si="34"/>
        <v>14.666666666666666</v>
      </c>
    </row>
    <row r="440" spans="1:30" x14ac:dyDescent="0.35">
      <c r="A440" t="s">
        <v>50</v>
      </c>
      <c r="B440">
        <v>15</v>
      </c>
      <c r="C440" t="s">
        <v>35</v>
      </c>
      <c r="D440" t="s">
        <v>36</v>
      </c>
      <c r="E440" t="s">
        <v>44</v>
      </c>
      <c r="F440" t="s">
        <v>48</v>
      </c>
      <c r="G440" t="s">
        <v>48</v>
      </c>
      <c r="H440">
        <v>1</v>
      </c>
      <c r="I440">
        <v>0</v>
      </c>
      <c r="J440" t="s">
        <v>42</v>
      </c>
      <c r="K440" t="s">
        <v>42</v>
      </c>
      <c r="L440" t="s">
        <v>43</v>
      </c>
      <c r="M440" t="s">
        <v>43</v>
      </c>
      <c r="N440" t="s">
        <v>43</v>
      </c>
      <c r="O440">
        <v>5</v>
      </c>
      <c r="P440">
        <v>4</v>
      </c>
      <c r="Q440">
        <v>1</v>
      </c>
      <c r="R440">
        <v>1</v>
      </c>
      <c r="S440">
        <v>1</v>
      </c>
      <c r="T440">
        <f t="shared" si="30"/>
        <v>2</v>
      </c>
      <c r="U440" t="str" cm="1">
        <f t="array" ref="U440">_xlfn.IFS(T440&lt;3, "low", AND(T440&gt;=3, T440&lt;5), "med", T440&gt;=5, "high")</f>
        <v>low</v>
      </c>
      <c r="V440">
        <v>0</v>
      </c>
      <c r="W440" t="str" cm="1">
        <f t="array" ref="W440">_xlfn.IFS(V440&lt;5, "low", AND(V440&gt;=5, V440&lt;10), "med", V440&gt;=10, "high")</f>
        <v>low</v>
      </c>
      <c r="X440">
        <v>9</v>
      </c>
      <c r="Y440">
        <v>10</v>
      </c>
      <c r="Z440">
        <v>10</v>
      </c>
      <c r="AA440">
        <f t="shared" si="31"/>
        <v>0</v>
      </c>
      <c r="AB440">
        <f t="shared" si="32"/>
        <v>0</v>
      </c>
      <c r="AC440">
        <f t="shared" si="33"/>
        <v>0</v>
      </c>
      <c r="AD440" s="1">
        <f t="shared" si="34"/>
        <v>9.6666666666666661</v>
      </c>
    </row>
    <row r="441" spans="1:30" x14ac:dyDescent="0.35">
      <c r="A441" t="s">
        <v>34</v>
      </c>
      <c r="B441">
        <v>16</v>
      </c>
      <c r="C441" t="s">
        <v>35</v>
      </c>
      <c r="D441" t="s">
        <v>47</v>
      </c>
      <c r="E441" t="s">
        <v>44</v>
      </c>
      <c r="F441" t="s">
        <v>45</v>
      </c>
      <c r="G441" t="s">
        <v>38</v>
      </c>
      <c r="H441">
        <v>2</v>
      </c>
      <c r="I441">
        <v>1</v>
      </c>
      <c r="J441" t="s">
        <v>42</v>
      </c>
      <c r="K441" t="s">
        <v>43</v>
      </c>
      <c r="L441" t="s">
        <v>43</v>
      </c>
      <c r="M441" t="s">
        <v>42</v>
      </c>
      <c r="N441" t="s">
        <v>43</v>
      </c>
      <c r="O441">
        <v>4</v>
      </c>
      <c r="P441">
        <v>3</v>
      </c>
      <c r="Q441">
        <v>3</v>
      </c>
      <c r="R441">
        <v>2</v>
      </c>
      <c r="S441">
        <v>2</v>
      </c>
      <c r="T441">
        <f t="shared" si="30"/>
        <v>4</v>
      </c>
      <c r="U441" t="str" cm="1">
        <f t="array" ref="U441">_xlfn.IFS(T441&lt;3, "low", AND(T441&gt;=3, T441&lt;5), "med", T441&gt;=5, "high")</f>
        <v>med</v>
      </c>
      <c r="V441">
        <v>14</v>
      </c>
      <c r="W441" t="str" cm="1">
        <f t="array" ref="W441">_xlfn.IFS(V441&lt;5, "low", AND(V441&gt;=5, V441&lt;10), "med", V441&gt;=10, "high")</f>
        <v>high</v>
      </c>
      <c r="X441">
        <v>10</v>
      </c>
      <c r="Y441">
        <v>11</v>
      </c>
      <c r="Z441">
        <v>11</v>
      </c>
      <c r="AA441">
        <f t="shared" si="31"/>
        <v>0</v>
      </c>
      <c r="AB441">
        <f t="shared" si="32"/>
        <v>0</v>
      </c>
      <c r="AC441">
        <f t="shared" si="33"/>
        <v>0</v>
      </c>
      <c r="AD441" s="1">
        <f t="shared" si="34"/>
        <v>10.666666666666666</v>
      </c>
    </row>
    <row r="442" spans="1:30" x14ac:dyDescent="0.35">
      <c r="A442" t="s">
        <v>34</v>
      </c>
      <c r="B442">
        <v>15</v>
      </c>
      <c r="C442" t="s">
        <v>35</v>
      </c>
      <c r="D442" t="s">
        <v>47</v>
      </c>
      <c r="E442" t="s">
        <v>37</v>
      </c>
      <c r="F442" t="s">
        <v>45</v>
      </c>
      <c r="G442" t="s">
        <v>45</v>
      </c>
      <c r="H442">
        <v>2</v>
      </c>
      <c r="I442">
        <v>0</v>
      </c>
      <c r="J442" t="s">
        <v>42</v>
      </c>
      <c r="K442" t="s">
        <v>42</v>
      </c>
      <c r="L442" t="s">
        <v>42</v>
      </c>
      <c r="M442" t="s">
        <v>42</v>
      </c>
      <c r="N442" t="s">
        <v>42</v>
      </c>
      <c r="O442">
        <v>5</v>
      </c>
      <c r="P442">
        <v>2</v>
      </c>
      <c r="Q442">
        <v>2</v>
      </c>
      <c r="R442">
        <v>1</v>
      </c>
      <c r="S442">
        <v>1</v>
      </c>
      <c r="T442">
        <f t="shared" si="30"/>
        <v>2</v>
      </c>
      <c r="U442" t="str" cm="1">
        <f t="array" ref="U442">_xlfn.IFS(T442&lt;3, "low", AND(T442&gt;=3, T442&lt;5), "med", T442&gt;=5, "high")</f>
        <v>low</v>
      </c>
      <c r="V442">
        <v>4</v>
      </c>
      <c r="W442" t="str" cm="1">
        <f t="array" ref="W442">_xlfn.IFS(V442&lt;5, "low", AND(V442&gt;=5, V442&lt;10), "med", V442&gt;=10, "high")</f>
        <v>low</v>
      </c>
      <c r="X442">
        <v>10</v>
      </c>
      <c r="Y442">
        <v>11</v>
      </c>
      <c r="Z442">
        <v>11</v>
      </c>
      <c r="AA442">
        <f t="shared" si="31"/>
        <v>0</v>
      </c>
      <c r="AB442">
        <f t="shared" si="32"/>
        <v>0</v>
      </c>
      <c r="AC442">
        <f t="shared" si="33"/>
        <v>0</v>
      </c>
      <c r="AD442" s="1">
        <f t="shared" si="34"/>
        <v>10.666666666666666</v>
      </c>
    </row>
    <row r="443" spans="1:30" x14ac:dyDescent="0.35">
      <c r="A443" t="s">
        <v>34</v>
      </c>
      <c r="B443">
        <v>16</v>
      </c>
      <c r="C443" t="s">
        <v>35</v>
      </c>
      <c r="D443" t="s">
        <v>47</v>
      </c>
      <c r="E443" t="s">
        <v>37</v>
      </c>
      <c r="F443" t="s">
        <v>45</v>
      </c>
      <c r="G443" t="s">
        <v>48</v>
      </c>
      <c r="H443">
        <v>2</v>
      </c>
      <c r="I443">
        <v>0</v>
      </c>
      <c r="J443" t="s">
        <v>43</v>
      </c>
      <c r="K443" t="s">
        <v>42</v>
      </c>
      <c r="L443" t="s">
        <v>43</v>
      </c>
      <c r="M443" t="s">
        <v>43</v>
      </c>
      <c r="N443" t="s">
        <v>43</v>
      </c>
      <c r="O443">
        <v>2</v>
      </c>
      <c r="P443">
        <v>3</v>
      </c>
      <c r="Q443">
        <v>5</v>
      </c>
      <c r="R443">
        <v>1</v>
      </c>
      <c r="S443">
        <v>4</v>
      </c>
      <c r="T443">
        <f t="shared" si="30"/>
        <v>5</v>
      </c>
      <c r="U443" t="str" cm="1">
        <f t="array" ref="U443">_xlfn.IFS(T443&lt;3, "low", AND(T443&gt;=3, T443&lt;5), "med", T443&gt;=5, "high")</f>
        <v>high</v>
      </c>
      <c r="V443">
        <v>6</v>
      </c>
      <c r="W443" t="str" cm="1">
        <f t="array" ref="W443">_xlfn.IFS(V443&lt;5, "low", AND(V443&gt;=5, V443&lt;10), "med", V443&gt;=10, "high")</f>
        <v>med</v>
      </c>
      <c r="X443">
        <v>13</v>
      </c>
      <c r="Y443">
        <v>12</v>
      </c>
      <c r="Z443">
        <v>13</v>
      </c>
      <c r="AA443">
        <f t="shared" si="31"/>
        <v>1</v>
      </c>
      <c r="AB443">
        <f t="shared" si="32"/>
        <v>0</v>
      </c>
      <c r="AC443">
        <f t="shared" si="33"/>
        <v>1</v>
      </c>
      <c r="AD443" s="1">
        <f t="shared" si="34"/>
        <v>12.666666666666666</v>
      </c>
    </row>
    <row r="444" spans="1:30" x14ac:dyDescent="0.35">
      <c r="A444" t="s">
        <v>50</v>
      </c>
      <c r="B444">
        <v>16</v>
      </c>
      <c r="C444" t="s">
        <v>35</v>
      </c>
      <c r="D444" t="s">
        <v>36</v>
      </c>
      <c r="E444" t="s">
        <v>44</v>
      </c>
      <c r="F444" t="s">
        <v>28</v>
      </c>
      <c r="G444" t="s">
        <v>48</v>
      </c>
      <c r="H444">
        <v>4</v>
      </c>
      <c r="I444">
        <v>0</v>
      </c>
      <c r="J444" t="s">
        <v>43</v>
      </c>
      <c r="K444" t="s">
        <v>43</v>
      </c>
      <c r="L444" t="s">
        <v>43</v>
      </c>
      <c r="M444" t="s">
        <v>42</v>
      </c>
      <c r="N444" t="s">
        <v>43</v>
      </c>
      <c r="O444">
        <v>4</v>
      </c>
      <c r="P444">
        <v>2</v>
      </c>
      <c r="Q444">
        <v>2</v>
      </c>
      <c r="R444">
        <v>1</v>
      </c>
      <c r="S444">
        <v>1</v>
      </c>
      <c r="T444">
        <f t="shared" si="30"/>
        <v>2</v>
      </c>
      <c r="U444" t="str" cm="1">
        <f t="array" ref="U444">_xlfn.IFS(T444&lt;3, "low", AND(T444&gt;=3, T444&lt;5), "med", T444&gt;=5, "high")</f>
        <v>low</v>
      </c>
      <c r="V444">
        <v>2</v>
      </c>
      <c r="W444" t="str" cm="1">
        <f t="array" ref="W444">_xlfn.IFS(V444&lt;5, "low", AND(V444&gt;=5, V444&lt;10), "med", V444&gt;=10, "high")</f>
        <v>low</v>
      </c>
      <c r="X444">
        <v>17</v>
      </c>
      <c r="Y444">
        <v>17</v>
      </c>
      <c r="Z444">
        <v>17</v>
      </c>
      <c r="AA444">
        <f t="shared" si="31"/>
        <v>0</v>
      </c>
      <c r="AB444">
        <f t="shared" si="32"/>
        <v>0</v>
      </c>
      <c r="AC444">
        <f t="shared" si="33"/>
        <v>0</v>
      </c>
      <c r="AD444" s="1">
        <f t="shared" si="34"/>
        <v>17</v>
      </c>
    </row>
    <row r="445" spans="1:30" x14ac:dyDescent="0.35">
      <c r="A445" t="s">
        <v>50</v>
      </c>
      <c r="B445">
        <v>15</v>
      </c>
      <c r="C445" t="s">
        <v>35</v>
      </c>
      <c r="D445" t="s">
        <v>36</v>
      </c>
      <c r="E445" t="s">
        <v>44</v>
      </c>
      <c r="F445" t="s">
        <v>39</v>
      </c>
      <c r="G445" t="s">
        <v>45</v>
      </c>
      <c r="H445">
        <v>2</v>
      </c>
      <c r="I445">
        <v>0</v>
      </c>
      <c r="J445" t="s">
        <v>43</v>
      </c>
      <c r="K445" t="s">
        <v>42</v>
      </c>
      <c r="L445" t="s">
        <v>43</v>
      </c>
      <c r="M445" t="s">
        <v>43</v>
      </c>
      <c r="N445" t="s">
        <v>43</v>
      </c>
      <c r="O445">
        <v>4</v>
      </c>
      <c r="P445">
        <v>3</v>
      </c>
      <c r="Q445">
        <v>3</v>
      </c>
      <c r="R445">
        <v>2</v>
      </c>
      <c r="S445">
        <v>2</v>
      </c>
      <c r="T445">
        <f t="shared" si="30"/>
        <v>4</v>
      </c>
      <c r="U445" t="str" cm="1">
        <f t="array" ref="U445">_xlfn.IFS(T445&lt;3, "low", AND(T445&gt;=3, T445&lt;5), "med", T445&gt;=5, "high")</f>
        <v>med</v>
      </c>
      <c r="V445">
        <v>4</v>
      </c>
      <c r="W445" t="str" cm="1">
        <f t="array" ref="W445">_xlfn.IFS(V445&lt;5, "low", AND(V445&gt;=5, V445&lt;10), "med", V445&gt;=10, "high")</f>
        <v>low</v>
      </c>
      <c r="X445">
        <v>11</v>
      </c>
      <c r="Y445">
        <v>12</v>
      </c>
      <c r="Z445">
        <v>13</v>
      </c>
      <c r="AA445">
        <f t="shared" si="31"/>
        <v>0</v>
      </c>
      <c r="AB445">
        <f t="shared" si="32"/>
        <v>0</v>
      </c>
      <c r="AC445">
        <f t="shared" si="33"/>
        <v>0</v>
      </c>
      <c r="AD445" s="1">
        <f t="shared" si="34"/>
        <v>12</v>
      </c>
    </row>
    <row r="446" spans="1:30" x14ac:dyDescent="0.35">
      <c r="A446" t="s">
        <v>34</v>
      </c>
      <c r="B446">
        <v>15</v>
      </c>
      <c r="C446" t="s">
        <v>35</v>
      </c>
      <c r="D446" t="s">
        <v>36</v>
      </c>
      <c r="E446" t="s">
        <v>44</v>
      </c>
      <c r="F446" t="s">
        <v>48</v>
      </c>
      <c r="G446" t="s">
        <v>39</v>
      </c>
      <c r="H446">
        <v>2</v>
      </c>
      <c r="I446">
        <v>0</v>
      </c>
      <c r="J446" t="s">
        <v>42</v>
      </c>
      <c r="K446" t="s">
        <v>42</v>
      </c>
      <c r="L446" t="s">
        <v>43</v>
      </c>
      <c r="M446" t="s">
        <v>42</v>
      </c>
      <c r="N446" t="s">
        <v>43</v>
      </c>
      <c r="O446">
        <v>4</v>
      </c>
      <c r="P446">
        <v>4</v>
      </c>
      <c r="Q446">
        <v>4</v>
      </c>
      <c r="R446">
        <v>1</v>
      </c>
      <c r="S446">
        <v>1</v>
      </c>
      <c r="T446">
        <f t="shared" si="30"/>
        <v>2</v>
      </c>
      <c r="U446" t="str" cm="1">
        <f t="array" ref="U446">_xlfn.IFS(T446&lt;3, "low", AND(T446&gt;=3, T446&lt;5), "med", T446&gt;=5, "high")</f>
        <v>low</v>
      </c>
      <c r="V446">
        <v>2</v>
      </c>
      <c r="W446" t="str" cm="1">
        <f t="array" ref="W446">_xlfn.IFS(V446&lt;5, "low", AND(V446&gt;=5, V446&lt;10), "med", V446&gt;=10, "high")</f>
        <v>low</v>
      </c>
      <c r="X446">
        <v>13</v>
      </c>
      <c r="Y446">
        <v>12</v>
      </c>
      <c r="Z446">
        <v>12</v>
      </c>
      <c r="AA446">
        <f t="shared" si="31"/>
        <v>1</v>
      </c>
      <c r="AB446">
        <f t="shared" si="32"/>
        <v>0</v>
      </c>
      <c r="AC446">
        <f t="shared" si="33"/>
        <v>1</v>
      </c>
      <c r="AD446" s="1">
        <f t="shared" si="34"/>
        <v>12.333333333333334</v>
      </c>
    </row>
    <row r="447" spans="1:30" x14ac:dyDescent="0.35">
      <c r="A447" t="s">
        <v>34</v>
      </c>
      <c r="B447">
        <v>16</v>
      </c>
      <c r="C447" t="s">
        <v>35</v>
      </c>
      <c r="D447" t="s">
        <v>47</v>
      </c>
      <c r="E447" t="s">
        <v>44</v>
      </c>
      <c r="F447" t="s">
        <v>48</v>
      </c>
      <c r="G447" t="s">
        <v>48</v>
      </c>
      <c r="H447">
        <v>2</v>
      </c>
      <c r="I447">
        <v>0</v>
      </c>
      <c r="J447" t="s">
        <v>43</v>
      </c>
      <c r="K447" t="s">
        <v>42</v>
      </c>
      <c r="L447" t="s">
        <v>43</v>
      </c>
      <c r="M447" t="s">
        <v>43</v>
      </c>
      <c r="N447" t="s">
        <v>43</v>
      </c>
      <c r="O447">
        <v>4</v>
      </c>
      <c r="P447">
        <v>3</v>
      </c>
      <c r="Q447">
        <v>3</v>
      </c>
      <c r="R447">
        <v>2</v>
      </c>
      <c r="S447">
        <v>3</v>
      </c>
      <c r="T447">
        <f t="shared" si="30"/>
        <v>5</v>
      </c>
      <c r="U447" t="str" cm="1">
        <f t="array" ref="U447">_xlfn.IFS(T447&lt;3, "low", AND(T447&gt;=3, T447&lt;5), "med", T447&gt;=5, "high")</f>
        <v>high</v>
      </c>
      <c r="V447">
        <v>0</v>
      </c>
      <c r="W447" t="str" cm="1">
        <f t="array" ref="W447">_xlfn.IFS(V447&lt;5, "low", AND(V447&gt;=5, V447&lt;10), "med", V447&gt;=10, "high")</f>
        <v>low</v>
      </c>
      <c r="X447">
        <v>14</v>
      </c>
      <c r="Y447">
        <v>13</v>
      </c>
      <c r="Z447">
        <v>13</v>
      </c>
      <c r="AA447">
        <f t="shared" si="31"/>
        <v>1</v>
      </c>
      <c r="AB447">
        <f t="shared" si="32"/>
        <v>0</v>
      </c>
      <c r="AC447">
        <f t="shared" si="33"/>
        <v>1</v>
      </c>
      <c r="AD447" s="1">
        <f t="shared" si="34"/>
        <v>13.333333333333334</v>
      </c>
    </row>
    <row r="448" spans="1:30" x14ac:dyDescent="0.35">
      <c r="A448" t="s">
        <v>34</v>
      </c>
      <c r="B448">
        <v>15</v>
      </c>
      <c r="C448" t="s">
        <v>35</v>
      </c>
      <c r="D448" t="s">
        <v>47</v>
      </c>
      <c r="E448" t="s">
        <v>44</v>
      </c>
      <c r="F448" t="s">
        <v>28</v>
      </c>
      <c r="G448" t="s">
        <v>45</v>
      </c>
      <c r="H448">
        <v>2</v>
      </c>
      <c r="I448">
        <v>0</v>
      </c>
      <c r="J448" t="s">
        <v>43</v>
      </c>
      <c r="K448" t="s">
        <v>42</v>
      </c>
      <c r="L448" t="s">
        <v>43</v>
      </c>
      <c r="M448" t="s">
        <v>43</v>
      </c>
      <c r="N448" t="s">
        <v>43</v>
      </c>
      <c r="O448">
        <v>4</v>
      </c>
      <c r="P448">
        <v>3</v>
      </c>
      <c r="Q448">
        <v>3</v>
      </c>
      <c r="R448">
        <v>1</v>
      </c>
      <c r="S448">
        <v>1</v>
      </c>
      <c r="T448">
        <f t="shared" si="30"/>
        <v>2</v>
      </c>
      <c r="U448" t="str" cm="1">
        <f t="array" ref="U448">_xlfn.IFS(T448&lt;3, "low", AND(T448&gt;=3, T448&lt;5), "med", T448&gt;=5, "high")</f>
        <v>low</v>
      </c>
      <c r="V448">
        <v>0</v>
      </c>
      <c r="W448" t="str" cm="1">
        <f t="array" ref="W448">_xlfn.IFS(V448&lt;5, "low", AND(V448&gt;=5, V448&lt;10), "med", V448&gt;=10, "high")</f>
        <v>low</v>
      </c>
      <c r="X448">
        <v>16</v>
      </c>
      <c r="Y448">
        <v>14</v>
      </c>
      <c r="Z448">
        <v>16</v>
      </c>
      <c r="AA448">
        <f t="shared" si="31"/>
        <v>1</v>
      </c>
      <c r="AB448">
        <f t="shared" si="32"/>
        <v>0</v>
      </c>
      <c r="AC448">
        <f t="shared" si="33"/>
        <v>1</v>
      </c>
      <c r="AD448" s="1">
        <f t="shared" si="34"/>
        <v>15.333333333333334</v>
      </c>
    </row>
    <row r="449" spans="1:30" x14ac:dyDescent="0.35">
      <c r="A449" t="s">
        <v>50</v>
      </c>
      <c r="B449">
        <v>15</v>
      </c>
      <c r="C449" t="s">
        <v>35</v>
      </c>
      <c r="D449" t="s">
        <v>47</v>
      </c>
      <c r="E449" t="s">
        <v>37</v>
      </c>
      <c r="F449" t="s">
        <v>28</v>
      </c>
      <c r="G449" t="s">
        <v>28</v>
      </c>
      <c r="H449">
        <v>1</v>
      </c>
      <c r="I449">
        <v>0</v>
      </c>
      <c r="J449" t="s">
        <v>43</v>
      </c>
      <c r="K449" t="s">
        <v>43</v>
      </c>
      <c r="L449" t="s">
        <v>43</v>
      </c>
      <c r="M449" t="s">
        <v>43</v>
      </c>
      <c r="N449" t="s">
        <v>43</v>
      </c>
      <c r="O449">
        <v>5</v>
      </c>
      <c r="P449">
        <v>5</v>
      </c>
      <c r="Q449">
        <v>5</v>
      </c>
      <c r="R449">
        <v>3</v>
      </c>
      <c r="S449">
        <v>4</v>
      </c>
      <c r="T449">
        <f t="shared" si="30"/>
        <v>7</v>
      </c>
      <c r="U449" t="str" cm="1">
        <f t="array" ref="U449">_xlfn.IFS(T449&lt;3, "low", AND(T449&gt;=3, T449&lt;5), "med", T449&gt;=5, "high")</f>
        <v>high</v>
      </c>
      <c r="V449">
        <v>4</v>
      </c>
      <c r="W449" t="str" cm="1">
        <f t="array" ref="W449">_xlfn.IFS(V449&lt;5, "low", AND(V449&gt;=5, V449&lt;10), "med", V449&gt;=10, "high")</f>
        <v>low</v>
      </c>
      <c r="X449">
        <v>10</v>
      </c>
      <c r="Y449">
        <v>9</v>
      </c>
      <c r="Z449">
        <v>9</v>
      </c>
      <c r="AA449">
        <f t="shared" si="31"/>
        <v>1</v>
      </c>
      <c r="AB449">
        <f t="shared" si="32"/>
        <v>0</v>
      </c>
      <c r="AC449">
        <f t="shared" si="33"/>
        <v>1</v>
      </c>
      <c r="AD449" s="1">
        <f t="shared" si="34"/>
        <v>9.3333333333333339</v>
      </c>
    </row>
    <row r="450" spans="1:30" x14ac:dyDescent="0.35">
      <c r="A450" t="s">
        <v>34</v>
      </c>
      <c r="B450">
        <v>15</v>
      </c>
      <c r="C450" t="s">
        <v>35</v>
      </c>
      <c r="D450" t="s">
        <v>36</v>
      </c>
      <c r="E450" t="s">
        <v>44</v>
      </c>
      <c r="F450" t="s">
        <v>48</v>
      </c>
      <c r="G450" t="s">
        <v>48</v>
      </c>
      <c r="H450">
        <v>1</v>
      </c>
      <c r="I450">
        <v>0</v>
      </c>
      <c r="J450" t="s">
        <v>42</v>
      </c>
      <c r="K450" t="s">
        <v>42</v>
      </c>
      <c r="L450" t="s">
        <v>43</v>
      </c>
      <c r="M450" t="s">
        <v>43</v>
      </c>
      <c r="N450" t="s">
        <v>43</v>
      </c>
      <c r="O450">
        <v>3</v>
      </c>
      <c r="P450">
        <v>3</v>
      </c>
      <c r="Q450">
        <v>4</v>
      </c>
      <c r="R450">
        <v>2</v>
      </c>
      <c r="S450">
        <v>3</v>
      </c>
      <c r="T450">
        <f t="shared" si="30"/>
        <v>5</v>
      </c>
      <c r="U450" t="str" cm="1">
        <f t="array" ref="U450">_xlfn.IFS(T450&lt;3, "low", AND(T450&gt;=3, T450&lt;5), "med", T450&gt;=5, "high")</f>
        <v>high</v>
      </c>
      <c r="V450">
        <v>0</v>
      </c>
      <c r="W450" t="str" cm="1">
        <f t="array" ref="W450">_xlfn.IFS(V450&lt;5, "low", AND(V450&gt;=5, V450&lt;10), "med", V450&gt;=10, "high")</f>
        <v>low</v>
      </c>
      <c r="X450">
        <v>13</v>
      </c>
      <c r="Y450">
        <v>12</v>
      </c>
      <c r="Z450">
        <v>12</v>
      </c>
      <c r="AA450">
        <f t="shared" si="31"/>
        <v>1</v>
      </c>
      <c r="AB450">
        <f t="shared" si="32"/>
        <v>0</v>
      </c>
      <c r="AC450">
        <f t="shared" si="33"/>
        <v>1</v>
      </c>
      <c r="AD450" s="1">
        <f t="shared" si="34"/>
        <v>12.333333333333334</v>
      </c>
    </row>
    <row r="451" spans="1:30" x14ac:dyDescent="0.35">
      <c r="A451" t="s">
        <v>34</v>
      </c>
      <c r="B451">
        <v>15</v>
      </c>
      <c r="C451" t="s">
        <v>35</v>
      </c>
      <c r="D451" t="s">
        <v>47</v>
      </c>
      <c r="E451" t="s">
        <v>37</v>
      </c>
      <c r="F451" t="s">
        <v>45</v>
      </c>
      <c r="G451" t="s">
        <v>45</v>
      </c>
      <c r="H451">
        <v>1</v>
      </c>
      <c r="I451">
        <v>0</v>
      </c>
      <c r="J451" t="s">
        <v>43</v>
      </c>
      <c r="K451" t="s">
        <v>43</v>
      </c>
      <c r="L451" t="s">
        <v>43</v>
      </c>
      <c r="M451" t="s">
        <v>43</v>
      </c>
      <c r="N451" t="s">
        <v>43</v>
      </c>
      <c r="O451">
        <v>5</v>
      </c>
      <c r="P451">
        <v>3</v>
      </c>
      <c r="Q451">
        <v>4</v>
      </c>
      <c r="R451">
        <v>4</v>
      </c>
      <c r="S451">
        <v>4</v>
      </c>
      <c r="T451">
        <f t="shared" ref="T451:T514" si="35">R451+S451</f>
        <v>8</v>
      </c>
      <c r="U451" t="str" cm="1">
        <f t="array" ref="U451">_xlfn.IFS(T451&lt;3, "low", AND(T451&gt;=3, T451&lt;5), "med", T451&gt;=5, "high")</f>
        <v>high</v>
      </c>
      <c r="V451">
        <v>0</v>
      </c>
      <c r="W451" t="str" cm="1">
        <f t="array" ref="W451">_xlfn.IFS(V451&lt;5, "low", AND(V451&gt;=5, V451&lt;10), "med", V451&gt;=10, "high")</f>
        <v>low</v>
      </c>
      <c r="X451">
        <v>13</v>
      </c>
      <c r="Y451">
        <v>12</v>
      </c>
      <c r="Z451">
        <v>13</v>
      </c>
      <c r="AA451">
        <f t="shared" ref="AA451:AA514" si="36">IF(Y451&lt;X451,1,0)</f>
        <v>1</v>
      </c>
      <c r="AB451">
        <f t="shared" ref="AB451:AB514" si="37">IF(Z451&lt;Y451,1,0)</f>
        <v>0</v>
      </c>
      <c r="AC451">
        <f t="shared" ref="AC451:AC514" si="38">SUM(AA451:AB451)</f>
        <v>1</v>
      </c>
      <c r="AD451" s="1">
        <f t="shared" ref="AD451:AD514" si="39">AVERAGE(X451:Z451)</f>
        <v>12.666666666666666</v>
      </c>
    </row>
    <row r="452" spans="1:30" x14ac:dyDescent="0.35">
      <c r="A452" t="s">
        <v>34</v>
      </c>
      <c r="B452">
        <v>16</v>
      </c>
      <c r="C452" t="s">
        <v>35</v>
      </c>
      <c r="D452" t="s">
        <v>36</v>
      </c>
      <c r="E452" t="s">
        <v>37</v>
      </c>
      <c r="F452" t="s">
        <v>45</v>
      </c>
      <c r="G452" t="s">
        <v>45</v>
      </c>
      <c r="H452">
        <v>2</v>
      </c>
      <c r="I452">
        <v>0</v>
      </c>
      <c r="J452" t="s">
        <v>43</v>
      </c>
      <c r="K452" t="s">
        <v>43</v>
      </c>
      <c r="L452" t="s">
        <v>43</v>
      </c>
      <c r="M452" t="s">
        <v>42</v>
      </c>
      <c r="N452" t="s">
        <v>42</v>
      </c>
      <c r="O452">
        <v>5</v>
      </c>
      <c r="P452">
        <v>3</v>
      </c>
      <c r="Q452">
        <v>4</v>
      </c>
      <c r="R452">
        <v>1</v>
      </c>
      <c r="S452">
        <v>1</v>
      </c>
      <c r="T452">
        <f t="shared" si="35"/>
        <v>2</v>
      </c>
      <c r="U452" t="str" cm="1">
        <f t="array" ref="U452">_xlfn.IFS(T452&lt;3, "low", AND(T452&gt;=3, T452&lt;5), "med", T452&gt;=5, "high")</f>
        <v>low</v>
      </c>
      <c r="V452">
        <v>2</v>
      </c>
      <c r="W452" t="str" cm="1">
        <f t="array" ref="W452">_xlfn.IFS(V452&lt;5, "low", AND(V452&gt;=5, V452&lt;10), "med", V452&gt;=10, "high")</f>
        <v>low</v>
      </c>
      <c r="X452">
        <v>12</v>
      </c>
      <c r="Y452">
        <v>13</v>
      </c>
      <c r="Z452">
        <v>12</v>
      </c>
      <c r="AA452">
        <f t="shared" si="36"/>
        <v>0</v>
      </c>
      <c r="AB452">
        <f t="shared" si="37"/>
        <v>1</v>
      </c>
      <c r="AC452">
        <f t="shared" si="38"/>
        <v>1</v>
      </c>
      <c r="AD452" s="1">
        <f t="shared" si="39"/>
        <v>12.333333333333334</v>
      </c>
    </row>
    <row r="453" spans="1:30" x14ac:dyDescent="0.35">
      <c r="A453" t="s">
        <v>34</v>
      </c>
      <c r="B453">
        <v>15</v>
      </c>
      <c r="C453" t="s">
        <v>35</v>
      </c>
      <c r="D453" t="s">
        <v>36</v>
      </c>
      <c r="E453" t="s">
        <v>37</v>
      </c>
      <c r="F453" t="s">
        <v>48</v>
      </c>
      <c r="G453" t="s">
        <v>48</v>
      </c>
      <c r="H453">
        <v>2</v>
      </c>
      <c r="I453">
        <v>0</v>
      </c>
      <c r="J453" t="s">
        <v>43</v>
      </c>
      <c r="K453" t="s">
        <v>42</v>
      </c>
      <c r="L453" t="s">
        <v>43</v>
      </c>
      <c r="M453" t="s">
        <v>42</v>
      </c>
      <c r="N453" t="s">
        <v>43</v>
      </c>
      <c r="O453">
        <v>4</v>
      </c>
      <c r="P453">
        <v>3</v>
      </c>
      <c r="Q453">
        <v>2</v>
      </c>
      <c r="R453">
        <v>1</v>
      </c>
      <c r="S453">
        <v>1</v>
      </c>
      <c r="T453">
        <f t="shared" si="35"/>
        <v>2</v>
      </c>
      <c r="U453" t="str" cm="1">
        <f t="array" ref="U453">_xlfn.IFS(T453&lt;3, "low", AND(T453&gt;=3, T453&lt;5), "med", T453&gt;=5, "high")</f>
        <v>low</v>
      </c>
      <c r="V453">
        <v>0</v>
      </c>
      <c r="W453" t="str" cm="1">
        <f t="array" ref="W453">_xlfn.IFS(V453&lt;5, "low", AND(V453&gt;=5, V453&lt;10), "med", V453&gt;=10, "high")</f>
        <v>low</v>
      </c>
      <c r="X453">
        <v>15</v>
      </c>
      <c r="Y453">
        <v>14</v>
      </c>
      <c r="Z453">
        <v>15</v>
      </c>
      <c r="AA453">
        <f t="shared" si="36"/>
        <v>1</v>
      </c>
      <c r="AB453">
        <f t="shared" si="37"/>
        <v>0</v>
      </c>
      <c r="AC453">
        <f t="shared" si="38"/>
        <v>1</v>
      </c>
      <c r="AD453" s="1">
        <f t="shared" si="39"/>
        <v>14.666666666666666</v>
      </c>
    </row>
    <row r="454" spans="1:30" x14ac:dyDescent="0.35">
      <c r="A454" t="s">
        <v>50</v>
      </c>
      <c r="B454">
        <v>15</v>
      </c>
      <c r="C454" t="s">
        <v>35</v>
      </c>
      <c r="D454" t="s">
        <v>36</v>
      </c>
      <c r="E454" t="s">
        <v>44</v>
      </c>
      <c r="F454" t="s">
        <v>39</v>
      </c>
      <c r="G454" t="s">
        <v>28</v>
      </c>
      <c r="H454">
        <v>2</v>
      </c>
      <c r="I454">
        <v>0</v>
      </c>
      <c r="J454" t="s">
        <v>43</v>
      </c>
      <c r="K454" t="s">
        <v>42</v>
      </c>
      <c r="L454" t="s">
        <v>43</v>
      </c>
      <c r="M454" t="s">
        <v>42</v>
      </c>
      <c r="N454" t="s">
        <v>43</v>
      </c>
      <c r="O454">
        <v>3</v>
      </c>
      <c r="P454">
        <v>2</v>
      </c>
      <c r="Q454">
        <v>2</v>
      </c>
      <c r="R454">
        <v>1</v>
      </c>
      <c r="S454">
        <v>1</v>
      </c>
      <c r="T454">
        <f t="shared" si="35"/>
        <v>2</v>
      </c>
      <c r="U454" t="str" cm="1">
        <f t="array" ref="U454">_xlfn.IFS(T454&lt;3, "low", AND(T454&gt;=3, T454&lt;5), "med", T454&gt;=5, "high")</f>
        <v>low</v>
      </c>
      <c r="V454">
        <v>8</v>
      </c>
      <c r="W454" t="str" cm="1">
        <f t="array" ref="W454">_xlfn.IFS(V454&lt;5, "low", AND(V454&gt;=5, V454&lt;10), "med", V454&gt;=10, "high")</f>
        <v>med</v>
      </c>
      <c r="X454">
        <v>15</v>
      </c>
      <c r="Y454">
        <v>15</v>
      </c>
      <c r="Z454">
        <v>16</v>
      </c>
      <c r="AA454">
        <f t="shared" si="36"/>
        <v>0</v>
      </c>
      <c r="AB454">
        <f t="shared" si="37"/>
        <v>0</v>
      </c>
      <c r="AC454">
        <f t="shared" si="38"/>
        <v>0</v>
      </c>
      <c r="AD454" s="1">
        <f t="shared" si="39"/>
        <v>15.333333333333334</v>
      </c>
    </row>
    <row r="455" spans="1:30" x14ac:dyDescent="0.35">
      <c r="A455" t="s">
        <v>50</v>
      </c>
      <c r="B455">
        <v>15</v>
      </c>
      <c r="C455" t="s">
        <v>35</v>
      </c>
      <c r="D455" t="s">
        <v>47</v>
      </c>
      <c r="E455" t="s">
        <v>44</v>
      </c>
      <c r="F455" t="s">
        <v>45</v>
      </c>
      <c r="G455" t="s">
        <v>38</v>
      </c>
      <c r="H455">
        <v>2</v>
      </c>
      <c r="I455">
        <v>0</v>
      </c>
      <c r="J455" t="s">
        <v>42</v>
      </c>
      <c r="K455" t="s">
        <v>42</v>
      </c>
      <c r="L455" t="s">
        <v>43</v>
      </c>
      <c r="M455" t="s">
        <v>42</v>
      </c>
      <c r="N455" t="s">
        <v>43</v>
      </c>
      <c r="O455">
        <v>4</v>
      </c>
      <c r="P455">
        <v>3</v>
      </c>
      <c r="Q455">
        <v>2</v>
      </c>
      <c r="R455">
        <v>1</v>
      </c>
      <c r="S455">
        <v>1</v>
      </c>
      <c r="T455">
        <f t="shared" si="35"/>
        <v>2</v>
      </c>
      <c r="U455" t="str" cm="1">
        <f t="array" ref="U455">_xlfn.IFS(T455&lt;3, "low", AND(T455&gt;=3, T455&lt;5), "med", T455&gt;=5, "high")</f>
        <v>low</v>
      </c>
      <c r="V455">
        <v>0</v>
      </c>
      <c r="W455" t="str" cm="1">
        <f t="array" ref="W455">_xlfn.IFS(V455&lt;5, "low", AND(V455&gt;=5, V455&lt;10), "med", V455&gt;=10, "high")</f>
        <v>low</v>
      </c>
      <c r="X455">
        <v>14</v>
      </c>
      <c r="Y455">
        <v>13</v>
      </c>
      <c r="Z455">
        <v>14</v>
      </c>
      <c r="AA455">
        <f t="shared" si="36"/>
        <v>1</v>
      </c>
      <c r="AB455">
        <f t="shared" si="37"/>
        <v>0</v>
      </c>
      <c r="AC455">
        <f t="shared" si="38"/>
        <v>1</v>
      </c>
      <c r="AD455" s="1">
        <f t="shared" si="39"/>
        <v>13.666666666666666</v>
      </c>
    </row>
    <row r="456" spans="1:30" x14ac:dyDescent="0.35">
      <c r="A456" t="s">
        <v>34</v>
      </c>
      <c r="B456">
        <v>16</v>
      </c>
      <c r="C456" t="s">
        <v>35</v>
      </c>
      <c r="D456" t="s">
        <v>36</v>
      </c>
      <c r="E456" t="s">
        <v>44</v>
      </c>
      <c r="F456" t="s">
        <v>48</v>
      </c>
      <c r="G456" t="s">
        <v>45</v>
      </c>
      <c r="H456">
        <v>2</v>
      </c>
      <c r="I456">
        <v>0</v>
      </c>
      <c r="J456" t="s">
        <v>43</v>
      </c>
      <c r="K456" t="s">
        <v>42</v>
      </c>
      <c r="L456" t="s">
        <v>42</v>
      </c>
      <c r="M456" t="s">
        <v>43</v>
      </c>
      <c r="N456" t="s">
        <v>43</v>
      </c>
      <c r="O456">
        <v>4</v>
      </c>
      <c r="P456">
        <v>2</v>
      </c>
      <c r="Q456">
        <v>3</v>
      </c>
      <c r="R456">
        <v>1</v>
      </c>
      <c r="S456">
        <v>1</v>
      </c>
      <c r="T456">
        <f t="shared" si="35"/>
        <v>2</v>
      </c>
      <c r="U456" t="str" cm="1">
        <f t="array" ref="U456">_xlfn.IFS(T456&lt;3, "low", AND(T456&gt;=3, T456&lt;5), "med", T456&gt;=5, "high")</f>
        <v>low</v>
      </c>
      <c r="V456">
        <v>2</v>
      </c>
      <c r="W456" t="str" cm="1">
        <f t="array" ref="W456">_xlfn.IFS(V456&lt;5, "low", AND(V456&gt;=5, V456&lt;10), "med", V456&gt;=10, "high")</f>
        <v>low</v>
      </c>
      <c r="X456">
        <v>16</v>
      </c>
      <c r="Y456">
        <v>15</v>
      </c>
      <c r="Z456">
        <v>16</v>
      </c>
      <c r="AA456">
        <f t="shared" si="36"/>
        <v>1</v>
      </c>
      <c r="AB456">
        <f t="shared" si="37"/>
        <v>0</v>
      </c>
      <c r="AC456">
        <f t="shared" si="38"/>
        <v>1</v>
      </c>
      <c r="AD456" s="1">
        <f t="shared" si="39"/>
        <v>15.666666666666666</v>
      </c>
    </row>
    <row r="457" spans="1:30" x14ac:dyDescent="0.35">
      <c r="A457" t="s">
        <v>34</v>
      </c>
      <c r="B457">
        <v>16</v>
      </c>
      <c r="C457" t="s">
        <v>52</v>
      </c>
      <c r="D457" t="s">
        <v>36</v>
      </c>
      <c r="E457" t="s">
        <v>44</v>
      </c>
      <c r="F457" t="s">
        <v>28</v>
      </c>
      <c r="G457" t="s">
        <v>39</v>
      </c>
      <c r="H457">
        <v>2</v>
      </c>
      <c r="I457">
        <v>0</v>
      </c>
      <c r="J457" t="s">
        <v>43</v>
      </c>
      <c r="K457" t="s">
        <v>42</v>
      </c>
      <c r="L457" t="s">
        <v>43</v>
      </c>
      <c r="M457" t="s">
        <v>42</v>
      </c>
      <c r="N457" t="s">
        <v>43</v>
      </c>
      <c r="O457">
        <v>2</v>
      </c>
      <c r="P457">
        <v>4</v>
      </c>
      <c r="Q457">
        <v>4</v>
      </c>
      <c r="R457">
        <v>2</v>
      </c>
      <c r="S457">
        <v>3</v>
      </c>
      <c r="T457">
        <f t="shared" si="35"/>
        <v>5</v>
      </c>
      <c r="U457" t="str" cm="1">
        <f t="array" ref="U457">_xlfn.IFS(T457&lt;3, "low", AND(T457&gt;=3, T457&lt;5), "med", T457&gt;=5, "high")</f>
        <v>high</v>
      </c>
      <c r="V457">
        <v>0</v>
      </c>
      <c r="W457" t="str" cm="1">
        <f t="array" ref="W457">_xlfn.IFS(V457&lt;5, "low", AND(V457&gt;=5, V457&lt;10), "med", V457&gt;=10, "high")</f>
        <v>low</v>
      </c>
      <c r="X457">
        <v>17</v>
      </c>
      <c r="Y457">
        <v>16</v>
      </c>
      <c r="Z457">
        <v>16</v>
      </c>
      <c r="AA457">
        <f t="shared" si="36"/>
        <v>1</v>
      </c>
      <c r="AB457">
        <f t="shared" si="37"/>
        <v>0</v>
      </c>
      <c r="AC457">
        <f t="shared" si="38"/>
        <v>1</v>
      </c>
      <c r="AD457" s="1">
        <f t="shared" si="39"/>
        <v>16.333333333333332</v>
      </c>
    </row>
    <row r="458" spans="1:30" x14ac:dyDescent="0.35">
      <c r="A458" t="s">
        <v>34</v>
      </c>
      <c r="B458">
        <v>16</v>
      </c>
      <c r="C458" t="s">
        <v>35</v>
      </c>
      <c r="D458" t="s">
        <v>36</v>
      </c>
      <c r="E458" t="s">
        <v>44</v>
      </c>
      <c r="F458" t="s">
        <v>48</v>
      </c>
      <c r="G458" t="s">
        <v>48</v>
      </c>
      <c r="H458">
        <v>1</v>
      </c>
      <c r="I458">
        <v>0</v>
      </c>
      <c r="J458" t="s">
        <v>42</v>
      </c>
      <c r="K458" t="s">
        <v>42</v>
      </c>
      <c r="L458" t="s">
        <v>43</v>
      </c>
      <c r="M458" t="s">
        <v>42</v>
      </c>
      <c r="N458" t="s">
        <v>42</v>
      </c>
      <c r="O458">
        <v>5</v>
      </c>
      <c r="P458">
        <v>5</v>
      </c>
      <c r="Q458">
        <v>5</v>
      </c>
      <c r="R458">
        <v>5</v>
      </c>
      <c r="S458">
        <v>5</v>
      </c>
      <c r="T458">
        <f t="shared" si="35"/>
        <v>10</v>
      </c>
      <c r="U458" t="str" cm="1">
        <f t="array" ref="U458">_xlfn.IFS(T458&lt;3, "low", AND(T458&gt;=3, T458&lt;5), "med", T458&gt;=5, "high")</f>
        <v>high</v>
      </c>
      <c r="V458">
        <v>0</v>
      </c>
      <c r="W458" t="str" cm="1">
        <f t="array" ref="W458">_xlfn.IFS(V458&lt;5, "low", AND(V458&gt;=5, V458&lt;10), "med", V458&gt;=10, "high")</f>
        <v>low</v>
      </c>
      <c r="X458">
        <v>10</v>
      </c>
      <c r="Y458">
        <v>10</v>
      </c>
      <c r="Z458">
        <v>16</v>
      </c>
      <c r="AA458">
        <f t="shared" si="36"/>
        <v>0</v>
      </c>
      <c r="AB458">
        <f t="shared" si="37"/>
        <v>0</v>
      </c>
      <c r="AC458">
        <f t="shared" si="38"/>
        <v>0</v>
      </c>
      <c r="AD458" s="1">
        <f t="shared" si="39"/>
        <v>12</v>
      </c>
    </row>
    <row r="459" spans="1:30" x14ac:dyDescent="0.35">
      <c r="A459" t="s">
        <v>34</v>
      </c>
      <c r="B459">
        <v>16</v>
      </c>
      <c r="C459" t="s">
        <v>35</v>
      </c>
      <c r="D459" t="s">
        <v>47</v>
      </c>
      <c r="E459" t="s">
        <v>44</v>
      </c>
      <c r="F459" t="s">
        <v>45</v>
      </c>
      <c r="G459" t="s">
        <v>48</v>
      </c>
      <c r="H459">
        <v>2</v>
      </c>
      <c r="I459">
        <v>0</v>
      </c>
      <c r="J459" t="s">
        <v>42</v>
      </c>
      <c r="K459" t="s">
        <v>43</v>
      </c>
      <c r="L459" t="s">
        <v>43</v>
      </c>
      <c r="M459" t="s">
        <v>42</v>
      </c>
      <c r="N459" t="s">
        <v>43</v>
      </c>
      <c r="O459">
        <v>4</v>
      </c>
      <c r="P459">
        <v>4</v>
      </c>
      <c r="Q459">
        <v>3</v>
      </c>
      <c r="R459">
        <v>1</v>
      </c>
      <c r="S459">
        <v>1</v>
      </c>
      <c r="T459">
        <f t="shared" si="35"/>
        <v>2</v>
      </c>
      <c r="U459" t="str" cm="1">
        <f t="array" ref="U459">_xlfn.IFS(T459&lt;3, "low", AND(T459&gt;=3, T459&lt;5), "med", T459&gt;=5, "high")</f>
        <v>low</v>
      </c>
      <c r="V459">
        <v>0</v>
      </c>
      <c r="W459" t="str" cm="1">
        <f t="array" ref="W459">_xlfn.IFS(V459&lt;5, "low", AND(V459&gt;=5, V459&lt;10), "med", V459&gt;=10, "high")</f>
        <v>low</v>
      </c>
      <c r="X459">
        <v>13</v>
      </c>
      <c r="Y459">
        <v>13</v>
      </c>
      <c r="Z459">
        <v>10</v>
      </c>
      <c r="AA459">
        <f t="shared" si="36"/>
        <v>0</v>
      </c>
      <c r="AB459">
        <f t="shared" si="37"/>
        <v>1</v>
      </c>
      <c r="AC459">
        <f t="shared" si="38"/>
        <v>1</v>
      </c>
      <c r="AD459" s="1">
        <f t="shared" si="39"/>
        <v>12</v>
      </c>
    </row>
    <row r="460" spans="1:30" x14ac:dyDescent="0.35">
      <c r="A460" t="s">
        <v>34</v>
      </c>
      <c r="B460">
        <v>16</v>
      </c>
      <c r="C460" t="s">
        <v>35</v>
      </c>
      <c r="D460" t="s">
        <v>36</v>
      </c>
      <c r="E460" t="s">
        <v>44</v>
      </c>
      <c r="F460" t="s">
        <v>39</v>
      </c>
      <c r="G460" t="s">
        <v>28</v>
      </c>
      <c r="H460">
        <v>3</v>
      </c>
      <c r="I460">
        <v>0</v>
      </c>
      <c r="J460" t="s">
        <v>42</v>
      </c>
      <c r="K460" t="s">
        <v>42</v>
      </c>
      <c r="L460" t="s">
        <v>43</v>
      </c>
      <c r="M460" t="s">
        <v>42</v>
      </c>
      <c r="N460" t="s">
        <v>43</v>
      </c>
      <c r="O460">
        <v>3</v>
      </c>
      <c r="P460">
        <v>4</v>
      </c>
      <c r="Q460">
        <v>4</v>
      </c>
      <c r="R460">
        <v>2</v>
      </c>
      <c r="S460">
        <v>4</v>
      </c>
      <c r="T460">
        <f t="shared" si="35"/>
        <v>6</v>
      </c>
      <c r="U460" t="str" cm="1">
        <f t="array" ref="U460">_xlfn.IFS(T460&lt;3, "low", AND(T460&gt;=3, T460&lt;5), "med", T460&gt;=5, "high")</f>
        <v>high</v>
      </c>
      <c r="V460">
        <v>0</v>
      </c>
      <c r="W460" t="str" cm="1">
        <f t="array" ref="W460">_xlfn.IFS(V460&lt;5, "low", AND(V460&gt;=5, V460&lt;10), "med", V460&gt;=10, "high")</f>
        <v>low</v>
      </c>
      <c r="X460">
        <v>14</v>
      </c>
      <c r="Y460">
        <v>13</v>
      </c>
      <c r="Z460">
        <v>13</v>
      </c>
      <c r="AA460">
        <f t="shared" si="36"/>
        <v>1</v>
      </c>
      <c r="AB460">
        <f t="shared" si="37"/>
        <v>0</v>
      </c>
      <c r="AC460">
        <f t="shared" si="38"/>
        <v>1</v>
      </c>
      <c r="AD460" s="1">
        <f t="shared" si="39"/>
        <v>13.333333333333334</v>
      </c>
    </row>
    <row r="461" spans="1:30" x14ac:dyDescent="0.35">
      <c r="A461" t="s">
        <v>34</v>
      </c>
      <c r="B461">
        <v>15</v>
      </c>
      <c r="C461" t="s">
        <v>35</v>
      </c>
      <c r="D461" t="s">
        <v>47</v>
      </c>
      <c r="E461" t="s">
        <v>44</v>
      </c>
      <c r="F461" t="s">
        <v>48</v>
      </c>
      <c r="G461" t="s">
        <v>48</v>
      </c>
      <c r="H461">
        <v>2</v>
      </c>
      <c r="I461">
        <v>0</v>
      </c>
      <c r="J461" t="s">
        <v>42</v>
      </c>
      <c r="K461" t="s">
        <v>43</v>
      </c>
      <c r="L461" t="s">
        <v>43</v>
      </c>
      <c r="M461" t="s">
        <v>42</v>
      </c>
      <c r="N461" t="s">
        <v>42</v>
      </c>
      <c r="O461">
        <v>4</v>
      </c>
      <c r="P461">
        <v>4</v>
      </c>
      <c r="Q461">
        <v>4</v>
      </c>
      <c r="R461">
        <v>2</v>
      </c>
      <c r="S461">
        <v>4</v>
      </c>
      <c r="T461">
        <f t="shared" si="35"/>
        <v>6</v>
      </c>
      <c r="U461" t="str" cm="1">
        <f t="array" ref="U461">_xlfn.IFS(T461&lt;3, "low", AND(T461&gt;=3, T461&lt;5), "med", T461&gt;=5, "high")</f>
        <v>high</v>
      </c>
      <c r="V461">
        <v>0</v>
      </c>
      <c r="W461" t="str" cm="1">
        <f t="array" ref="W461">_xlfn.IFS(V461&lt;5, "low", AND(V461&gt;=5, V461&lt;10), "med", V461&gt;=10, "high")</f>
        <v>low</v>
      </c>
      <c r="X461">
        <v>13</v>
      </c>
      <c r="Y461">
        <v>12</v>
      </c>
      <c r="Z461">
        <v>12</v>
      </c>
      <c r="AA461">
        <f t="shared" si="36"/>
        <v>1</v>
      </c>
      <c r="AB461">
        <f t="shared" si="37"/>
        <v>0</v>
      </c>
      <c r="AC461">
        <f t="shared" si="38"/>
        <v>1</v>
      </c>
      <c r="AD461" s="1">
        <f t="shared" si="39"/>
        <v>12.333333333333334</v>
      </c>
    </row>
    <row r="462" spans="1:30" x14ac:dyDescent="0.35">
      <c r="A462" t="s">
        <v>34</v>
      </c>
      <c r="B462">
        <v>16</v>
      </c>
      <c r="C462" t="s">
        <v>35</v>
      </c>
      <c r="D462" t="s">
        <v>47</v>
      </c>
      <c r="E462" t="s">
        <v>44</v>
      </c>
      <c r="F462" t="s">
        <v>39</v>
      </c>
      <c r="G462" t="s">
        <v>48</v>
      </c>
      <c r="H462">
        <v>2</v>
      </c>
      <c r="I462">
        <v>0</v>
      </c>
      <c r="J462" t="s">
        <v>43</v>
      </c>
      <c r="K462" t="s">
        <v>42</v>
      </c>
      <c r="L462" t="s">
        <v>43</v>
      </c>
      <c r="M462" t="s">
        <v>42</v>
      </c>
      <c r="N462" t="s">
        <v>43</v>
      </c>
      <c r="O462">
        <v>5</v>
      </c>
      <c r="P462">
        <v>4</v>
      </c>
      <c r="Q462">
        <v>3</v>
      </c>
      <c r="R462">
        <v>1</v>
      </c>
      <c r="S462">
        <v>2</v>
      </c>
      <c r="T462">
        <f t="shared" si="35"/>
        <v>3</v>
      </c>
      <c r="U462" t="str" cm="1">
        <f t="array" ref="U462">_xlfn.IFS(T462&lt;3, "low", AND(T462&gt;=3, T462&lt;5), "med", T462&gt;=5, "high")</f>
        <v>med</v>
      </c>
      <c r="V462">
        <v>2</v>
      </c>
      <c r="W462" t="str" cm="1">
        <f t="array" ref="W462">_xlfn.IFS(V462&lt;5, "low", AND(V462&gt;=5, V462&lt;10), "med", V462&gt;=10, "high")</f>
        <v>low</v>
      </c>
      <c r="X462">
        <v>16</v>
      </c>
      <c r="Y462">
        <v>15</v>
      </c>
      <c r="Z462">
        <v>16</v>
      </c>
      <c r="AA462">
        <f t="shared" si="36"/>
        <v>1</v>
      </c>
      <c r="AB462">
        <f t="shared" si="37"/>
        <v>0</v>
      </c>
      <c r="AC462">
        <f t="shared" si="38"/>
        <v>1</v>
      </c>
      <c r="AD462" s="1">
        <f t="shared" si="39"/>
        <v>15.666666666666666</v>
      </c>
    </row>
    <row r="463" spans="1:30" x14ac:dyDescent="0.35">
      <c r="A463" t="s">
        <v>50</v>
      </c>
      <c r="B463">
        <v>15</v>
      </c>
      <c r="C463" t="s">
        <v>35</v>
      </c>
      <c r="D463" t="s">
        <v>36</v>
      </c>
      <c r="E463" t="s">
        <v>37</v>
      </c>
      <c r="F463" t="s">
        <v>45</v>
      </c>
      <c r="G463" t="s">
        <v>48</v>
      </c>
      <c r="H463">
        <v>4</v>
      </c>
      <c r="I463">
        <v>0</v>
      </c>
      <c r="J463" t="s">
        <v>43</v>
      </c>
      <c r="K463" t="s">
        <v>42</v>
      </c>
      <c r="L463" t="s">
        <v>43</v>
      </c>
      <c r="M463" t="s">
        <v>42</v>
      </c>
      <c r="N463" t="s">
        <v>42</v>
      </c>
      <c r="O463">
        <v>1</v>
      </c>
      <c r="P463">
        <v>3</v>
      </c>
      <c r="Q463">
        <v>3</v>
      </c>
      <c r="R463">
        <v>5</v>
      </c>
      <c r="S463">
        <v>5</v>
      </c>
      <c r="T463">
        <f t="shared" si="35"/>
        <v>10</v>
      </c>
      <c r="U463" t="str" cm="1">
        <f t="array" ref="U463">_xlfn.IFS(T463&lt;3, "low", AND(T463&gt;=3, T463&lt;5), "med", T463&gt;=5, "high")</f>
        <v>high</v>
      </c>
      <c r="V463">
        <v>0</v>
      </c>
      <c r="W463" t="str" cm="1">
        <f t="array" ref="W463">_xlfn.IFS(V463&lt;5, "low", AND(V463&gt;=5, V463&lt;10), "med", V463&gt;=10, "high")</f>
        <v>low</v>
      </c>
      <c r="X463">
        <v>11</v>
      </c>
      <c r="Y463">
        <v>12</v>
      </c>
      <c r="Z463">
        <v>12</v>
      </c>
      <c r="AA463">
        <f t="shared" si="36"/>
        <v>0</v>
      </c>
      <c r="AB463">
        <f t="shared" si="37"/>
        <v>0</v>
      </c>
      <c r="AC463">
        <f t="shared" si="38"/>
        <v>0</v>
      </c>
      <c r="AD463" s="1">
        <f t="shared" si="39"/>
        <v>11.666666666666666</v>
      </c>
    </row>
    <row r="464" spans="1:30" x14ac:dyDescent="0.35">
      <c r="A464" t="s">
        <v>34</v>
      </c>
      <c r="B464">
        <v>16</v>
      </c>
      <c r="C464" t="s">
        <v>35</v>
      </c>
      <c r="D464" t="s">
        <v>36</v>
      </c>
      <c r="E464" t="s">
        <v>44</v>
      </c>
      <c r="F464" t="s">
        <v>48</v>
      </c>
      <c r="G464" t="s">
        <v>45</v>
      </c>
      <c r="H464">
        <v>4</v>
      </c>
      <c r="I464">
        <v>0</v>
      </c>
      <c r="J464" t="s">
        <v>42</v>
      </c>
      <c r="K464" t="s">
        <v>42</v>
      </c>
      <c r="L464" t="s">
        <v>43</v>
      </c>
      <c r="M464" t="s">
        <v>43</v>
      </c>
      <c r="N464" t="s">
        <v>43</v>
      </c>
      <c r="O464">
        <v>4</v>
      </c>
      <c r="P464">
        <v>3</v>
      </c>
      <c r="Q464">
        <v>3</v>
      </c>
      <c r="R464">
        <v>1</v>
      </c>
      <c r="S464">
        <v>2</v>
      </c>
      <c r="T464">
        <f t="shared" si="35"/>
        <v>3</v>
      </c>
      <c r="U464" t="str" cm="1">
        <f t="array" ref="U464">_xlfn.IFS(T464&lt;3, "low", AND(T464&gt;=3, T464&lt;5), "med", T464&gt;=5, "high")</f>
        <v>med</v>
      </c>
      <c r="V464">
        <v>0</v>
      </c>
      <c r="W464" t="str" cm="1">
        <f t="array" ref="W464">_xlfn.IFS(V464&lt;5, "low", AND(V464&gt;=5, V464&lt;10), "med", V464&gt;=10, "high")</f>
        <v>low</v>
      </c>
      <c r="X464">
        <v>10</v>
      </c>
      <c r="Y464">
        <v>9</v>
      </c>
      <c r="Z464">
        <v>10</v>
      </c>
      <c r="AA464">
        <f t="shared" si="36"/>
        <v>1</v>
      </c>
      <c r="AB464">
        <f t="shared" si="37"/>
        <v>0</v>
      </c>
      <c r="AC464">
        <f t="shared" si="38"/>
        <v>1</v>
      </c>
      <c r="AD464" s="1">
        <f t="shared" si="39"/>
        <v>9.6666666666666661</v>
      </c>
    </row>
    <row r="465" spans="1:30" x14ac:dyDescent="0.35">
      <c r="A465" t="s">
        <v>34</v>
      </c>
      <c r="B465">
        <v>15</v>
      </c>
      <c r="C465" t="s">
        <v>52</v>
      </c>
      <c r="D465" t="s">
        <v>47</v>
      </c>
      <c r="E465" t="s">
        <v>44</v>
      </c>
      <c r="F465" t="s">
        <v>28</v>
      </c>
      <c r="G465" t="s">
        <v>48</v>
      </c>
      <c r="H465">
        <v>2</v>
      </c>
      <c r="I465">
        <v>0</v>
      </c>
      <c r="J465" t="s">
        <v>42</v>
      </c>
      <c r="K465" t="s">
        <v>42</v>
      </c>
      <c r="L465" t="s">
        <v>43</v>
      </c>
      <c r="M465" t="s">
        <v>43</v>
      </c>
      <c r="N465" t="s">
        <v>43</v>
      </c>
      <c r="O465">
        <v>4</v>
      </c>
      <c r="P465">
        <v>1</v>
      </c>
      <c r="Q465">
        <v>3</v>
      </c>
      <c r="R465">
        <v>1</v>
      </c>
      <c r="S465">
        <v>3</v>
      </c>
      <c r="T465">
        <f t="shared" si="35"/>
        <v>4</v>
      </c>
      <c r="U465" t="str" cm="1">
        <f t="array" ref="U465">_xlfn.IFS(T465&lt;3, "low", AND(T465&gt;=3, T465&lt;5), "med", T465&gt;=5, "high")</f>
        <v>med</v>
      </c>
      <c r="V465">
        <v>0</v>
      </c>
      <c r="W465" t="str" cm="1">
        <f t="array" ref="W465">_xlfn.IFS(V465&lt;5, "low", AND(V465&gt;=5, V465&lt;10), "med", V465&gt;=10, "high")</f>
        <v>low</v>
      </c>
      <c r="X465">
        <v>11</v>
      </c>
      <c r="Y465">
        <v>10</v>
      </c>
      <c r="Z465">
        <v>11</v>
      </c>
      <c r="AA465">
        <f t="shared" si="36"/>
        <v>1</v>
      </c>
      <c r="AB465">
        <f t="shared" si="37"/>
        <v>0</v>
      </c>
      <c r="AC465">
        <f t="shared" si="38"/>
        <v>1</v>
      </c>
      <c r="AD465" s="1">
        <f t="shared" si="39"/>
        <v>10.666666666666666</v>
      </c>
    </row>
    <row r="466" spans="1:30" x14ac:dyDescent="0.35">
      <c r="A466" t="s">
        <v>34</v>
      </c>
      <c r="B466">
        <v>15</v>
      </c>
      <c r="C466" t="s">
        <v>52</v>
      </c>
      <c r="D466" t="s">
        <v>47</v>
      </c>
      <c r="E466" t="s">
        <v>44</v>
      </c>
      <c r="F466" t="s">
        <v>45</v>
      </c>
      <c r="G466" t="s">
        <v>45</v>
      </c>
      <c r="H466">
        <v>4</v>
      </c>
      <c r="I466">
        <v>0</v>
      </c>
      <c r="J466" t="s">
        <v>43</v>
      </c>
      <c r="K466" t="s">
        <v>42</v>
      </c>
      <c r="L466" t="s">
        <v>43</v>
      </c>
      <c r="M466" t="s">
        <v>43</v>
      </c>
      <c r="N466" t="s">
        <v>43</v>
      </c>
      <c r="O466">
        <v>4</v>
      </c>
      <c r="P466">
        <v>4</v>
      </c>
      <c r="Q466">
        <v>2</v>
      </c>
      <c r="R466">
        <v>2</v>
      </c>
      <c r="S466">
        <v>3</v>
      </c>
      <c r="T466">
        <f t="shared" si="35"/>
        <v>5</v>
      </c>
      <c r="U466" t="str" cm="1">
        <f t="array" ref="U466">_xlfn.IFS(T466&lt;3, "low", AND(T466&gt;=3, T466&lt;5), "med", T466&gt;=5, "high")</f>
        <v>high</v>
      </c>
      <c r="V466">
        <v>6</v>
      </c>
      <c r="W466" t="str" cm="1">
        <f t="array" ref="W466">_xlfn.IFS(V466&lt;5, "low", AND(V466&gt;=5, V466&lt;10), "med", V466&gt;=10, "high")</f>
        <v>med</v>
      </c>
      <c r="X466">
        <v>15</v>
      </c>
      <c r="Y466">
        <v>15</v>
      </c>
      <c r="Z466">
        <v>15</v>
      </c>
      <c r="AA466">
        <f t="shared" si="36"/>
        <v>0</v>
      </c>
      <c r="AB466">
        <f t="shared" si="37"/>
        <v>0</v>
      </c>
      <c r="AC466">
        <f t="shared" si="38"/>
        <v>0</v>
      </c>
      <c r="AD466" s="1">
        <f t="shared" si="39"/>
        <v>15</v>
      </c>
    </row>
    <row r="467" spans="1:30" x14ac:dyDescent="0.35">
      <c r="A467" t="s">
        <v>50</v>
      </c>
      <c r="B467">
        <v>16</v>
      </c>
      <c r="C467" t="s">
        <v>35</v>
      </c>
      <c r="D467" t="s">
        <v>36</v>
      </c>
      <c r="E467" t="s">
        <v>44</v>
      </c>
      <c r="F467" t="s">
        <v>45</v>
      </c>
      <c r="G467" t="s">
        <v>45</v>
      </c>
      <c r="H467">
        <v>4</v>
      </c>
      <c r="I467">
        <v>0</v>
      </c>
      <c r="J467" t="s">
        <v>43</v>
      </c>
      <c r="K467" t="s">
        <v>42</v>
      </c>
      <c r="L467" t="s">
        <v>43</v>
      </c>
      <c r="M467" t="s">
        <v>43</v>
      </c>
      <c r="N467" t="s">
        <v>43</v>
      </c>
      <c r="O467">
        <v>4</v>
      </c>
      <c r="P467">
        <v>3</v>
      </c>
      <c r="Q467">
        <v>2</v>
      </c>
      <c r="R467">
        <v>1</v>
      </c>
      <c r="S467">
        <v>1</v>
      </c>
      <c r="T467">
        <f t="shared" si="35"/>
        <v>2</v>
      </c>
      <c r="U467" t="str" cm="1">
        <f t="array" ref="U467">_xlfn.IFS(T467&lt;3, "low", AND(T467&gt;=3, T467&lt;5), "med", T467&gt;=5, "high")</f>
        <v>low</v>
      </c>
      <c r="V467">
        <v>2</v>
      </c>
      <c r="W467" t="str" cm="1">
        <f t="array" ref="W467">_xlfn.IFS(V467&lt;5, "low", AND(V467&gt;=5, V467&lt;10), "med", V467&gt;=10, "high")</f>
        <v>low</v>
      </c>
      <c r="X467">
        <v>13</v>
      </c>
      <c r="Y467">
        <v>11</v>
      </c>
      <c r="Z467">
        <v>11</v>
      </c>
      <c r="AA467">
        <f t="shared" si="36"/>
        <v>1</v>
      </c>
      <c r="AB467">
        <f t="shared" si="37"/>
        <v>0</v>
      </c>
      <c r="AC467">
        <f t="shared" si="38"/>
        <v>1</v>
      </c>
      <c r="AD467" s="1">
        <f t="shared" si="39"/>
        <v>11.666666666666666</v>
      </c>
    </row>
    <row r="468" spans="1:30" x14ac:dyDescent="0.35">
      <c r="A468" t="s">
        <v>50</v>
      </c>
      <c r="B468">
        <v>15</v>
      </c>
      <c r="C468" t="s">
        <v>35</v>
      </c>
      <c r="D468" t="s">
        <v>36</v>
      </c>
      <c r="E468" t="s">
        <v>44</v>
      </c>
      <c r="F468" t="s">
        <v>45</v>
      </c>
      <c r="G468" t="s">
        <v>45</v>
      </c>
      <c r="H468">
        <v>4</v>
      </c>
      <c r="I468">
        <v>0</v>
      </c>
      <c r="J468" t="s">
        <v>43</v>
      </c>
      <c r="K468" t="s">
        <v>43</v>
      </c>
      <c r="L468" t="s">
        <v>43</v>
      </c>
      <c r="M468" t="s">
        <v>43</v>
      </c>
      <c r="N468" t="s">
        <v>43</v>
      </c>
      <c r="O468">
        <v>3</v>
      </c>
      <c r="P468">
        <v>3</v>
      </c>
      <c r="Q468">
        <v>3</v>
      </c>
      <c r="R468">
        <v>1</v>
      </c>
      <c r="S468">
        <v>1</v>
      </c>
      <c r="T468">
        <f t="shared" si="35"/>
        <v>2</v>
      </c>
      <c r="U468" t="str" cm="1">
        <f t="array" ref="U468">_xlfn.IFS(T468&lt;3, "low", AND(T468&gt;=3, T468&lt;5), "med", T468&gt;=5, "high")</f>
        <v>low</v>
      </c>
      <c r="V468">
        <v>0</v>
      </c>
      <c r="W468" t="str" cm="1">
        <f t="array" ref="W468">_xlfn.IFS(V468&lt;5, "low", AND(V468&gt;=5, V468&lt;10), "med", V468&gt;=10, "high")</f>
        <v>low</v>
      </c>
      <c r="X468">
        <v>11</v>
      </c>
      <c r="Y468">
        <v>9</v>
      </c>
      <c r="Z468">
        <v>10</v>
      </c>
      <c r="AA468">
        <f t="shared" si="36"/>
        <v>1</v>
      </c>
      <c r="AB468">
        <f t="shared" si="37"/>
        <v>0</v>
      </c>
      <c r="AC468">
        <f t="shared" si="38"/>
        <v>1</v>
      </c>
      <c r="AD468" s="1">
        <f t="shared" si="39"/>
        <v>10</v>
      </c>
    </row>
    <row r="469" spans="1:30" x14ac:dyDescent="0.35">
      <c r="A469" t="s">
        <v>34</v>
      </c>
      <c r="B469">
        <v>15</v>
      </c>
      <c r="C469" t="s">
        <v>52</v>
      </c>
      <c r="D469" t="s">
        <v>36</v>
      </c>
      <c r="E469" t="s">
        <v>44</v>
      </c>
      <c r="F469" t="s">
        <v>45</v>
      </c>
      <c r="G469" t="s">
        <v>45</v>
      </c>
      <c r="H469">
        <v>2</v>
      </c>
      <c r="I469">
        <v>0</v>
      </c>
      <c r="J469" t="s">
        <v>42</v>
      </c>
      <c r="K469" t="s">
        <v>42</v>
      </c>
      <c r="L469" t="s">
        <v>43</v>
      </c>
      <c r="M469" t="s">
        <v>43</v>
      </c>
      <c r="N469" t="s">
        <v>42</v>
      </c>
      <c r="O469">
        <v>3</v>
      </c>
      <c r="P469">
        <v>3</v>
      </c>
      <c r="Q469">
        <v>4</v>
      </c>
      <c r="R469">
        <v>2</v>
      </c>
      <c r="S469">
        <v>4</v>
      </c>
      <c r="T469">
        <f t="shared" si="35"/>
        <v>6</v>
      </c>
      <c r="U469" t="str" cm="1">
        <f t="array" ref="U469">_xlfn.IFS(T469&lt;3, "low", AND(T469&gt;=3, T469&lt;5), "med", T469&gt;=5, "high")</f>
        <v>high</v>
      </c>
      <c r="V469">
        <v>2</v>
      </c>
      <c r="W469" t="str" cm="1">
        <f t="array" ref="W469">_xlfn.IFS(V469&lt;5, "low", AND(V469&gt;=5, V469&lt;10), "med", V469&gt;=10, "high")</f>
        <v>low</v>
      </c>
      <c r="X469">
        <v>13</v>
      </c>
      <c r="Y469">
        <v>11</v>
      </c>
      <c r="Z469">
        <v>11</v>
      </c>
      <c r="AA469">
        <f t="shared" si="36"/>
        <v>1</v>
      </c>
      <c r="AB469">
        <f t="shared" si="37"/>
        <v>0</v>
      </c>
      <c r="AC469">
        <f t="shared" si="38"/>
        <v>1</v>
      </c>
      <c r="AD469" s="1">
        <f t="shared" si="39"/>
        <v>11.666666666666666</v>
      </c>
    </row>
    <row r="470" spans="1:30" x14ac:dyDescent="0.35">
      <c r="A470" t="s">
        <v>50</v>
      </c>
      <c r="B470">
        <v>16</v>
      </c>
      <c r="C470" t="s">
        <v>35</v>
      </c>
      <c r="D470" t="s">
        <v>36</v>
      </c>
      <c r="E470" t="s">
        <v>44</v>
      </c>
      <c r="F470" t="s">
        <v>45</v>
      </c>
      <c r="G470" t="s">
        <v>45</v>
      </c>
      <c r="H470">
        <v>1</v>
      </c>
      <c r="I470">
        <v>0</v>
      </c>
      <c r="J470" t="s">
        <v>43</v>
      </c>
      <c r="K470" t="s">
        <v>43</v>
      </c>
      <c r="L470" t="s">
        <v>43</v>
      </c>
      <c r="M470" t="s">
        <v>42</v>
      </c>
      <c r="N470" t="s">
        <v>43</v>
      </c>
      <c r="O470">
        <v>5</v>
      </c>
      <c r="P470">
        <v>3</v>
      </c>
      <c r="Q470">
        <v>2</v>
      </c>
      <c r="R470">
        <v>2</v>
      </c>
      <c r="S470">
        <v>2</v>
      </c>
      <c r="T470">
        <f t="shared" si="35"/>
        <v>4</v>
      </c>
      <c r="U470" t="str" cm="1">
        <f t="array" ref="U470">_xlfn.IFS(T470&lt;3, "low", AND(T470&gt;=3, T470&lt;5), "med", T470&gt;=5, "high")</f>
        <v>med</v>
      </c>
      <c r="V470">
        <v>0</v>
      </c>
      <c r="W470" t="str" cm="1">
        <f t="array" ref="W470">_xlfn.IFS(V470&lt;5, "low", AND(V470&gt;=5, V470&lt;10), "med", V470&gt;=10, "high")</f>
        <v>low</v>
      </c>
      <c r="X470">
        <v>13</v>
      </c>
      <c r="Y470">
        <v>13</v>
      </c>
      <c r="Z470">
        <v>14</v>
      </c>
      <c r="AA470">
        <f t="shared" si="36"/>
        <v>0</v>
      </c>
      <c r="AB470">
        <f t="shared" si="37"/>
        <v>0</v>
      </c>
      <c r="AC470">
        <f t="shared" si="38"/>
        <v>0</v>
      </c>
      <c r="AD470" s="1">
        <f t="shared" si="39"/>
        <v>13.333333333333334</v>
      </c>
    </row>
    <row r="471" spans="1:30" x14ac:dyDescent="0.35">
      <c r="A471" t="s">
        <v>34</v>
      </c>
      <c r="B471">
        <v>16</v>
      </c>
      <c r="C471" t="s">
        <v>35</v>
      </c>
      <c r="D471" t="s">
        <v>36</v>
      </c>
      <c r="E471" t="s">
        <v>44</v>
      </c>
      <c r="F471" t="s">
        <v>45</v>
      </c>
      <c r="G471" t="s">
        <v>48</v>
      </c>
      <c r="H471">
        <v>2</v>
      </c>
      <c r="I471">
        <v>0</v>
      </c>
      <c r="J471" t="s">
        <v>42</v>
      </c>
      <c r="K471" t="s">
        <v>42</v>
      </c>
      <c r="L471" t="s">
        <v>43</v>
      </c>
      <c r="M471" t="s">
        <v>42</v>
      </c>
      <c r="N471" t="s">
        <v>43</v>
      </c>
      <c r="O471">
        <v>4</v>
      </c>
      <c r="P471">
        <v>3</v>
      </c>
      <c r="Q471">
        <v>3</v>
      </c>
      <c r="R471">
        <v>2</v>
      </c>
      <c r="S471">
        <v>4</v>
      </c>
      <c r="T471">
        <f t="shared" si="35"/>
        <v>6</v>
      </c>
      <c r="U471" t="str" cm="1">
        <f t="array" ref="U471">_xlfn.IFS(T471&lt;3, "low", AND(T471&gt;=3, T471&lt;5), "med", T471&gt;=5, "high")</f>
        <v>high</v>
      </c>
      <c r="V471">
        <v>4</v>
      </c>
      <c r="W471" t="str" cm="1">
        <f t="array" ref="W471">_xlfn.IFS(V471&lt;5, "low", AND(V471&gt;=5, V471&lt;10), "med", V471&gt;=10, "high")</f>
        <v>low</v>
      </c>
      <c r="X471">
        <v>11</v>
      </c>
      <c r="Y471">
        <v>11</v>
      </c>
      <c r="Z471">
        <v>11</v>
      </c>
      <c r="AA471">
        <f t="shared" si="36"/>
        <v>0</v>
      </c>
      <c r="AB471">
        <f t="shared" si="37"/>
        <v>0</v>
      </c>
      <c r="AC471">
        <f t="shared" si="38"/>
        <v>0</v>
      </c>
      <c r="AD471" s="1">
        <f t="shared" si="39"/>
        <v>11</v>
      </c>
    </row>
    <row r="472" spans="1:30" x14ac:dyDescent="0.35">
      <c r="A472" t="s">
        <v>50</v>
      </c>
      <c r="B472">
        <v>15</v>
      </c>
      <c r="C472" t="s">
        <v>35</v>
      </c>
      <c r="D472" t="s">
        <v>36</v>
      </c>
      <c r="E472" t="s">
        <v>44</v>
      </c>
      <c r="F472" t="s">
        <v>39</v>
      </c>
      <c r="G472" t="s">
        <v>45</v>
      </c>
      <c r="H472">
        <v>2</v>
      </c>
      <c r="I472">
        <v>0</v>
      </c>
      <c r="J472" t="s">
        <v>43</v>
      </c>
      <c r="K472" t="s">
        <v>42</v>
      </c>
      <c r="L472" t="s">
        <v>43</v>
      </c>
      <c r="M472" t="s">
        <v>42</v>
      </c>
      <c r="N472" t="s">
        <v>43</v>
      </c>
      <c r="O472">
        <v>4</v>
      </c>
      <c r="P472">
        <v>3</v>
      </c>
      <c r="Q472">
        <v>3</v>
      </c>
      <c r="R472">
        <v>2</v>
      </c>
      <c r="S472">
        <v>3</v>
      </c>
      <c r="T472">
        <f t="shared" si="35"/>
        <v>5</v>
      </c>
      <c r="U472" t="str" cm="1">
        <f t="array" ref="U472">_xlfn.IFS(T472&lt;3, "low", AND(T472&gt;=3, T472&lt;5), "med", T472&gt;=5, "high")</f>
        <v>high</v>
      </c>
      <c r="V472">
        <v>0</v>
      </c>
      <c r="W472" t="str" cm="1">
        <f t="array" ref="W472">_xlfn.IFS(V472&lt;5, "low", AND(V472&gt;=5, V472&lt;10), "med", V472&gt;=10, "high")</f>
        <v>low</v>
      </c>
      <c r="X472">
        <v>11</v>
      </c>
      <c r="Y472">
        <v>11</v>
      </c>
      <c r="Z472">
        <v>11</v>
      </c>
      <c r="AA472">
        <f t="shared" si="36"/>
        <v>0</v>
      </c>
      <c r="AB472">
        <f t="shared" si="37"/>
        <v>0</v>
      </c>
      <c r="AC472">
        <f t="shared" si="38"/>
        <v>0</v>
      </c>
      <c r="AD472" s="1">
        <f t="shared" si="39"/>
        <v>11</v>
      </c>
    </row>
    <row r="473" spans="1:30" x14ac:dyDescent="0.35">
      <c r="A473" t="s">
        <v>50</v>
      </c>
      <c r="B473">
        <v>15</v>
      </c>
      <c r="C473" t="s">
        <v>35</v>
      </c>
      <c r="D473" t="s">
        <v>36</v>
      </c>
      <c r="E473" t="s">
        <v>44</v>
      </c>
      <c r="F473" t="s">
        <v>39</v>
      </c>
      <c r="G473" t="s">
        <v>45</v>
      </c>
      <c r="H473">
        <v>4</v>
      </c>
      <c r="I473">
        <v>0</v>
      </c>
      <c r="J473" t="s">
        <v>43</v>
      </c>
      <c r="K473" t="s">
        <v>43</v>
      </c>
      <c r="L473" t="s">
        <v>43</v>
      </c>
      <c r="M473" t="s">
        <v>42</v>
      </c>
      <c r="N473" t="s">
        <v>43</v>
      </c>
      <c r="O473">
        <v>3</v>
      </c>
      <c r="P473">
        <v>4</v>
      </c>
      <c r="Q473">
        <v>3</v>
      </c>
      <c r="R473">
        <v>1</v>
      </c>
      <c r="S473">
        <v>1</v>
      </c>
      <c r="T473">
        <f t="shared" si="35"/>
        <v>2</v>
      </c>
      <c r="U473" t="str" cm="1">
        <f t="array" ref="U473">_xlfn.IFS(T473&lt;3, "low", AND(T473&gt;=3, T473&lt;5), "med", T473&gt;=5, "high")</f>
        <v>low</v>
      </c>
      <c r="V473">
        <v>0</v>
      </c>
      <c r="W473" t="str" cm="1">
        <f t="array" ref="W473">_xlfn.IFS(V473&lt;5, "low", AND(V473&gt;=5, V473&lt;10), "med", V473&gt;=10, "high")</f>
        <v>low</v>
      </c>
      <c r="X473">
        <v>12</v>
      </c>
      <c r="Y473">
        <v>11</v>
      </c>
      <c r="Z473">
        <v>11</v>
      </c>
      <c r="AA473">
        <f t="shared" si="36"/>
        <v>1</v>
      </c>
      <c r="AB473">
        <f t="shared" si="37"/>
        <v>0</v>
      </c>
      <c r="AC473">
        <f t="shared" si="38"/>
        <v>1</v>
      </c>
      <c r="AD473" s="1">
        <f t="shared" si="39"/>
        <v>11.333333333333334</v>
      </c>
    </row>
    <row r="474" spans="1:30" x14ac:dyDescent="0.35">
      <c r="A474" t="s">
        <v>34</v>
      </c>
      <c r="B474">
        <v>16</v>
      </c>
      <c r="C474" t="s">
        <v>35</v>
      </c>
      <c r="D474" t="s">
        <v>36</v>
      </c>
      <c r="E474" t="s">
        <v>44</v>
      </c>
      <c r="F474" t="s">
        <v>45</v>
      </c>
      <c r="G474" t="s">
        <v>45</v>
      </c>
      <c r="H474">
        <v>4</v>
      </c>
      <c r="I474">
        <v>0</v>
      </c>
      <c r="J474" t="s">
        <v>43</v>
      </c>
      <c r="K474" t="s">
        <v>43</v>
      </c>
      <c r="L474" t="s">
        <v>43</v>
      </c>
      <c r="M474" t="s">
        <v>43</v>
      </c>
      <c r="N474" t="s">
        <v>42</v>
      </c>
      <c r="O474">
        <v>5</v>
      </c>
      <c r="P474">
        <v>2</v>
      </c>
      <c r="Q474">
        <v>3</v>
      </c>
      <c r="R474">
        <v>1</v>
      </c>
      <c r="S474">
        <v>3</v>
      </c>
      <c r="T474">
        <f t="shared" si="35"/>
        <v>4</v>
      </c>
      <c r="U474" t="str" cm="1">
        <f t="array" ref="U474">_xlfn.IFS(T474&lt;3, "low", AND(T474&gt;=3, T474&lt;5), "med", T474&gt;=5, "high")</f>
        <v>med</v>
      </c>
      <c r="V474">
        <v>1</v>
      </c>
      <c r="W474" t="str" cm="1">
        <f t="array" ref="W474">_xlfn.IFS(V474&lt;5, "low", AND(V474&gt;=5, V474&lt;10), "med", V474&gt;=10, "high")</f>
        <v>low</v>
      </c>
      <c r="X474">
        <v>13</v>
      </c>
      <c r="Y474">
        <v>13</v>
      </c>
      <c r="Z474">
        <v>13</v>
      </c>
      <c r="AA474">
        <f t="shared" si="36"/>
        <v>0</v>
      </c>
      <c r="AB474">
        <f t="shared" si="37"/>
        <v>0</v>
      </c>
      <c r="AC474">
        <f t="shared" si="38"/>
        <v>0</v>
      </c>
      <c r="AD474" s="1">
        <f t="shared" si="39"/>
        <v>13</v>
      </c>
    </row>
    <row r="475" spans="1:30" x14ac:dyDescent="0.35">
      <c r="A475" t="s">
        <v>50</v>
      </c>
      <c r="B475">
        <v>17</v>
      </c>
      <c r="C475" t="s">
        <v>35</v>
      </c>
      <c r="D475" t="s">
        <v>36</v>
      </c>
      <c r="E475" t="s">
        <v>44</v>
      </c>
      <c r="F475" t="s">
        <v>45</v>
      </c>
      <c r="G475" t="s">
        <v>45</v>
      </c>
      <c r="H475">
        <v>1</v>
      </c>
      <c r="I475">
        <v>3</v>
      </c>
      <c r="J475" t="s">
        <v>42</v>
      </c>
      <c r="K475" t="s">
        <v>42</v>
      </c>
      <c r="L475" t="s">
        <v>43</v>
      </c>
      <c r="M475" t="s">
        <v>42</v>
      </c>
      <c r="N475" t="s">
        <v>43</v>
      </c>
      <c r="O475">
        <v>4</v>
      </c>
      <c r="P475">
        <v>5</v>
      </c>
      <c r="Q475">
        <v>1</v>
      </c>
      <c r="R475">
        <v>1</v>
      </c>
      <c r="S475">
        <v>1</v>
      </c>
      <c r="T475">
        <f t="shared" si="35"/>
        <v>2</v>
      </c>
      <c r="U475" t="str" cm="1">
        <f t="array" ref="U475">_xlfn.IFS(T475&lt;3, "low", AND(T475&gt;=3, T475&lt;5), "med", T475&gt;=5, "high")</f>
        <v>low</v>
      </c>
      <c r="V475">
        <v>0</v>
      </c>
      <c r="W475" t="str" cm="1">
        <f t="array" ref="W475">_xlfn.IFS(V475&lt;5, "low", AND(V475&gt;=5, V475&lt;10), "med", V475&gt;=10, "high")</f>
        <v>low</v>
      </c>
      <c r="X475">
        <v>9</v>
      </c>
      <c r="Y475">
        <v>9</v>
      </c>
      <c r="Z475">
        <v>10</v>
      </c>
      <c r="AA475">
        <f t="shared" si="36"/>
        <v>0</v>
      </c>
      <c r="AB475">
        <f t="shared" si="37"/>
        <v>0</v>
      </c>
      <c r="AC475">
        <f t="shared" si="38"/>
        <v>0</v>
      </c>
      <c r="AD475" s="1">
        <f t="shared" si="39"/>
        <v>9.3333333333333339</v>
      </c>
    </row>
    <row r="476" spans="1:30" x14ac:dyDescent="0.35">
      <c r="A476" t="s">
        <v>34</v>
      </c>
      <c r="B476">
        <v>16</v>
      </c>
      <c r="C476" t="s">
        <v>35</v>
      </c>
      <c r="D476" t="s">
        <v>36</v>
      </c>
      <c r="E476" t="s">
        <v>44</v>
      </c>
      <c r="F476" t="s">
        <v>38</v>
      </c>
      <c r="G476" t="s">
        <v>45</v>
      </c>
      <c r="H476">
        <v>2</v>
      </c>
      <c r="I476">
        <v>0</v>
      </c>
      <c r="J476" t="s">
        <v>43</v>
      </c>
      <c r="K476" t="s">
        <v>42</v>
      </c>
      <c r="L476" t="s">
        <v>43</v>
      </c>
      <c r="M476" t="s">
        <v>43</v>
      </c>
      <c r="N476" t="s">
        <v>43</v>
      </c>
      <c r="O476">
        <v>2</v>
      </c>
      <c r="P476">
        <v>4</v>
      </c>
      <c r="Q476">
        <v>3</v>
      </c>
      <c r="R476">
        <v>1</v>
      </c>
      <c r="S476">
        <v>2</v>
      </c>
      <c r="T476">
        <f t="shared" si="35"/>
        <v>3</v>
      </c>
      <c r="U476" t="str" cm="1">
        <f t="array" ref="U476">_xlfn.IFS(T476&lt;3, "low", AND(T476&gt;=3, T476&lt;5), "med", T476&gt;=5, "high")</f>
        <v>med</v>
      </c>
      <c r="V476">
        <v>14</v>
      </c>
      <c r="W476" t="str" cm="1">
        <f t="array" ref="W476">_xlfn.IFS(V476&lt;5, "low", AND(V476&gt;=5, V476&lt;10), "med", V476&gt;=10, "high")</f>
        <v>high</v>
      </c>
      <c r="X476">
        <v>12</v>
      </c>
      <c r="Y476">
        <v>11</v>
      </c>
      <c r="Z476">
        <v>11</v>
      </c>
      <c r="AA476">
        <f t="shared" si="36"/>
        <v>1</v>
      </c>
      <c r="AB476">
        <f t="shared" si="37"/>
        <v>0</v>
      </c>
      <c r="AC476">
        <f t="shared" si="38"/>
        <v>1</v>
      </c>
      <c r="AD476" s="1">
        <f t="shared" si="39"/>
        <v>11.333333333333334</v>
      </c>
    </row>
    <row r="477" spans="1:30" x14ac:dyDescent="0.35">
      <c r="A477" t="s">
        <v>50</v>
      </c>
      <c r="B477">
        <v>15</v>
      </c>
      <c r="C477" t="s">
        <v>35</v>
      </c>
      <c r="D477" t="s">
        <v>36</v>
      </c>
      <c r="E477" t="s">
        <v>44</v>
      </c>
      <c r="F477" t="s">
        <v>45</v>
      </c>
      <c r="G477" t="s">
        <v>48</v>
      </c>
      <c r="H477">
        <v>1</v>
      </c>
      <c r="I477">
        <v>0</v>
      </c>
      <c r="J477" t="s">
        <v>42</v>
      </c>
      <c r="K477" t="s">
        <v>42</v>
      </c>
      <c r="L477" t="s">
        <v>43</v>
      </c>
      <c r="M477" t="s">
        <v>42</v>
      </c>
      <c r="N477" t="s">
        <v>42</v>
      </c>
      <c r="O477">
        <v>3</v>
      </c>
      <c r="P477">
        <v>2</v>
      </c>
      <c r="Q477">
        <v>2</v>
      </c>
      <c r="R477">
        <v>1</v>
      </c>
      <c r="S477">
        <v>3</v>
      </c>
      <c r="T477">
        <f t="shared" si="35"/>
        <v>4</v>
      </c>
      <c r="U477" t="str" cm="1">
        <f t="array" ref="U477">_xlfn.IFS(T477&lt;3, "low", AND(T477&gt;=3, T477&lt;5), "med", T477&gt;=5, "high")</f>
        <v>med</v>
      </c>
      <c r="V477">
        <v>0</v>
      </c>
      <c r="W477" t="str" cm="1">
        <f t="array" ref="W477">_xlfn.IFS(V477&lt;5, "low", AND(V477&gt;=5, V477&lt;10), "med", V477&gt;=10, "high")</f>
        <v>low</v>
      </c>
      <c r="X477">
        <v>11</v>
      </c>
      <c r="Y477">
        <v>11</v>
      </c>
      <c r="Z477">
        <v>12</v>
      </c>
      <c r="AA477">
        <f t="shared" si="36"/>
        <v>0</v>
      </c>
      <c r="AB477">
        <f t="shared" si="37"/>
        <v>0</v>
      </c>
      <c r="AC477">
        <f t="shared" si="38"/>
        <v>0</v>
      </c>
      <c r="AD477" s="1">
        <f t="shared" si="39"/>
        <v>11.333333333333334</v>
      </c>
    </row>
    <row r="478" spans="1:30" x14ac:dyDescent="0.35">
      <c r="A478" t="s">
        <v>50</v>
      </c>
      <c r="B478">
        <v>15</v>
      </c>
      <c r="C478" t="s">
        <v>35</v>
      </c>
      <c r="D478" t="s">
        <v>36</v>
      </c>
      <c r="E478" t="s">
        <v>44</v>
      </c>
      <c r="F478" t="s">
        <v>45</v>
      </c>
      <c r="G478" t="s">
        <v>45</v>
      </c>
      <c r="H478">
        <v>3</v>
      </c>
      <c r="I478">
        <v>0</v>
      </c>
      <c r="J478" t="s">
        <v>42</v>
      </c>
      <c r="K478" t="s">
        <v>43</v>
      </c>
      <c r="L478" t="s">
        <v>43</v>
      </c>
      <c r="M478" t="s">
        <v>43</v>
      </c>
      <c r="N478" t="s">
        <v>43</v>
      </c>
      <c r="O478">
        <v>5</v>
      </c>
      <c r="P478">
        <v>3</v>
      </c>
      <c r="Q478">
        <v>2</v>
      </c>
      <c r="R478">
        <v>1</v>
      </c>
      <c r="S478">
        <v>2</v>
      </c>
      <c r="T478">
        <f t="shared" si="35"/>
        <v>3</v>
      </c>
      <c r="U478" t="str" cm="1">
        <f t="array" ref="U478">_xlfn.IFS(T478&lt;3, "low", AND(T478&gt;=3, T478&lt;5), "med", T478&gt;=5, "high")</f>
        <v>med</v>
      </c>
      <c r="V478">
        <v>2</v>
      </c>
      <c r="W478" t="str" cm="1">
        <f t="array" ref="W478">_xlfn.IFS(V478&lt;5, "low", AND(V478&gt;=5, V478&lt;10), "med", V478&gt;=10, "high")</f>
        <v>low</v>
      </c>
      <c r="X478">
        <v>10</v>
      </c>
      <c r="Y478">
        <v>9</v>
      </c>
      <c r="Z478">
        <v>9</v>
      </c>
      <c r="AA478">
        <f t="shared" si="36"/>
        <v>1</v>
      </c>
      <c r="AB478">
        <f t="shared" si="37"/>
        <v>0</v>
      </c>
      <c r="AC478">
        <f t="shared" si="38"/>
        <v>1</v>
      </c>
      <c r="AD478" s="1">
        <f t="shared" si="39"/>
        <v>9.3333333333333339</v>
      </c>
    </row>
    <row r="479" spans="1:30" x14ac:dyDescent="0.35">
      <c r="A479" t="s">
        <v>34</v>
      </c>
      <c r="B479">
        <v>15</v>
      </c>
      <c r="C479" t="s">
        <v>35</v>
      </c>
      <c r="D479" t="s">
        <v>47</v>
      </c>
      <c r="E479" t="s">
        <v>44</v>
      </c>
      <c r="F479" t="s">
        <v>48</v>
      </c>
      <c r="G479" t="s">
        <v>45</v>
      </c>
      <c r="H479">
        <v>2</v>
      </c>
      <c r="I479">
        <v>0</v>
      </c>
      <c r="J479" t="s">
        <v>43</v>
      </c>
      <c r="K479" t="s">
        <v>42</v>
      </c>
      <c r="L479" t="s">
        <v>43</v>
      </c>
      <c r="M479" t="s">
        <v>43</v>
      </c>
      <c r="N479" t="s">
        <v>43</v>
      </c>
      <c r="O479">
        <v>4</v>
      </c>
      <c r="P479">
        <v>4</v>
      </c>
      <c r="Q479">
        <v>4</v>
      </c>
      <c r="R479">
        <v>1</v>
      </c>
      <c r="S479">
        <v>1</v>
      </c>
      <c r="T479">
        <f t="shared" si="35"/>
        <v>2</v>
      </c>
      <c r="U479" t="str" cm="1">
        <f t="array" ref="U479">_xlfn.IFS(T479&lt;3, "low", AND(T479&gt;=3, T479&lt;5), "med", T479&gt;=5, "high")</f>
        <v>low</v>
      </c>
      <c r="V479">
        <v>4</v>
      </c>
      <c r="W479" t="str" cm="1">
        <f t="array" ref="W479">_xlfn.IFS(V479&lt;5, "low", AND(V479&gt;=5, V479&lt;10), "med", V479&gt;=10, "high")</f>
        <v>low</v>
      </c>
      <c r="X479">
        <v>12</v>
      </c>
      <c r="Y479">
        <v>11</v>
      </c>
      <c r="Z479">
        <v>11</v>
      </c>
      <c r="AA479">
        <f t="shared" si="36"/>
        <v>1</v>
      </c>
      <c r="AB479">
        <f t="shared" si="37"/>
        <v>0</v>
      </c>
      <c r="AC479">
        <f t="shared" si="38"/>
        <v>1</v>
      </c>
      <c r="AD479" s="1">
        <f t="shared" si="39"/>
        <v>11.333333333333334</v>
      </c>
    </row>
    <row r="480" spans="1:30" x14ac:dyDescent="0.35">
      <c r="A480" t="s">
        <v>50</v>
      </c>
      <c r="B480">
        <v>15</v>
      </c>
      <c r="C480" t="s">
        <v>35</v>
      </c>
      <c r="D480" t="s">
        <v>47</v>
      </c>
      <c r="E480" t="s">
        <v>44</v>
      </c>
      <c r="F480" t="s">
        <v>48</v>
      </c>
      <c r="G480" t="s">
        <v>48</v>
      </c>
      <c r="H480">
        <v>2</v>
      </c>
      <c r="I480">
        <v>0</v>
      </c>
      <c r="J480" t="s">
        <v>43</v>
      </c>
      <c r="K480" t="s">
        <v>43</v>
      </c>
      <c r="L480" t="s">
        <v>42</v>
      </c>
      <c r="M480" t="s">
        <v>42</v>
      </c>
      <c r="N480" t="s">
        <v>43</v>
      </c>
      <c r="O480">
        <v>5</v>
      </c>
      <c r="P480">
        <v>3</v>
      </c>
      <c r="Q480">
        <v>3</v>
      </c>
      <c r="R480">
        <v>1</v>
      </c>
      <c r="S480">
        <v>3</v>
      </c>
      <c r="T480">
        <f t="shared" si="35"/>
        <v>4</v>
      </c>
      <c r="U480" t="str" cm="1">
        <f t="array" ref="U480">_xlfn.IFS(T480&lt;3, "low", AND(T480&gt;=3, T480&lt;5), "med", T480&gt;=5, "high")</f>
        <v>med</v>
      </c>
      <c r="V480">
        <v>2</v>
      </c>
      <c r="W480" t="str" cm="1">
        <f t="array" ref="W480">_xlfn.IFS(V480&lt;5, "low", AND(V480&gt;=5, V480&lt;10), "med", V480&gt;=10, "high")</f>
        <v>low</v>
      </c>
      <c r="X480">
        <v>13</v>
      </c>
      <c r="Y480">
        <v>12</v>
      </c>
      <c r="Z480">
        <v>13</v>
      </c>
      <c r="AA480">
        <f t="shared" si="36"/>
        <v>1</v>
      </c>
      <c r="AB480">
        <f t="shared" si="37"/>
        <v>0</v>
      </c>
      <c r="AC480">
        <f t="shared" si="38"/>
        <v>1</v>
      </c>
      <c r="AD480" s="1">
        <f t="shared" si="39"/>
        <v>12.666666666666666</v>
      </c>
    </row>
    <row r="481" spans="1:30" x14ac:dyDescent="0.35">
      <c r="A481" t="s">
        <v>34</v>
      </c>
      <c r="B481">
        <v>15</v>
      </c>
      <c r="C481" t="s">
        <v>35</v>
      </c>
      <c r="D481" t="s">
        <v>36</v>
      </c>
      <c r="E481" t="s">
        <v>44</v>
      </c>
      <c r="F481" t="s">
        <v>45</v>
      </c>
      <c r="G481" t="s">
        <v>45</v>
      </c>
      <c r="H481">
        <v>2</v>
      </c>
      <c r="I481">
        <v>0</v>
      </c>
      <c r="J481" t="s">
        <v>43</v>
      </c>
      <c r="K481" t="s">
        <v>42</v>
      </c>
      <c r="L481" t="s">
        <v>43</v>
      </c>
      <c r="M481" t="s">
        <v>42</v>
      </c>
      <c r="N481" t="s">
        <v>43</v>
      </c>
      <c r="O481">
        <v>4</v>
      </c>
      <c r="P481">
        <v>3</v>
      </c>
      <c r="Q481">
        <v>2</v>
      </c>
      <c r="R481">
        <v>2</v>
      </c>
      <c r="S481">
        <v>3</v>
      </c>
      <c r="T481">
        <f t="shared" si="35"/>
        <v>5</v>
      </c>
      <c r="U481" t="str" cm="1">
        <f t="array" ref="U481">_xlfn.IFS(T481&lt;3, "low", AND(T481&gt;=3, T481&lt;5), "med", T481&gt;=5, "high")</f>
        <v>high</v>
      </c>
      <c r="V481">
        <v>2</v>
      </c>
      <c r="W481" t="str" cm="1">
        <f t="array" ref="W481">_xlfn.IFS(V481&lt;5, "low", AND(V481&gt;=5, V481&lt;10), "med", V481&gt;=10, "high")</f>
        <v>low</v>
      </c>
      <c r="X481">
        <v>13</v>
      </c>
      <c r="Y481">
        <v>12</v>
      </c>
      <c r="Z481">
        <v>12</v>
      </c>
      <c r="AA481">
        <f t="shared" si="36"/>
        <v>1</v>
      </c>
      <c r="AB481">
        <f t="shared" si="37"/>
        <v>0</v>
      </c>
      <c r="AC481">
        <f t="shared" si="38"/>
        <v>1</v>
      </c>
      <c r="AD481" s="1">
        <f t="shared" si="39"/>
        <v>12.333333333333334</v>
      </c>
    </row>
    <row r="482" spans="1:30" x14ac:dyDescent="0.35">
      <c r="A482" t="s">
        <v>34</v>
      </c>
      <c r="B482">
        <v>15</v>
      </c>
      <c r="C482" t="s">
        <v>35</v>
      </c>
      <c r="D482" t="s">
        <v>36</v>
      </c>
      <c r="E482" t="s">
        <v>44</v>
      </c>
      <c r="F482" t="s">
        <v>48</v>
      </c>
      <c r="G482" t="s">
        <v>48</v>
      </c>
      <c r="H482">
        <v>2</v>
      </c>
      <c r="I482">
        <v>0</v>
      </c>
      <c r="J482" t="s">
        <v>43</v>
      </c>
      <c r="K482" t="s">
        <v>43</v>
      </c>
      <c r="L482" t="s">
        <v>43</v>
      </c>
      <c r="M482" t="s">
        <v>43</v>
      </c>
      <c r="N482" t="s">
        <v>42</v>
      </c>
      <c r="O482">
        <v>4</v>
      </c>
      <c r="P482">
        <v>4</v>
      </c>
      <c r="Q482">
        <v>4</v>
      </c>
      <c r="R482">
        <v>2</v>
      </c>
      <c r="S482">
        <v>3</v>
      </c>
      <c r="T482">
        <f t="shared" si="35"/>
        <v>5</v>
      </c>
      <c r="U482" t="str" cm="1">
        <f t="array" ref="U482">_xlfn.IFS(T482&lt;3, "low", AND(T482&gt;=3, T482&lt;5), "med", T482&gt;=5, "high")</f>
        <v>high</v>
      </c>
      <c r="V482">
        <v>4</v>
      </c>
      <c r="W482" t="str" cm="1">
        <f t="array" ref="W482">_xlfn.IFS(V482&lt;5, "low", AND(V482&gt;=5, V482&lt;10), "med", V482&gt;=10, "high")</f>
        <v>low</v>
      </c>
      <c r="X482">
        <v>12</v>
      </c>
      <c r="Y482">
        <v>11</v>
      </c>
      <c r="Z482">
        <v>12</v>
      </c>
      <c r="AA482">
        <f t="shared" si="36"/>
        <v>1</v>
      </c>
      <c r="AB482">
        <f t="shared" si="37"/>
        <v>0</v>
      </c>
      <c r="AC482">
        <f t="shared" si="38"/>
        <v>1</v>
      </c>
      <c r="AD482" s="1">
        <f t="shared" si="39"/>
        <v>11.666666666666666</v>
      </c>
    </row>
    <row r="483" spans="1:30" x14ac:dyDescent="0.35">
      <c r="A483" t="s">
        <v>34</v>
      </c>
      <c r="B483">
        <v>16</v>
      </c>
      <c r="C483" t="s">
        <v>35</v>
      </c>
      <c r="D483" t="s">
        <v>47</v>
      </c>
      <c r="E483" t="s">
        <v>44</v>
      </c>
      <c r="F483" t="s">
        <v>38</v>
      </c>
      <c r="G483" t="s">
        <v>45</v>
      </c>
      <c r="H483">
        <v>2</v>
      </c>
      <c r="I483">
        <v>0</v>
      </c>
      <c r="J483" t="s">
        <v>43</v>
      </c>
      <c r="K483" t="s">
        <v>42</v>
      </c>
      <c r="L483" t="s">
        <v>43</v>
      </c>
      <c r="M483" t="s">
        <v>43</v>
      </c>
      <c r="N483" t="s">
        <v>43</v>
      </c>
      <c r="O483">
        <v>4</v>
      </c>
      <c r="P483">
        <v>3</v>
      </c>
      <c r="Q483">
        <v>4</v>
      </c>
      <c r="R483">
        <v>1</v>
      </c>
      <c r="S483">
        <v>2</v>
      </c>
      <c r="T483">
        <f t="shared" si="35"/>
        <v>3</v>
      </c>
      <c r="U483" t="str" cm="1">
        <f t="array" ref="U483">_xlfn.IFS(T483&lt;3, "low", AND(T483&gt;=3, T483&lt;5), "med", T483&gt;=5, "high")</f>
        <v>med</v>
      </c>
      <c r="V483">
        <v>6</v>
      </c>
      <c r="W483" t="str" cm="1">
        <f t="array" ref="W483">_xlfn.IFS(V483&lt;5, "low", AND(V483&gt;=5, V483&lt;10), "med", V483&gt;=10, "high")</f>
        <v>med</v>
      </c>
      <c r="X483">
        <v>13</v>
      </c>
      <c r="Y483">
        <v>11</v>
      </c>
      <c r="Z483">
        <v>11</v>
      </c>
      <c r="AA483">
        <f t="shared" si="36"/>
        <v>1</v>
      </c>
      <c r="AB483">
        <f t="shared" si="37"/>
        <v>0</v>
      </c>
      <c r="AC483">
        <f t="shared" si="38"/>
        <v>1</v>
      </c>
      <c r="AD483" s="1">
        <f t="shared" si="39"/>
        <v>11.666666666666666</v>
      </c>
    </row>
    <row r="484" spans="1:30" x14ac:dyDescent="0.35">
      <c r="A484" t="s">
        <v>34</v>
      </c>
      <c r="B484">
        <v>15</v>
      </c>
      <c r="C484" t="s">
        <v>35</v>
      </c>
      <c r="D484" t="s">
        <v>36</v>
      </c>
      <c r="E484" t="s">
        <v>44</v>
      </c>
      <c r="F484" t="s">
        <v>45</v>
      </c>
      <c r="G484" t="s">
        <v>45</v>
      </c>
      <c r="H484">
        <v>3</v>
      </c>
      <c r="I484">
        <v>0</v>
      </c>
      <c r="J484" t="s">
        <v>43</v>
      </c>
      <c r="K484" t="s">
        <v>42</v>
      </c>
      <c r="L484" t="s">
        <v>43</v>
      </c>
      <c r="M484" t="s">
        <v>42</v>
      </c>
      <c r="N484" t="s">
        <v>43</v>
      </c>
      <c r="O484">
        <v>5</v>
      </c>
      <c r="P484">
        <v>3</v>
      </c>
      <c r="Q484">
        <v>3</v>
      </c>
      <c r="R484">
        <v>1</v>
      </c>
      <c r="S484">
        <v>3</v>
      </c>
      <c r="T484">
        <f t="shared" si="35"/>
        <v>4</v>
      </c>
      <c r="U484" t="str" cm="1">
        <f t="array" ref="U484">_xlfn.IFS(T484&lt;3, "low", AND(T484&gt;=3, T484&lt;5), "med", T484&gt;=5, "high")</f>
        <v>med</v>
      </c>
      <c r="V484">
        <v>4</v>
      </c>
      <c r="W484" t="str" cm="1">
        <f t="array" ref="W484">_xlfn.IFS(V484&lt;5, "low", AND(V484&gt;=5, V484&lt;10), "med", V484&gt;=10, "high")</f>
        <v>low</v>
      </c>
      <c r="X484">
        <v>15</v>
      </c>
      <c r="Y484">
        <v>15</v>
      </c>
      <c r="Z484">
        <v>15</v>
      </c>
      <c r="AA484">
        <f t="shared" si="36"/>
        <v>0</v>
      </c>
      <c r="AB484">
        <f t="shared" si="37"/>
        <v>0</v>
      </c>
      <c r="AC484">
        <f t="shared" si="38"/>
        <v>0</v>
      </c>
      <c r="AD484" s="1">
        <f t="shared" si="39"/>
        <v>15</v>
      </c>
    </row>
    <row r="485" spans="1:30" x14ac:dyDescent="0.35">
      <c r="A485" t="s">
        <v>50</v>
      </c>
      <c r="B485">
        <v>16</v>
      </c>
      <c r="C485" t="s">
        <v>35</v>
      </c>
      <c r="D485" t="s">
        <v>36</v>
      </c>
      <c r="E485" t="s">
        <v>44</v>
      </c>
      <c r="F485" t="s">
        <v>48</v>
      </c>
      <c r="G485" t="s">
        <v>45</v>
      </c>
      <c r="H485">
        <v>2</v>
      </c>
      <c r="I485">
        <v>0</v>
      </c>
      <c r="J485" t="s">
        <v>43</v>
      </c>
      <c r="K485" t="s">
        <v>43</v>
      </c>
      <c r="L485" t="s">
        <v>43</v>
      </c>
      <c r="M485" t="s">
        <v>42</v>
      </c>
      <c r="N485" t="s">
        <v>43</v>
      </c>
      <c r="O485">
        <v>4</v>
      </c>
      <c r="P485">
        <v>4</v>
      </c>
      <c r="Q485">
        <v>2</v>
      </c>
      <c r="R485">
        <v>1</v>
      </c>
      <c r="S485">
        <v>1</v>
      </c>
      <c r="T485">
        <f t="shared" si="35"/>
        <v>2</v>
      </c>
      <c r="U485" t="str" cm="1">
        <f t="array" ref="U485">_xlfn.IFS(T485&lt;3, "low", AND(T485&gt;=3, T485&lt;5), "med", T485&gt;=5, "high")</f>
        <v>low</v>
      </c>
      <c r="V485">
        <v>6</v>
      </c>
      <c r="W485" t="str" cm="1">
        <f t="array" ref="W485">_xlfn.IFS(V485&lt;5, "low", AND(V485&gt;=5, V485&lt;10), "med", V485&gt;=10, "high")</f>
        <v>med</v>
      </c>
      <c r="X485">
        <v>12</v>
      </c>
      <c r="Y485">
        <v>10</v>
      </c>
      <c r="Z485">
        <v>11</v>
      </c>
      <c r="AA485">
        <f t="shared" si="36"/>
        <v>1</v>
      </c>
      <c r="AB485">
        <f t="shared" si="37"/>
        <v>0</v>
      </c>
      <c r="AC485">
        <f t="shared" si="38"/>
        <v>1</v>
      </c>
      <c r="AD485" s="1">
        <f t="shared" si="39"/>
        <v>11</v>
      </c>
    </row>
    <row r="486" spans="1:30" x14ac:dyDescent="0.35">
      <c r="A486" t="s">
        <v>50</v>
      </c>
      <c r="B486">
        <v>16</v>
      </c>
      <c r="C486" t="s">
        <v>35</v>
      </c>
      <c r="D486" t="s">
        <v>47</v>
      </c>
      <c r="E486" t="s">
        <v>37</v>
      </c>
      <c r="F486" t="s">
        <v>39</v>
      </c>
      <c r="G486" t="s">
        <v>28</v>
      </c>
      <c r="H486">
        <v>2</v>
      </c>
      <c r="I486">
        <v>0</v>
      </c>
      <c r="J486" t="s">
        <v>43</v>
      </c>
      <c r="K486" t="s">
        <v>42</v>
      </c>
      <c r="L486" t="s">
        <v>43</v>
      </c>
      <c r="M486" t="s">
        <v>43</v>
      </c>
      <c r="N486" t="s">
        <v>43</v>
      </c>
      <c r="O486">
        <v>4</v>
      </c>
      <c r="P486">
        <v>1</v>
      </c>
      <c r="Q486">
        <v>3</v>
      </c>
      <c r="R486">
        <v>3</v>
      </c>
      <c r="S486">
        <v>5</v>
      </c>
      <c r="T486">
        <f t="shared" si="35"/>
        <v>8</v>
      </c>
      <c r="U486" t="str" cm="1">
        <f t="array" ref="U486">_xlfn.IFS(T486&lt;3, "low", AND(T486&gt;=3, T486&lt;5), "med", T486&gt;=5, "high")</f>
        <v>high</v>
      </c>
      <c r="V486">
        <v>6</v>
      </c>
      <c r="W486" t="str" cm="1">
        <f t="array" ref="W486">_xlfn.IFS(V486&lt;5, "low", AND(V486&gt;=5, V486&lt;10), "med", V486&gt;=10, "high")</f>
        <v>med</v>
      </c>
      <c r="X486">
        <v>9</v>
      </c>
      <c r="Y486">
        <v>9</v>
      </c>
      <c r="Z486">
        <v>10</v>
      </c>
      <c r="AA486">
        <f t="shared" si="36"/>
        <v>0</v>
      </c>
      <c r="AB486">
        <f t="shared" si="37"/>
        <v>0</v>
      </c>
      <c r="AC486">
        <f t="shared" si="38"/>
        <v>0</v>
      </c>
      <c r="AD486" s="1">
        <f t="shared" si="39"/>
        <v>9.3333333333333339</v>
      </c>
    </row>
    <row r="487" spans="1:30" x14ac:dyDescent="0.35">
      <c r="A487" t="s">
        <v>34</v>
      </c>
      <c r="B487">
        <v>16</v>
      </c>
      <c r="C487" t="s">
        <v>35</v>
      </c>
      <c r="D487" t="s">
        <v>36</v>
      </c>
      <c r="E487" t="s">
        <v>44</v>
      </c>
      <c r="F487" t="s">
        <v>45</v>
      </c>
      <c r="G487" t="s">
        <v>45</v>
      </c>
      <c r="H487">
        <v>3</v>
      </c>
      <c r="I487">
        <v>0</v>
      </c>
      <c r="J487" t="s">
        <v>43</v>
      </c>
      <c r="K487" t="s">
        <v>42</v>
      </c>
      <c r="L487" t="s">
        <v>43</v>
      </c>
      <c r="M487" t="s">
        <v>43</v>
      </c>
      <c r="N487" t="s">
        <v>42</v>
      </c>
      <c r="O487">
        <v>4</v>
      </c>
      <c r="P487">
        <v>3</v>
      </c>
      <c r="Q487">
        <v>3</v>
      </c>
      <c r="R487">
        <v>1</v>
      </c>
      <c r="S487">
        <v>3</v>
      </c>
      <c r="T487">
        <f t="shared" si="35"/>
        <v>4</v>
      </c>
      <c r="U487" t="str" cm="1">
        <f t="array" ref="U487">_xlfn.IFS(T487&lt;3, "low", AND(T487&gt;=3, T487&lt;5), "med", T487&gt;=5, "high")</f>
        <v>med</v>
      </c>
      <c r="V487">
        <v>2</v>
      </c>
      <c r="W487" t="str" cm="1">
        <f t="array" ref="W487">_xlfn.IFS(V487&lt;5, "low", AND(V487&gt;=5, V487&lt;10), "med", V487&gt;=10, "high")</f>
        <v>low</v>
      </c>
      <c r="X487">
        <v>9</v>
      </c>
      <c r="Y487">
        <v>11</v>
      </c>
      <c r="Z487">
        <v>11</v>
      </c>
      <c r="AA487">
        <f t="shared" si="36"/>
        <v>0</v>
      </c>
      <c r="AB487">
        <f t="shared" si="37"/>
        <v>0</v>
      </c>
      <c r="AC487">
        <f t="shared" si="38"/>
        <v>0</v>
      </c>
      <c r="AD487" s="1">
        <f t="shared" si="39"/>
        <v>10.333333333333334</v>
      </c>
    </row>
    <row r="488" spans="1:30" x14ac:dyDescent="0.35">
      <c r="A488" t="s">
        <v>34</v>
      </c>
      <c r="B488">
        <v>15</v>
      </c>
      <c r="C488" t="s">
        <v>35</v>
      </c>
      <c r="D488" t="s">
        <v>36</v>
      </c>
      <c r="E488" t="s">
        <v>44</v>
      </c>
      <c r="F488" t="s">
        <v>48</v>
      </c>
      <c r="G488" t="s">
        <v>45</v>
      </c>
      <c r="H488">
        <v>1</v>
      </c>
      <c r="I488">
        <v>0</v>
      </c>
      <c r="J488" t="s">
        <v>43</v>
      </c>
      <c r="K488" t="s">
        <v>43</v>
      </c>
      <c r="L488" t="s">
        <v>43</v>
      </c>
      <c r="M488" t="s">
        <v>42</v>
      </c>
      <c r="N488" t="s">
        <v>43</v>
      </c>
      <c r="O488">
        <v>4</v>
      </c>
      <c r="P488">
        <v>5</v>
      </c>
      <c r="Q488">
        <v>5</v>
      </c>
      <c r="R488">
        <v>1</v>
      </c>
      <c r="S488">
        <v>3</v>
      </c>
      <c r="T488">
        <f t="shared" si="35"/>
        <v>4</v>
      </c>
      <c r="U488" t="str" cm="1">
        <f t="array" ref="U488">_xlfn.IFS(T488&lt;3, "low", AND(T488&gt;=3, T488&lt;5), "med", T488&gt;=5, "high")</f>
        <v>med</v>
      </c>
      <c r="V488">
        <v>6</v>
      </c>
      <c r="W488" t="str" cm="1">
        <f t="array" ref="W488">_xlfn.IFS(V488&lt;5, "low", AND(V488&gt;=5, V488&lt;10), "med", V488&gt;=10, "high")</f>
        <v>med</v>
      </c>
      <c r="X488">
        <v>14</v>
      </c>
      <c r="Y488">
        <v>13</v>
      </c>
      <c r="Z488">
        <v>13</v>
      </c>
      <c r="AA488">
        <f t="shared" si="36"/>
        <v>1</v>
      </c>
      <c r="AB488">
        <f t="shared" si="37"/>
        <v>0</v>
      </c>
      <c r="AC488">
        <f t="shared" si="38"/>
        <v>1</v>
      </c>
      <c r="AD488" s="1">
        <f t="shared" si="39"/>
        <v>13.333333333333334</v>
      </c>
    </row>
    <row r="489" spans="1:30" x14ac:dyDescent="0.35">
      <c r="A489" t="s">
        <v>34</v>
      </c>
      <c r="B489">
        <v>16</v>
      </c>
      <c r="C489" t="s">
        <v>35</v>
      </c>
      <c r="D489" t="s">
        <v>47</v>
      </c>
      <c r="E489" t="s">
        <v>44</v>
      </c>
      <c r="F489" t="s">
        <v>45</v>
      </c>
      <c r="G489" t="s">
        <v>45</v>
      </c>
      <c r="H489">
        <v>2</v>
      </c>
      <c r="I489">
        <v>0</v>
      </c>
      <c r="J489" t="s">
        <v>42</v>
      </c>
      <c r="K489" t="s">
        <v>42</v>
      </c>
      <c r="L489" t="s">
        <v>43</v>
      </c>
      <c r="M489" t="s">
        <v>43</v>
      </c>
      <c r="N489" t="s">
        <v>43</v>
      </c>
      <c r="O489">
        <v>3</v>
      </c>
      <c r="P489">
        <v>3</v>
      </c>
      <c r="Q489">
        <v>3</v>
      </c>
      <c r="R489">
        <v>2</v>
      </c>
      <c r="S489">
        <v>3</v>
      </c>
      <c r="T489">
        <f t="shared" si="35"/>
        <v>5</v>
      </c>
      <c r="U489" t="str" cm="1">
        <f t="array" ref="U489">_xlfn.IFS(T489&lt;3, "low", AND(T489&gt;=3, T489&lt;5), "med", T489&gt;=5, "high")</f>
        <v>high</v>
      </c>
      <c r="V489">
        <v>0</v>
      </c>
      <c r="W489" t="str" cm="1">
        <f t="array" ref="W489">_xlfn.IFS(V489&lt;5, "low", AND(V489&gt;=5, V489&lt;10), "med", V489&gt;=10, "high")</f>
        <v>low</v>
      </c>
      <c r="X489">
        <v>12</v>
      </c>
      <c r="Y489">
        <v>13</v>
      </c>
      <c r="Z489">
        <v>12</v>
      </c>
      <c r="AA489">
        <f t="shared" si="36"/>
        <v>0</v>
      </c>
      <c r="AB489">
        <f t="shared" si="37"/>
        <v>1</v>
      </c>
      <c r="AC489">
        <f t="shared" si="38"/>
        <v>1</v>
      </c>
      <c r="AD489" s="1">
        <f t="shared" si="39"/>
        <v>12.333333333333334</v>
      </c>
    </row>
    <row r="490" spans="1:30" x14ac:dyDescent="0.35">
      <c r="A490" t="s">
        <v>34</v>
      </c>
      <c r="B490">
        <v>16</v>
      </c>
      <c r="C490" t="s">
        <v>35</v>
      </c>
      <c r="D490" t="s">
        <v>36</v>
      </c>
      <c r="E490" t="s">
        <v>44</v>
      </c>
      <c r="F490" t="s">
        <v>39</v>
      </c>
      <c r="G490" t="s">
        <v>48</v>
      </c>
      <c r="H490">
        <v>2</v>
      </c>
      <c r="I490">
        <v>0</v>
      </c>
      <c r="J490" t="s">
        <v>43</v>
      </c>
      <c r="K490" t="s">
        <v>42</v>
      </c>
      <c r="L490" t="s">
        <v>43</v>
      </c>
      <c r="M490" t="s">
        <v>42</v>
      </c>
      <c r="N490" t="s">
        <v>43</v>
      </c>
      <c r="O490">
        <v>5</v>
      </c>
      <c r="P490">
        <v>3</v>
      </c>
      <c r="Q490">
        <v>3</v>
      </c>
      <c r="R490">
        <v>1</v>
      </c>
      <c r="S490">
        <v>1</v>
      </c>
      <c r="T490">
        <f t="shared" si="35"/>
        <v>2</v>
      </c>
      <c r="U490" t="str" cm="1">
        <f t="array" ref="U490">_xlfn.IFS(T490&lt;3, "low", AND(T490&gt;=3, T490&lt;5), "med", T490&gt;=5, "high")</f>
        <v>low</v>
      </c>
      <c r="V490">
        <v>2</v>
      </c>
      <c r="W490" t="str" cm="1">
        <f t="array" ref="W490">_xlfn.IFS(V490&lt;5, "low", AND(V490&gt;=5, V490&lt;10), "med", V490&gt;=10, "high")</f>
        <v>low</v>
      </c>
      <c r="X490">
        <v>13</v>
      </c>
      <c r="Y490">
        <v>14</v>
      </c>
      <c r="Z490">
        <v>14</v>
      </c>
      <c r="AA490">
        <f t="shared" si="36"/>
        <v>0</v>
      </c>
      <c r="AB490">
        <f t="shared" si="37"/>
        <v>0</v>
      </c>
      <c r="AC490">
        <f t="shared" si="38"/>
        <v>0</v>
      </c>
      <c r="AD490" s="1">
        <f t="shared" si="39"/>
        <v>13.666666666666666</v>
      </c>
    </row>
    <row r="491" spans="1:30" x14ac:dyDescent="0.35">
      <c r="A491" t="s">
        <v>50</v>
      </c>
      <c r="B491">
        <v>15</v>
      </c>
      <c r="C491" t="s">
        <v>35</v>
      </c>
      <c r="D491" t="s">
        <v>47</v>
      </c>
      <c r="E491" t="s">
        <v>44</v>
      </c>
      <c r="F491" t="s">
        <v>48</v>
      </c>
      <c r="G491" t="s">
        <v>28</v>
      </c>
      <c r="H491">
        <v>4</v>
      </c>
      <c r="I491">
        <v>0</v>
      </c>
      <c r="J491" t="s">
        <v>43</v>
      </c>
      <c r="K491" t="s">
        <v>42</v>
      </c>
      <c r="L491" t="s">
        <v>43</v>
      </c>
      <c r="M491" t="s">
        <v>42</v>
      </c>
      <c r="N491" t="s">
        <v>43</v>
      </c>
      <c r="O491">
        <v>4</v>
      </c>
      <c r="P491">
        <v>3</v>
      </c>
      <c r="Q491">
        <v>4</v>
      </c>
      <c r="R491">
        <v>1</v>
      </c>
      <c r="S491">
        <v>1</v>
      </c>
      <c r="T491">
        <f t="shared" si="35"/>
        <v>2</v>
      </c>
      <c r="U491" t="str" cm="1">
        <f t="array" ref="U491">_xlfn.IFS(T491&lt;3, "low", AND(T491&gt;=3, T491&lt;5), "med", T491&gt;=5, "high")</f>
        <v>low</v>
      </c>
      <c r="V491">
        <v>2</v>
      </c>
      <c r="W491" t="str" cm="1">
        <f t="array" ref="W491">_xlfn.IFS(V491&lt;5, "low", AND(V491&gt;=5, V491&lt;10), "med", V491&gt;=10, "high")</f>
        <v>low</v>
      </c>
      <c r="X491">
        <v>11</v>
      </c>
      <c r="Y491">
        <v>12</v>
      </c>
      <c r="Z491">
        <v>12</v>
      </c>
      <c r="AA491">
        <f t="shared" si="36"/>
        <v>0</v>
      </c>
      <c r="AB491">
        <f t="shared" si="37"/>
        <v>0</v>
      </c>
      <c r="AC491">
        <f t="shared" si="38"/>
        <v>0</v>
      </c>
      <c r="AD491" s="1">
        <f t="shared" si="39"/>
        <v>11.666666666666666</v>
      </c>
    </row>
    <row r="492" spans="1:30" x14ac:dyDescent="0.35">
      <c r="A492" t="s">
        <v>34</v>
      </c>
      <c r="B492">
        <v>15</v>
      </c>
      <c r="C492" t="s">
        <v>52</v>
      </c>
      <c r="D492" t="s">
        <v>36</v>
      </c>
      <c r="E492" t="s">
        <v>44</v>
      </c>
      <c r="F492" t="s">
        <v>38</v>
      </c>
      <c r="G492" t="s">
        <v>45</v>
      </c>
      <c r="H492">
        <v>4</v>
      </c>
      <c r="I492">
        <v>0</v>
      </c>
      <c r="J492" t="s">
        <v>42</v>
      </c>
      <c r="K492" t="s">
        <v>42</v>
      </c>
      <c r="L492" t="s">
        <v>42</v>
      </c>
      <c r="M492" t="s">
        <v>42</v>
      </c>
      <c r="N492" t="s">
        <v>43</v>
      </c>
      <c r="O492">
        <v>3</v>
      </c>
      <c r="P492">
        <v>1</v>
      </c>
      <c r="Q492">
        <v>2</v>
      </c>
      <c r="R492">
        <v>1</v>
      </c>
      <c r="S492">
        <v>1</v>
      </c>
      <c r="T492">
        <f t="shared" si="35"/>
        <v>2</v>
      </c>
      <c r="U492" t="str" cm="1">
        <f t="array" ref="U492">_xlfn.IFS(T492&lt;3, "low", AND(T492&gt;=3, T492&lt;5), "med", T492&gt;=5, "high")</f>
        <v>low</v>
      </c>
      <c r="V492">
        <v>4</v>
      </c>
      <c r="W492" t="str" cm="1">
        <f t="array" ref="W492">_xlfn.IFS(V492&lt;5, "low", AND(V492&gt;=5, V492&lt;10), "med", V492&gt;=10, "high")</f>
        <v>low</v>
      </c>
      <c r="X492">
        <v>13</v>
      </c>
      <c r="Y492">
        <v>13</v>
      </c>
      <c r="Z492">
        <v>13</v>
      </c>
      <c r="AA492">
        <f t="shared" si="36"/>
        <v>0</v>
      </c>
      <c r="AB492">
        <f t="shared" si="37"/>
        <v>0</v>
      </c>
      <c r="AC492">
        <f t="shared" si="38"/>
        <v>0</v>
      </c>
      <c r="AD492" s="1">
        <f t="shared" si="39"/>
        <v>13</v>
      </c>
    </row>
    <row r="493" spans="1:30" x14ac:dyDescent="0.35">
      <c r="A493" t="s">
        <v>50</v>
      </c>
      <c r="B493">
        <v>16</v>
      </c>
      <c r="C493" t="s">
        <v>52</v>
      </c>
      <c r="D493" t="s">
        <v>36</v>
      </c>
      <c r="E493" t="s">
        <v>44</v>
      </c>
      <c r="F493" t="s">
        <v>48</v>
      </c>
      <c r="G493" t="s">
        <v>45</v>
      </c>
      <c r="H493">
        <v>1</v>
      </c>
      <c r="I493">
        <v>0</v>
      </c>
      <c r="J493" t="s">
        <v>42</v>
      </c>
      <c r="K493" t="s">
        <v>42</v>
      </c>
      <c r="L493" t="s">
        <v>42</v>
      </c>
      <c r="M493" t="s">
        <v>42</v>
      </c>
      <c r="N493" t="s">
        <v>43</v>
      </c>
      <c r="O493">
        <v>3</v>
      </c>
      <c r="P493">
        <v>3</v>
      </c>
      <c r="Q493">
        <v>3</v>
      </c>
      <c r="R493">
        <v>1</v>
      </c>
      <c r="S493">
        <v>1</v>
      </c>
      <c r="T493">
        <f t="shared" si="35"/>
        <v>2</v>
      </c>
      <c r="U493" t="str" cm="1">
        <f t="array" ref="U493">_xlfn.IFS(T493&lt;3, "low", AND(T493&gt;=3, T493&lt;5), "med", T493&gt;=5, "high")</f>
        <v>low</v>
      </c>
      <c r="V493">
        <v>6</v>
      </c>
      <c r="W493" t="str" cm="1">
        <f t="array" ref="W493">_xlfn.IFS(V493&lt;5, "low", AND(V493&gt;=5, V493&lt;10), "med", V493&gt;=10, "high")</f>
        <v>med</v>
      </c>
      <c r="X493">
        <v>9</v>
      </c>
      <c r="Y493">
        <v>11</v>
      </c>
      <c r="Z493">
        <v>11</v>
      </c>
      <c r="AA493">
        <f t="shared" si="36"/>
        <v>0</v>
      </c>
      <c r="AB493">
        <f t="shared" si="37"/>
        <v>0</v>
      </c>
      <c r="AC493">
        <f t="shared" si="38"/>
        <v>0</v>
      </c>
      <c r="AD493" s="1">
        <f t="shared" si="39"/>
        <v>10.333333333333334</v>
      </c>
    </row>
    <row r="494" spans="1:30" x14ac:dyDescent="0.35">
      <c r="A494" t="s">
        <v>34</v>
      </c>
      <c r="B494">
        <v>16</v>
      </c>
      <c r="C494" t="s">
        <v>35</v>
      </c>
      <c r="D494" t="s">
        <v>36</v>
      </c>
      <c r="E494" t="s">
        <v>44</v>
      </c>
      <c r="F494" t="s">
        <v>45</v>
      </c>
      <c r="G494" t="s">
        <v>45</v>
      </c>
      <c r="H494">
        <v>2</v>
      </c>
      <c r="I494">
        <v>0</v>
      </c>
      <c r="J494" t="s">
        <v>43</v>
      </c>
      <c r="K494" t="s">
        <v>42</v>
      </c>
      <c r="L494" t="s">
        <v>43</v>
      </c>
      <c r="M494" t="s">
        <v>43</v>
      </c>
      <c r="N494" t="s">
        <v>42</v>
      </c>
      <c r="O494">
        <v>4</v>
      </c>
      <c r="P494">
        <v>3</v>
      </c>
      <c r="Q494">
        <v>5</v>
      </c>
      <c r="R494">
        <v>1</v>
      </c>
      <c r="S494">
        <v>1</v>
      </c>
      <c r="T494">
        <f t="shared" si="35"/>
        <v>2</v>
      </c>
      <c r="U494" t="str" cm="1">
        <f t="array" ref="U494">_xlfn.IFS(T494&lt;3, "low", AND(T494&gt;=3, T494&lt;5), "med", T494&gt;=5, "high")</f>
        <v>low</v>
      </c>
      <c r="V494">
        <v>0</v>
      </c>
      <c r="W494" t="str" cm="1">
        <f t="array" ref="W494">_xlfn.IFS(V494&lt;5, "low", AND(V494&gt;=5, V494&lt;10), "med", V494&gt;=10, "high")</f>
        <v>low</v>
      </c>
      <c r="X494">
        <v>13</v>
      </c>
      <c r="Y494">
        <v>12</v>
      </c>
      <c r="Z494">
        <v>12</v>
      </c>
      <c r="AA494">
        <f t="shared" si="36"/>
        <v>1</v>
      </c>
      <c r="AB494">
        <f t="shared" si="37"/>
        <v>0</v>
      </c>
      <c r="AC494">
        <f t="shared" si="38"/>
        <v>1</v>
      </c>
      <c r="AD494" s="1">
        <f t="shared" si="39"/>
        <v>12.333333333333334</v>
      </c>
    </row>
    <row r="495" spans="1:30" x14ac:dyDescent="0.35">
      <c r="A495" t="s">
        <v>34</v>
      </c>
      <c r="B495">
        <v>16</v>
      </c>
      <c r="C495" t="s">
        <v>35</v>
      </c>
      <c r="D495" t="s">
        <v>36</v>
      </c>
      <c r="E495" t="s">
        <v>44</v>
      </c>
      <c r="F495" t="s">
        <v>45</v>
      </c>
      <c r="G495" t="s">
        <v>45</v>
      </c>
      <c r="H495">
        <v>1</v>
      </c>
      <c r="I495">
        <v>0</v>
      </c>
      <c r="J495" t="s">
        <v>43</v>
      </c>
      <c r="K495" t="s">
        <v>43</v>
      </c>
      <c r="L495" t="s">
        <v>43</v>
      </c>
      <c r="M495" t="s">
        <v>42</v>
      </c>
      <c r="N495" t="s">
        <v>43</v>
      </c>
      <c r="O495">
        <v>5</v>
      </c>
      <c r="P495">
        <v>3</v>
      </c>
      <c r="Q495">
        <v>4</v>
      </c>
      <c r="R495">
        <v>1</v>
      </c>
      <c r="S495">
        <v>2</v>
      </c>
      <c r="T495">
        <f t="shared" si="35"/>
        <v>3</v>
      </c>
      <c r="U495" t="str" cm="1">
        <f t="array" ref="U495">_xlfn.IFS(T495&lt;3, "low", AND(T495&gt;=3, T495&lt;5), "med", T495&gt;=5, "high")</f>
        <v>med</v>
      </c>
      <c r="V495">
        <v>4</v>
      </c>
      <c r="W495" t="str" cm="1">
        <f t="array" ref="W495">_xlfn.IFS(V495&lt;5, "low", AND(V495&gt;=5, V495&lt;10), "med", V495&gt;=10, "high")</f>
        <v>low</v>
      </c>
      <c r="X495">
        <v>12</v>
      </c>
      <c r="Y495">
        <v>13</v>
      </c>
      <c r="Z495">
        <v>13</v>
      </c>
      <c r="AA495">
        <f t="shared" si="36"/>
        <v>0</v>
      </c>
      <c r="AB495">
        <f t="shared" si="37"/>
        <v>0</v>
      </c>
      <c r="AC495">
        <f t="shared" si="38"/>
        <v>0</v>
      </c>
      <c r="AD495" s="1">
        <f t="shared" si="39"/>
        <v>12.666666666666666</v>
      </c>
    </row>
    <row r="496" spans="1:30" x14ac:dyDescent="0.35">
      <c r="A496" t="s">
        <v>34</v>
      </c>
      <c r="B496">
        <v>16</v>
      </c>
      <c r="C496" t="s">
        <v>35</v>
      </c>
      <c r="D496" t="s">
        <v>36</v>
      </c>
      <c r="E496" t="s">
        <v>44</v>
      </c>
      <c r="F496" t="s">
        <v>45</v>
      </c>
      <c r="G496" t="s">
        <v>38</v>
      </c>
      <c r="H496">
        <v>3</v>
      </c>
      <c r="I496">
        <v>0</v>
      </c>
      <c r="J496" t="s">
        <v>42</v>
      </c>
      <c r="K496" t="s">
        <v>42</v>
      </c>
      <c r="L496" t="s">
        <v>43</v>
      </c>
      <c r="M496" t="s">
        <v>43</v>
      </c>
      <c r="N496" t="s">
        <v>43</v>
      </c>
      <c r="O496">
        <v>5</v>
      </c>
      <c r="P496">
        <v>3</v>
      </c>
      <c r="Q496">
        <v>5</v>
      </c>
      <c r="R496">
        <v>1</v>
      </c>
      <c r="S496">
        <v>1</v>
      </c>
      <c r="T496">
        <f t="shared" si="35"/>
        <v>2</v>
      </c>
      <c r="U496" t="str" cm="1">
        <f t="array" ref="U496">_xlfn.IFS(T496&lt;3, "low", AND(T496&gt;=3, T496&lt;5), "med", T496&gt;=5, "high")</f>
        <v>low</v>
      </c>
      <c r="V496">
        <v>2</v>
      </c>
      <c r="W496" t="str" cm="1">
        <f t="array" ref="W496">_xlfn.IFS(V496&lt;5, "low", AND(V496&gt;=5, V496&lt;10), "med", V496&gt;=10, "high")</f>
        <v>low</v>
      </c>
      <c r="X496">
        <v>12</v>
      </c>
      <c r="Y496">
        <v>13</v>
      </c>
      <c r="Z496">
        <v>13</v>
      </c>
      <c r="AA496">
        <f t="shared" si="36"/>
        <v>0</v>
      </c>
      <c r="AB496">
        <f t="shared" si="37"/>
        <v>0</v>
      </c>
      <c r="AC496">
        <f t="shared" si="38"/>
        <v>0</v>
      </c>
      <c r="AD496" s="1">
        <f t="shared" si="39"/>
        <v>12.666666666666666</v>
      </c>
    </row>
    <row r="497" spans="1:30" x14ac:dyDescent="0.35">
      <c r="A497" t="s">
        <v>50</v>
      </c>
      <c r="B497">
        <v>16</v>
      </c>
      <c r="C497" t="s">
        <v>35</v>
      </c>
      <c r="D497" t="s">
        <v>36</v>
      </c>
      <c r="E497" t="s">
        <v>44</v>
      </c>
      <c r="F497" t="s">
        <v>48</v>
      </c>
      <c r="G497" t="s">
        <v>48</v>
      </c>
      <c r="H497">
        <v>1</v>
      </c>
      <c r="I497">
        <v>0</v>
      </c>
      <c r="J497" t="s">
        <v>42</v>
      </c>
      <c r="K497" t="s">
        <v>42</v>
      </c>
      <c r="L497" t="s">
        <v>43</v>
      </c>
      <c r="M497" t="s">
        <v>42</v>
      </c>
      <c r="N497" t="s">
        <v>43</v>
      </c>
      <c r="O497">
        <v>4</v>
      </c>
      <c r="P497">
        <v>5</v>
      </c>
      <c r="Q497">
        <v>5</v>
      </c>
      <c r="R497">
        <v>5</v>
      </c>
      <c r="S497">
        <v>5</v>
      </c>
      <c r="T497">
        <f t="shared" si="35"/>
        <v>10</v>
      </c>
      <c r="U497" t="str" cm="1">
        <f t="array" ref="U497">_xlfn.IFS(T497&lt;3, "low", AND(T497&gt;=3, T497&lt;5), "med", T497&gt;=5, "high")</f>
        <v>high</v>
      </c>
      <c r="V497">
        <v>12</v>
      </c>
      <c r="W497" t="str" cm="1">
        <f t="array" ref="W497">_xlfn.IFS(V497&lt;5, "low", AND(V497&gt;=5, V497&lt;10), "med", V497&gt;=10, "high")</f>
        <v>high</v>
      </c>
      <c r="X497">
        <v>9</v>
      </c>
      <c r="Y497">
        <v>9</v>
      </c>
      <c r="Z497">
        <v>8</v>
      </c>
      <c r="AA497">
        <f t="shared" si="36"/>
        <v>0</v>
      </c>
      <c r="AB497">
        <f t="shared" si="37"/>
        <v>1</v>
      </c>
      <c r="AC497">
        <f t="shared" si="38"/>
        <v>1</v>
      </c>
      <c r="AD497" s="1">
        <f t="shared" si="39"/>
        <v>8.6666666666666661</v>
      </c>
    </row>
    <row r="498" spans="1:30" x14ac:dyDescent="0.35">
      <c r="A498" t="s">
        <v>50</v>
      </c>
      <c r="B498">
        <v>16</v>
      </c>
      <c r="C498" t="s">
        <v>35</v>
      </c>
      <c r="D498" t="s">
        <v>36</v>
      </c>
      <c r="E498" t="s">
        <v>44</v>
      </c>
      <c r="F498" t="s">
        <v>48</v>
      </c>
      <c r="G498" t="s">
        <v>39</v>
      </c>
      <c r="H498">
        <v>3</v>
      </c>
      <c r="I498">
        <v>0</v>
      </c>
      <c r="J498" t="s">
        <v>43</v>
      </c>
      <c r="K498" t="s">
        <v>42</v>
      </c>
      <c r="L498" t="s">
        <v>43</v>
      </c>
      <c r="M498" t="s">
        <v>42</v>
      </c>
      <c r="N498" t="s">
        <v>42</v>
      </c>
      <c r="O498">
        <v>4</v>
      </c>
      <c r="P498">
        <v>4</v>
      </c>
      <c r="Q498">
        <v>3</v>
      </c>
      <c r="R498">
        <v>1</v>
      </c>
      <c r="S498">
        <v>1</v>
      </c>
      <c r="T498">
        <f t="shared" si="35"/>
        <v>2</v>
      </c>
      <c r="U498" t="str" cm="1">
        <f t="array" ref="U498">_xlfn.IFS(T498&lt;3, "low", AND(T498&gt;=3, T498&lt;5), "med", T498&gt;=5, "high")</f>
        <v>low</v>
      </c>
      <c r="V498">
        <v>0</v>
      </c>
      <c r="W498" t="str" cm="1">
        <f t="array" ref="W498">_xlfn.IFS(V498&lt;5, "low", AND(V498&gt;=5, V498&lt;10), "med", V498&gt;=10, "high")</f>
        <v>low</v>
      </c>
      <c r="X498">
        <v>16</v>
      </c>
      <c r="Y498">
        <v>16</v>
      </c>
      <c r="Z498">
        <v>16</v>
      </c>
      <c r="AA498">
        <f t="shared" si="36"/>
        <v>0</v>
      </c>
      <c r="AB498">
        <f t="shared" si="37"/>
        <v>0</v>
      </c>
      <c r="AC498">
        <f t="shared" si="38"/>
        <v>0</v>
      </c>
      <c r="AD498" s="1">
        <f t="shared" si="39"/>
        <v>16</v>
      </c>
    </row>
    <row r="499" spans="1:30" x14ac:dyDescent="0.35">
      <c r="A499" t="s">
        <v>50</v>
      </c>
      <c r="B499">
        <v>15</v>
      </c>
      <c r="C499" t="s">
        <v>35</v>
      </c>
      <c r="D499" t="s">
        <v>36</v>
      </c>
      <c r="E499" t="s">
        <v>44</v>
      </c>
      <c r="F499" t="s">
        <v>48</v>
      </c>
      <c r="G499" t="s">
        <v>45</v>
      </c>
      <c r="H499">
        <v>1</v>
      </c>
      <c r="I499">
        <v>0</v>
      </c>
      <c r="J499" t="s">
        <v>43</v>
      </c>
      <c r="K499" t="s">
        <v>42</v>
      </c>
      <c r="L499" t="s">
        <v>42</v>
      </c>
      <c r="M499" t="s">
        <v>42</v>
      </c>
      <c r="N499" t="s">
        <v>43</v>
      </c>
      <c r="O499">
        <v>5</v>
      </c>
      <c r="P499">
        <v>3</v>
      </c>
      <c r="Q499">
        <v>3</v>
      </c>
      <c r="R499">
        <v>1</v>
      </c>
      <c r="S499">
        <v>1</v>
      </c>
      <c r="T499">
        <f t="shared" si="35"/>
        <v>2</v>
      </c>
      <c r="U499" t="str" cm="1">
        <f t="array" ref="U499">_xlfn.IFS(T499&lt;3, "low", AND(T499&gt;=3, T499&lt;5), "med", T499&gt;=5, "high")</f>
        <v>low</v>
      </c>
      <c r="V499">
        <v>2</v>
      </c>
      <c r="W499" t="str" cm="1">
        <f t="array" ref="W499">_xlfn.IFS(V499&lt;5, "low", AND(V499&gt;=5, V499&lt;10), "med", V499&gt;=10, "high")</f>
        <v>low</v>
      </c>
      <c r="X499">
        <v>12</v>
      </c>
      <c r="Y499">
        <v>13</v>
      </c>
      <c r="Z499">
        <v>12</v>
      </c>
      <c r="AA499">
        <f t="shared" si="36"/>
        <v>0</v>
      </c>
      <c r="AB499">
        <f t="shared" si="37"/>
        <v>1</v>
      </c>
      <c r="AC499">
        <f t="shared" si="38"/>
        <v>1</v>
      </c>
      <c r="AD499" s="1">
        <f t="shared" si="39"/>
        <v>12.333333333333334</v>
      </c>
    </row>
    <row r="500" spans="1:30" x14ac:dyDescent="0.35">
      <c r="A500" t="s">
        <v>34</v>
      </c>
      <c r="B500">
        <v>15</v>
      </c>
      <c r="C500" t="s">
        <v>35</v>
      </c>
      <c r="D500" t="s">
        <v>36</v>
      </c>
      <c r="E500" t="s">
        <v>44</v>
      </c>
      <c r="F500" t="s">
        <v>48</v>
      </c>
      <c r="G500" t="s">
        <v>45</v>
      </c>
      <c r="H500">
        <v>2</v>
      </c>
      <c r="I500">
        <v>0</v>
      </c>
      <c r="J500" t="s">
        <v>42</v>
      </c>
      <c r="K500" t="s">
        <v>42</v>
      </c>
      <c r="L500" t="s">
        <v>43</v>
      </c>
      <c r="M500" t="s">
        <v>43</v>
      </c>
      <c r="N500" t="s">
        <v>43</v>
      </c>
      <c r="O500">
        <v>4</v>
      </c>
      <c r="P500">
        <v>3</v>
      </c>
      <c r="Q500">
        <v>5</v>
      </c>
      <c r="R500">
        <v>1</v>
      </c>
      <c r="S500">
        <v>1</v>
      </c>
      <c r="T500">
        <f t="shared" si="35"/>
        <v>2</v>
      </c>
      <c r="U500" t="str" cm="1">
        <f t="array" ref="U500">_xlfn.IFS(T500&lt;3, "low", AND(T500&gt;=3, T500&lt;5), "med", T500&gt;=5, "high")</f>
        <v>low</v>
      </c>
      <c r="V500">
        <v>16</v>
      </c>
      <c r="W500" t="str" cm="1">
        <f t="array" ref="W500">_xlfn.IFS(V500&lt;5, "low", AND(V500&gt;=5, V500&lt;10), "med", V500&gt;=10, "high")</f>
        <v>high</v>
      </c>
      <c r="X500">
        <v>11</v>
      </c>
      <c r="Y500">
        <v>10</v>
      </c>
      <c r="Z500">
        <v>10</v>
      </c>
      <c r="AA500">
        <f t="shared" si="36"/>
        <v>1</v>
      </c>
      <c r="AB500">
        <f t="shared" si="37"/>
        <v>0</v>
      </c>
      <c r="AC500">
        <f t="shared" si="38"/>
        <v>1</v>
      </c>
      <c r="AD500" s="1">
        <f t="shared" si="39"/>
        <v>10.333333333333334</v>
      </c>
    </row>
    <row r="501" spans="1:30" x14ac:dyDescent="0.35">
      <c r="A501" t="s">
        <v>50</v>
      </c>
      <c r="B501">
        <v>15</v>
      </c>
      <c r="C501" t="s">
        <v>35</v>
      </c>
      <c r="D501" t="s">
        <v>36</v>
      </c>
      <c r="E501" t="s">
        <v>37</v>
      </c>
      <c r="F501" t="s">
        <v>48</v>
      </c>
      <c r="G501" t="s">
        <v>45</v>
      </c>
      <c r="H501">
        <v>2</v>
      </c>
      <c r="I501">
        <v>0</v>
      </c>
      <c r="J501" t="s">
        <v>43</v>
      </c>
      <c r="K501" t="s">
        <v>42</v>
      </c>
      <c r="L501" t="s">
        <v>43</v>
      </c>
      <c r="M501" t="s">
        <v>42</v>
      </c>
      <c r="N501" t="s">
        <v>43</v>
      </c>
      <c r="O501">
        <v>5</v>
      </c>
      <c r="P501">
        <v>4</v>
      </c>
      <c r="Q501">
        <v>4</v>
      </c>
      <c r="R501">
        <v>1</v>
      </c>
      <c r="S501">
        <v>1</v>
      </c>
      <c r="T501">
        <f t="shared" si="35"/>
        <v>2</v>
      </c>
      <c r="U501" t="str" cm="1">
        <f t="array" ref="U501">_xlfn.IFS(T501&lt;3, "low", AND(T501&gt;=3, T501&lt;5), "med", T501&gt;=5, "high")</f>
        <v>low</v>
      </c>
      <c r="V501">
        <v>0</v>
      </c>
      <c r="W501" t="str" cm="1">
        <f t="array" ref="W501">_xlfn.IFS(V501&lt;5, "low", AND(V501&gt;=5, V501&lt;10), "med", V501&gt;=10, "high")</f>
        <v>low</v>
      </c>
      <c r="X501">
        <v>16</v>
      </c>
      <c r="Y501">
        <v>16</v>
      </c>
      <c r="Z501">
        <v>16</v>
      </c>
      <c r="AA501">
        <f t="shared" si="36"/>
        <v>0</v>
      </c>
      <c r="AB501">
        <f t="shared" si="37"/>
        <v>0</v>
      </c>
      <c r="AC501">
        <f t="shared" si="38"/>
        <v>0</v>
      </c>
      <c r="AD501" s="1">
        <f t="shared" si="39"/>
        <v>16</v>
      </c>
    </row>
    <row r="502" spans="1:30" x14ac:dyDescent="0.35">
      <c r="A502" t="s">
        <v>34</v>
      </c>
      <c r="B502">
        <v>15</v>
      </c>
      <c r="C502" t="s">
        <v>35</v>
      </c>
      <c r="D502" t="s">
        <v>36</v>
      </c>
      <c r="E502" t="s">
        <v>37</v>
      </c>
      <c r="F502" t="s">
        <v>45</v>
      </c>
      <c r="G502" t="s">
        <v>28</v>
      </c>
      <c r="H502">
        <v>4</v>
      </c>
      <c r="I502">
        <v>0</v>
      </c>
      <c r="J502" t="s">
        <v>42</v>
      </c>
      <c r="K502" t="s">
        <v>43</v>
      </c>
      <c r="L502" t="s">
        <v>43</v>
      </c>
      <c r="M502" t="s">
        <v>43</v>
      </c>
      <c r="N502" t="s">
        <v>43</v>
      </c>
      <c r="O502">
        <v>4</v>
      </c>
      <c r="P502">
        <v>3</v>
      </c>
      <c r="Q502">
        <v>3</v>
      </c>
      <c r="R502">
        <v>1</v>
      </c>
      <c r="S502">
        <v>1</v>
      </c>
      <c r="T502">
        <f t="shared" si="35"/>
        <v>2</v>
      </c>
      <c r="U502" t="str" cm="1">
        <f t="array" ref="U502">_xlfn.IFS(T502&lt;3, "low", AND(T502&gt;=3, T502&lt;5), "med", T502&gt;=5, "high")</f>
        <v>low</v>
      </c>
      <c r="V502">
        <v>10</v>
      </c>
      <c r="W502" t="str" cm="1">
        <f t="array" ref="W502">_xlfn.IFS(V502&lt;5, "low", AND(V502&gt;=5, V502&lt;10), "med", V502&gt;=10, "high")</f>
        <v>high</v>
      </c>
      <c r="X502">
        <v>10</v>
      </c>
      <c r="Y502">
        <v>10</v>
      </c>
      <c r="Z502">
        <v>10</v>
      </c>
      <c r="AA502">
        <f t="shared" si="36"/>
        <v>0</v>
      </c>
      <c r="AB502">
        <f t="shared" si="37"/>
        <v>0</v>
      </c>
      <c r="AC502">
        <f t="shared" si="38"/>
        <v>0</v>
      </c>
      <c r="AD502" s="1">
        <f t="shared" si="39"/>
        <v>10</v>
      </c>
    </row>
    <row r="503" spans="1:30" x14ac:dyDescent="0.35">
      <c r="A503" t="s">
        <v>34</v>
      </c>
      <c r="B503">
        <v>15</v>
      </c>
      <c r="C503" t="s">
        <v>35</v>
      </c>
      <c r="D503" t="s">
        <v>36</v>
      </c>
      <c r="E503" t="s">
        <v>44</v>
      </c>
      <c r="F503" t="s">
        <v>45</v>
      </c>
      <c r="G503" t="s">
        <v>45</v>
      </c>
      <c r="H503">
        <v>4</v>
      </c>
      <c r="I503">
        <v>0</v>
      </c>
      <c r="J503" t="s">
        <v>42</v>
      </c>
      <c r="K503" t="s">
        <v>42</v>
      </c>
      <c r="L503" t="s">
        <v>43</v>
      </c>
      <c r="M503" t="s">
        <v>43</v>
      </c>
      <c r="N503" t="s">
        <v>43</v>
      </c>
      <c r="O503">
        <v>5</v>
      </c>
      <c r="P503">
        <v>1</v>
      </c>
      <c r="Q503">
        <v>2</v>
      </c>
      <c r="R503">
        <v>1</v>
      </c>
      <c r="S503">
        <v>1</v>
      </c>
      <c r="T503">
        <f t="shared" si="35"/>
        <v>2</v>
      </c>
      <c r="U503" t="str" cm="1">
        <f t="array" ref="U503">_xlfn.IFS(T503&lt;3, "low", AND(T503&gt;=3, T503&lt;5), "med", T503&gt;=5, "high")</f>
        <v>low</v>
      </c>
      <c r="V503">
        <v>4</v>
      </c>
      <c r="W503" t="str" cm="1">
        <f t="array" ref="W503">_xlfn.IFS(V503&lt;5, "low", AND(V503&gt;=5, V503&lt;10), "med", V503&gt;=10, "high")</f>
        <v>low</v>
      </c>
      <c r="X503">
        <v>10</v>
      </c>
      <c r="Y503">
        <v>10</v>
      </c>
      <c r="Z503">
        <v>10</v>
      </c>
      <c r="AA503">
        <f t="shared" si="36"/>
        <v>0</v>
      </c>
      <c r="AB503">
        <f t="shared" si="37"/>
        <v>0</v>
      </c>
      <c r="AC503">
        <f t="shared" si="38"/>
        <v>0</v>
      </c>
      <c r="AD503" s="1">
        <f t="shared" si="39"/>
        <v>10</v>
      </c>
    </row>
    <row r="504" spans="1:30" x14ac:dyDescent="0.35">
      <c r="A504" t="s">
        <v>50</v>
      </c>
      <c r="B504">
        <v>16</v>
      </c>
      <c r="C504" t="s">
        <v>35</v>
      </c>
      <c r="D504" t="s">
        <v>36</v>
      </c>
      <c r="E504" t="s">
        <v>44</v>
      </c>
      <c r="F504" t="s">
        <v>48</v>
      </c>
      <c r="G504" t="s">
        <v>45</v>
      </c>
      <c r="H504">
        <v>3</v>
      </c>
      <c r="I504">
        <v>0</v>
      </c>
      <c r="J504" t="s">
        <v>43</v>
      </c>
      <c r="K504" t="s">
        <v>42</v>
      </c>
      <c r="L504" t="s">
        <v>43</v>
      </c>
      <c r="M504" t="s">
        <v>42</v>
      </c>
      <c r="N504" t="s">
        <v>43</v>
      </c>
      <c r="O504">
        <v>5</v>
      </c>
      <c r="P504">
        <v>3</v>
      </c>
      <c r="Q504">
        <v>3</v>
      </c>
      <c r="R504">
        <v>1</v>
      </c>
      <c r="S504">
        <v>1</v>
      </c>
      <c r="T504">
        <f t="shared" si="35"/>
        <v>2</v>
      </c>
      <c r="U504" t="str" cm="1">
        <f t="array" ref="U504">_xlfn.IFS(T504&lt;3, "low", AND(T504&gt;=3, T504&lt;5), "med", T504&gt;=5, "high")</f>
        <v>low</v>
      </c>
      <c r="V504">
        <v>4</v>
      </c>
      <c r="W504" t="str" cm="1">
        <f t="array" ref="W504">_xlfn.IFS(V504&lt;5, "low", AND(V504&gt;=5, V504&lt;10), "med", V504&gt;=10, "high")</f>
        <v>low</v>
      </c>
      <c r="X504">
        <v>13</v>
      </c>
      <c r="Y504">
        <v>14</v>
      </c>
      <c r="Z504">
        <v>14</v>
      </c>
      <c r="AA504">
        <f t="shared" si="36"/>
        <v>0</v>
      </c>
      <c r="AB504">
        <f t="shared" si="37"/>
        <v>0</v>
      </c>
      <c r="AC504">
        <f t="shared" si="38"/>
        <v>0</v>
      </c>
      <c r="AD504" s="1">
        <f t="shared" si="39"/>
        <v>13.666666666666666</v>
      </c>
    </row>
    <row r="505" spans="1:30" x14ac:dyDescent="0.35">
      <c r="A505" t="s">
        <v>50</v>
      </c>
      <c r="B505">
        <v>15</v>
      </c>
      <c r="C505" t="s">
        <v>52</v>
      </c>
      <c r="D505" t="s">
        <v>36</v>
      </c>
      <c r="E505" t="s">
        <v>44</v>
      </c>
      <c r="F505" t="s">
        <v>45</v>
      </c>
      <c r="G505" t="s">
        <v>45</v>
      </c>
      <c r="H505">
        <v>4</v>
      </c>
      <c r="I505">
        <v>0</v>
      </c>
      <c r="J505" t="s">
        <v>43</v>
      </c>
      <c r="K505" t="s">
        <v>42</v>
      </c>
      <c r="L505" t="s">
        <v>43</v>
      </c>
      <c r="M505" t="s">
        <v>42</v>
      </c>
      <c r="N505" t="s">
        <v>42</v>
      </c>
      <c r="O505">
        <v>1</v>
      </c>
      <c r="P505">
        <v>3</v>
      </c>
      <c r="Q505">
        <v>5</v>
      </c>
      <c r="R505">
        <v>3</v>
      </c>
      <c r="S505">
        <v>5</v>
      </c>
      <c r="T505">
        <f t="shared" si="35"/>
        <v>8</v>
      </c>
      <c r="U505" t="str" cm="1">
        <f t="array" ref="U505">_xlfn.IFS(T505&lt;3, "low", AND(T505&gt;=3, T505&lt;5), "med", T505&gt;=5, "high")</f>
        <v>high</v>
      </c>
      <c r="V505">
        <v>8</v>
      </c>
      <c r="W505" t="str" cm="1">
        <f t="array" ref="W505">_xlfn.IFS(V505&lt;5, "low", AND(V505&gt;=5, V505&lt;10), "med", V505&gt;=10, "high")</f>
        <v>med</v>
      </c>
      <c r="X505">
        <v>12</v>
      </c>
      <c r="Y505">
        <v>10</v>
      </c>
      <c r="Z505">
        <v>11</v>
      </c>
      <c r="AA505">
        <f t="shared" si="36"/>
        <v>1</v>
      </c>
      <c r="AB505">
        <f t="shared" si="37"/>
        <v>0</v>
      </c>
      <c r="AC505">
        <f t="shared" si="38"/>
        <v>1</v>
      </c>
      <c r="AD505" s="1">
        <f t="shared" si="39"/>
        <v>11</v>
      </c>
    </row>
    <row r="506" spans="1:30" x14ac:dyDescent="0.35">
      <c r="A506" t="s">
        <v>34</v>
      </c>
      <c r="B506">
        <v>16</v>
      </c>
      <c r="C506" t="s">
        <v>35</v>
      </c>
      <c r="D506" t="s">
        <v>47</v>
      </c>
      <c r="E506" t="s">
        <v>44</v>
      </c>
      <c r="F506" t="s">
        <v>28</v>
      </c>
      <c r="G506" t="s">
        <v>28</v>
      </c>
      <c r="H506">
        <v>3</v>
      </c>
      <c r="I506">
        <v>0</v>
      </c>
      <c r="J506" t="s">
        <v>43</v>
      </c>
      <c r="K506" t="s">
        <v>42</v>
      </c>
      <c r="L506" t="s">
        <v>43</v>
      </c>
      <c r="M506" t="s">
        <v>42</v>
      </c>
      <c r="N506" t="s">
        <v>42</v>
      </c>
      <c r="O506">
        <v>5</v>
      </c>
      <c r="P506">
        <v>4</v>
      </c>
      <c r="Q506">
        <v>5</v>
      </c>
      <c r="R506">
        <v>1</v>
      </c>
      <c r="S506">
        <v>1</v>
      </c>
      <c r="T506">
        <f t="shared" si="35"/>
        <v>2</v>
      </c>
      <c r="U506" t="str" cm="1">
        <f t="array" ref="U506">_xlfn.IFS(T506&lt;3, "low", AND(T506&gt;=3, T506&lt;5), "med", T506&gt;=5, "high")</f>
        <v>low</v>
      </c>
      <c r="V506">
        <v>2</v>
      </c>
      <c r="W506" t="str" cm="1">
        <f t="array" ref="W506">_xlfn.IFS(V506&lt;5, "low", AND(V506&gt;=5, V506&lt;10), "med", V506&gt;=10, "high")</f>
        <v>low</v>
      </c>
      <c r="X506">
        <v>15</v>
      </c>
      <c r="Y506">
        <v>15</v>
      </c>
      <c r="Z506">
        <v>14</v>
      </c>
      <c r="AA506">
        <f t="shared" si="36"/>
        <v>0</v>
      </c>
      <c r="AB506">
        <f t="shared" si="37"/>
        <v>1</v>
      </c>
      <c r="AC506">
        <f t="shared" si="38"/>
        <v>1</v>
      </c>
      <c r="AD506" s="1">
        <f t="shared" si="39"/>
        <v>14.666666666666666</v>
      </c>
    </row>
    <row r="507" spans="1:30" x14ac:dyDescent="0.35">
      <c r="A507" t="s">
        <v>50</v>
      </c>
      <c r="B507">
        <v>15</v>
      </c>
      <c r="C507" t="s">
        <v>35</v>
      </c>
      <c r="D507" t="s">
        <v>47</v>
      </c>
      <c r="E507" t="s">
        <v>37</v>
      </c>
      <c r="F507" t="s">
        <v>39</v>
      </c>
      <c r="G507" t="s">
        <v>39</v>
      </c>
      <c r="H507">
        <v>1</v>
      </c>
      <c r="I507">
        <v>0</v>
      </c>
      <c r="J507" t="s">
        <v>43</v>
      </c>
      <c r="K507" t="s">
        <v>43</v>
      </c>
      <c r="L507" t="s">
        <v>43</v>
      </c>
      <c r="M507" t="s">
        <v>42</v>
      </c>
      <c r="N507" t="s">
        <v>43</v>
      </c>
      <c r="O507">
        <v>5</v>
      </c>
      <c r="P507">
        <v>5</v>
      </c>
      <c r="Q507">
        <v>3</v>
      </c>
      <c r="R507">
        <v>1</v>
      </c>
      <c r="S507">
        <v>1</v>
      </c>
      <c r="T507">
        <f t="shared" si="35"/>
        <v>2</v>
      </c>
      <c r="U507" t="str" cm="1">
        <f t="array" ref="U507">_xlfn.IFS(T507&lt;3, "low", AND(T507&gt;=3, T507&lt;5), "med", T507&gt;=5, "high")</f>
        <v>low</v>
      </c>
      <c r="V507">
        <v>4</v>
      </c>
      <c r="W507" t="str" cm="1">
        <f t="array" ref="W507">_xlfn.IFS(V507&lt;5, "low", AND(V507&gt;=5, V507&lt;10), "med", V507&gt;=10, "high")</f>
        <v>low</v>
      </c>
      <c r="X507">
        <v>13</v>
      </c>
      <c r="Y507">
        <v>14</v>
      </c>
      <c r="Z507">
        <v>14</v>
      </c>
      <c r="AA507">
        <f t="shared" si="36"/>
        <v>0</v>
      </c>
      <c r="AB507">
        <f t="shared" si="37"/>
        <v>0</v>
      </c>
      <c r="AC507">
        <f t="shared" si="38"/>
        <v>0</v>
      </c>
      <c r="AD507" s="1">
        <f t="shared" si="39"/>
        <v>13.666666666666666</v>
      </c>
    </row>
    <row r="508" spans="1:30" x14ac:dyDescent="0.35">
      <c r="A508" t="s">
        <v>34</v>
      </c>
      <c r="B508">
        <v>16</v>
      </c>
      <c r="C508" t="s">
        <v>52</v>
      </c>
      <c r="D508" t="s">
        <v>36</v>
      </c>
      <c r="E508" t="s">
        <v>44</v>
      </c>
      <c r="F508" t="s">
        <v>48</v>
      </c>
      <c r="G508" t="s">
        <v>45</v>
      </c>
      <c r="H508">
        <v>3</v>
      </c>
      <c r="I508">
        <v>0</v>
      </c>
      <c r="J508" t="s">
        <v>42</v>
      </c>
      <c r="K508" t="s">
        <v>42</v>
      </c>
      <c r="L508" t="s">
        <v>43</v>
      </c>
      <c r="M508" t="s">
        <v>42</v>
      </c>
      <c r="N508" t="s">
        <v>43</v>
      </c>
      <c r="O508">
        <v>4</v>
      </c>
      <c r="P508">
        <v>1</v>
      </c>
      <c r="Q508">
        <v>2</v>
      </c>
      <c r="R508">
        <v>1</v>
      </c>
      <c r="S508">
        <v>1</v>
      </c>
      <c r="T508">
        <f t="shared" si="35"/>
        <v>2</v>
      </c>
      <c r="U508" t="str" cm="1">
        <f t="array" ref="U508">_xlfn.IFS(T508&lt;3, "low", AND(T508&gt;=3, T508&lt;5), "med", T508&gt;=5, "high")</f>
        <v>low</v>
      </c>
      <c r="V508">
        <v>4</v>
      </c>
      <c r="W508" t="str" cm="1">
        <f t="array" ref="W508">_xlfn.IFS(V508&lt;5, "low", AND(V508&gt;=5, V508&lt;10), "med", V508&gt;=10, "high")</f>
        <v>low</v>
      </c>
      <c r="X508">
        <v>11</v>
      </c>
      <c r="Y508">
        <v>11</v>
      </c>
      <c r="Z508">
        <v>11</v>
      </c>
      <c r="AA508">
        <f t="shared" si="36"/>
        <v>0</v>
      </c>
      <c r="AB508">
        <f t="shared" si="37"/>
        <v>0</v>
      </c>
      <c r="AC508">
        <f t="shared" si="38"/>
        <v>0</v>
      </c>
      <c r="AD508" s="1">
        <f t="shared" si="39"/>
        <v>11</v>
      </c>
    </row>
    <row r="509" spans="1:30" x14ac:dyDescent="0.35">
      <c r="A509" t="s">
        <v>34</v>
      </c>
      <c r="B509">
        <v>16</v>
      </c>
      <c r="C509" t="s">
        <v>35</v>
      </c>
      <c r="D509" t="s">
        <v>36</v>
      </c>
      <c r="E509" t="s">
        <v>44</v>
      </c>
      <c r="F509" t="s">
        <v>38</v>
      </c>
      <c r="G509" t="s">
        <v>45</v>
      </c>
      <c r="H509">
        <v>2</v>
      </c>
      <c r="I509">
        <v>1</v>
      </c>
      <c r="J509" t="s">
        <v>42</v>
      </c>
      <c r="K509" t="s">
        <v>43</v>
      </c>
      <c r="L509" t="s">
        <v>43</v>
      </c>
      <c r="M509" t="s">
        <v>42</v>
      </c>
      <c r="N509" t="s">
        <v>43</v>
      </c>
      <c r="O509">
        <v>3</v>
      </c>
      <c r="P509">
        <v>1</v>
      </c>
      <c r="Q509">
        <v>2</v>
      </c>
      <c r="R509">
        <v>1</v>
      </c>
      <c r="S509">
        <v>1</v>
      </c>
      <c r="T509">
        <f t="shared" si="35"/>
        <v>2</v>
      </c>
      <c r="U509" t="str" cm="1">
        <f t="array" ref="U509">_xlfn.IFS(T509&lt;3, "low", AND(T509&gt;=3, T509&lt;5), "med", T509&gt;=5, "high")</f>
        <v>low</v>
      </c>
      <c r="V509">
        <v>12</v>
      </c>
      <c r="W509" t="str" cm="1">
        <f t="array" ref="W509">_xlfn.IFS(V509&lt;5, "low", AND(V509&gt;=5, V509&lt;10), "med", V509&gt;=10, "high")</f>
        <v>high</v>
      </c>
      <c r="X509">
        <v>8</v>
      </c>
      <c r="Y509">
        <v>10</v>
      </c>
      <c r="Z509">
        <v>10</v>
      </c>
      <c r="AA509">
        <f t="shared" si="36"/>
        <v>0</v>
      </c>
      <c r="AB509">
        <f t="shared" si="37"/>
        <v>0</v>
      </c>
      <c r="AC509">
        <f t="shared" si="38"/>
        <v>0</v>
      </c>
      <c r="AD509" s="1">
        <f t="shared" si="39"/>
        <v>9.3333333333333339</v>
      </c>
    </row>
    <row r="510" spans="1:30" x14ac:dyDescent="0.35">
      <c r="A510" t="s">
        <v>50</v>
      </c>
      <c r="B510">
        <v>15</v>
      </c>
      <c r="C510" t="s">
        <v>35</v>
      </c>
      <c r="D510" t="s">
        <v>47</v>
      </c>
      <c r="E510" t="s">
        <v>44</v>
      </c>
      <c r="F510" t="s">
        <v>39</v>
      </c>
      <c r="G510" t="s">
        <v>45</v>
      </c>
      <c r="H510">
        <v>1</v>
      </c>
      <c r="I510">
        <v>0</v>
      </c>
      <c r="J510" t="s">
        <v>43</v>
      </c>
      <c r="K510" t="s">
        <v>43</v>
      </c>
      <c r="L510" t="s">
        <v>43</v>
      </c>
      <c r="M510" t="s">
        <v>43</v>
      </c>
      <c r="N510" t="s">
        <v>43</v>
      </c>
      <c r="O510">
        <v>3</v>
      </c>
      <c r="P510">
        <v>5</v>
      </c>
      <c r="Q510">
        <v>2</v>
      </c>
      <c r="R510">
        <v>1</v>
      </c>
      <c r="S510">
        <v>1</v>
      </c>
      <c r="T510">
        <f t="shared" si="35"/>
        <v>2</v>
      </c>
      <c r="U510" t="str" cm="1">
        <f t="array" ref="U510">_xlfn.IFS(T510&lt;3, "low", AND(T510&gt;=3, T510&lt;5), "med", T510&gt;=5, "high")</f>
        <v>low</v>
      </c>
      <c r="V510">
        <v>10</v>
      </c>
      <c r="W510" t="str" cm="1">
        <f t="array" ref="W510">_xlfn.IFS(V510&lt;5, "low", AND(V510&gt;=5, V510&lt;10), "med", V510&gt;=10, "high")</f>
        <v>high</v>
      </c>
      <c r="X510">
        <v>18</v>
      </c>
      <c r="Y510">
        <v>17</v>
      </c>
      <c r="Z510">
        <v>18</v>
      </c>
      <c r="AA510">
        <f t="shared" si="36"/>
        <v>1</v>
      </c>
      <c r="AB510">
        <f t="shared" si="37"/>
        <v>0</v>
      </c>
      <c r="AC510">
        <f t="shared" si="38"/>
        <v>1</v>
      </c>
      <c r="AD510" s="1">
        <f t="shared" si="39"/>
        <v>17.666666666666668</v>
      </c>
    </row>
    <row r="511" spans="1:30" x14ac:dyDescent="0.35">
      <c r="A511" t="s">
        <v>50</v>
      </c>
      <c r="B511">
        <v>15</v>
      </c>
      <c r="C511" t="s">
        <v>52</v>
      </c>
      <c r="D511" t="s">
        <v>36</v>
      </c>
      <c r="E511" t="s">
        <v>44</v>
      </c>
      <c r="F511" t="s">
        <v>28</v>
      </c>
      <c r="G511" t="s">
        <v>48</v>
      </c>
      <c r="H511">
        <v>2</v>
      </c>
      <c r="I511">
        <v>0</v>
      </c>
      <c r="J511" t="s">
        <v>43</v>
      </c>
      <c r="K511" t="s">
        <v>43</v>
      </c>
      <c r="L511" t="s">
        <v>43</v>
      </c>
      <c r="M511" t="s">
        <v>42</v>
      </c>
      <c r="N511" t="s">
        <v>42</v>
      </c>
      <c r="O511">
        <v>5</v>
      </c>
      <c r="P511">
        <v>4</v>
      </c>
      <c r="Q511">
        <v>2</v>
      </c>
      <c r="R511">
        <v>1</v>
      </c>
      <c r="S511">
        <v>1</v>
      </c>
      <c r="T511">
        <f t="shared" si="35"/>
        <v>2</v>
      </c>
      <c r="U511" t="str" cm="1">
        <f t="array" ref="U511">_xlfn.IFS(T511&lt;3, "low", AND(T511&gt;=3, T511&lt;5), "med", T511&gt;=5, "high")</f>
        <v>low</v>
      </c>
      <c r="V511">
        <v>4</v>
      </c>
      <c r="W511" t="str" cm="1">
        <f t="array" ref="W511">_xlfn.IFS(V511&lt;5, "low", AND(V511&gt;=5, V511&lt;10), "med", V511&gt;=10, "high")</f>
        <v>low</v>
      </c>
      <c r="X511">
        <v>10</v>
      </c>
      <c r="Y511">
        <v>9</v>
      </c>
      <c r="Z511">
        <v>10</v>
      </c>
      <c r="AA511">
        <f t="shared" si="36"/>
        <v>1</v>
      </c>
      <c r="AB511">
        <f t="shared" si="37"/>
        <v>0</v>
      </c>
      <c r="AC511">
        <f t="shared" si="38"/>
        <v>1</v>
      </c>
      <c r="AD511" s="1">
        <f t="shared" si="39"/>
        <v>9.6666666666666661</v>
      </c>
    </row>
    <row r="512" spans="1:30" x14ac:dyDescent="0.35">
      <c r="A512" t="s">
        <v>50</v>
      </c>
      <c r="B512">
        <v>16</v>
      </c>
      <c r="C512" t="s">
        <v>35</v>
      </c>
      <c r="D512" t="s">
        <v>36</v>
      </c>
      <c r="E512" t="s">
        <v>44</v>
      </c>
      <c r="F512" t="s">
        <v>39</v>
      </c>
      <c r="G512" t="s">
        <v>39</v>
      </c>
      <c r="H512">
        <v>2</v>
      </c>
      <c r="I512">
        <v>0</v>
      </c>
      <c r="J512" t="s">
        <v>43</v>
      </c>
      <c r="K512" t="s">
        <v>42</v>
      </c>
      <c r="L512" t="s">
        <v>43</v>
      </c>
      <c r="M512" t="s">
        <v>42</v>
      </c>
      <c r="N512" t="s">
        <v>43</v>
      </c>
      <c r="O512">
        <v>5</v>
      </c>
      <c r="P512">
        <v>4</v>
      </c>
      <c r="Q512">
        <v>4</v>
      </c>
      <c r="R512">
        <v>1</v>
      </c>
      <c r="S512">
        <v>2</v>
      </c>
      <c r="T512">
        <f t="shared" si="35"/>
        <v>3</v>
      </c>
      <c r="U512" t="str" cm="1">
        <f t="array" ref="U512">_xlfn.IFS(T512&lt;3, "low", AND(T512&gt;=3, T512&lt;5), "med", T512&gt;=5, "high")</f>
        <v>med</v>
      </c>
      <c r="V512">
        <v>6</v>
      </c>
      <c r="W512" t="str" cm="1">
        <f t="array" ref="W512">_xlfn.IFS(V512&lt;5, "low", AND(V512&gt;=5, V512&lt;10), "med", V512&gt;=10, "high")</f>
        <v>med</v>
      </c>
      <c r="X512">
        <v>16</v>
      </c>
      <c r="Y512">
        <v>14</v>
      </c>
      <c r="Z512">
        <v>14</v>
      </c>
      <c r="AA512">
        <f t="shared" si="36"/>
        <v>1</v>
      </c>
      <c r="AB512">
        <f t="shared" si="37"/>
        <v>0</v>
      </c>
      <c r="AC512">
        <f t="shared" si="38"/>
        <v>1</v>
      </c>
      <c r="AD512" s="1">
        <f t="shared" si="39"/>
        <v>14.666666666666666</v>
      </c>
    </row>
    <row r="513" spans="1:30" x14ac:dyDescent="0.35">
      <c r="A513" t="s">
        <v>50</v>
      </c>
      <c r="B513">
        <v>15</v>
      </c>
      <c r="C513" t="s">
        <v>35</v>
      </c>
      <c r="D513" t="s">
        <v>36</v>
      </c>
      <c r="E513" t="s">
        <v>44</v>
      </c>
      <c r="F513" t="s">
        <v>45</v>
      </c>
      <c r="G513" t="s">
        <v>39</v>
      </c>
      <c r="H513">
        <v>2</v>
      </c>
      <c r="I513">
        <v>0</v>
      </c>
      <c r="J513" t="s">
        <v>43</v>
      </c>
      <c r="K513" t="s">
        <v>42</v>
      </c>
      <c r="L513" t="s">
        <v>43</v>
      </c>
      <c r="M513" t="s">
        <v>42</v>
      </c>
      <c r="N513" t="s">
        <v>43</v>
      </c>
      <c r="O513">
        <v>4</v>
      </c>
      <c r="P513">
        <v>4</v>
      </c>
      <c r="Q513">
        <v>3</v>
      </c>
      <c r="R513">
        <v>1</v>
      </c>
      <c r="S513">
        <v>1</v>
      </c>
      <c r="T513">
        <f t="shared" si="35"/>
        <v>2</v>
      </c>
      <c r="U513" t="str" cm="1">
        <f t="array" ref="U513">_xlfn.IFS(T513&lt;3, "low", AND(T513&gt;=3, T513&lt;5), "med", T513&gt;=5, "high")</f>
        <v>low</v>
      </c>
      <c r="V513">
        <v>4</v>
      </c>
      <c r="W513" t="str" cm="1">
        <f t="array" ref="W513">_xlfn.IFS(V513&lt;5, "low", AND(V513&gt;=5, V513&lt;10), "med", V513&gt;=10, "high")</f>
        <v>low</v>
      </c>
      <c r="X513">
        <v>16</v>
      </c>
      <c r="Y513">
        <v>15</v>
      </c>
      <c r="Z513">
        <v>16</v>
      </c>
      <c r="AA513">
        <f t="shared" si="36"/>
        <v>1</v>
      </c>
      <c r="AB513">
        <f t="shared" si="37"/>
        <v>0</v>
      </c>
      <c r="AC513">
        <f t="shared" si="38"/>
        <v>1</v>
      </c>
      <c r="AD513" s="1">
        <f t="shared" si="39"/>
        <v>15.666666666666666</v>
      </c>
    </row>
    <row r="514" spans="1:30" x14ac:dyDescent="0.35">
      <c r="A514" t="s">
        <v>50</v>
      </c>
      <c r="B514">
        <v>16</v>
      </c>
      <c r="C514" t="s">
        <v>35</v>
      </c>
      <c r="D514" t="s">
        <v>36</v>
      </c>
      <c r="E514" t="s">
        <v>44</v>
      </c>
      <c r="F514" t="s">
        <v>45</v>
      </c>
      <c r="G514" t="s">
        <v>48</v>
      </c>
      <c r="H514">
        <v>1</v>
      </c>
      <c r="I514">
        <v>0</v>
      </c>
      <c r="J514" t="s">
        <v>43</v>
      </c>
      <c r="K514" t="s">
        <v>43</v>
      </c>
      <c r="L514" t="s">
        <v>43</v>
      </c>
      <c r="M514" t="s">
        <v>42</v>
      </c>
      <c r="N514" t="s">
        <v>43</v>
      </c>
      <c r="O514">
        <v>5</v>
      </c>
      <c r="P514">
        <v>4</v>
      </c>
      <c r="Q514">
        <v>2</v>
      </c>
      <c r="R514">
        <v>1</v>
      </c>
      <c r="S514">
        <v>1</v>
      </c>
      <c r="T514">
        <f t="shared" si="35"/>
        <v>2</v>
      </c>
      <c r="U514" t="str" cm="1">
        <f t="array" ref="U514">_xlfn.IFS(T514&lt;3, "low", AND(T514&gt;=3, T514&lt;5), "med", T514&gt;=5, "high")</f>
        <v>low</v>
      </c>
      <c r="V514">
        <v>6</v>
      </c>
      <c r="W514" t="str" cm="1">
        <f t="array" ref="W514">_xlfn.IFS(V514&lt;5, "low", AND(V514&gt;=5, V514&lt;10), "med", V514&gt;=10, "high")</f>
        <v>med</v>
      </c>
      <c r="X514">
        <v>14</v>
      </c>
      <c r="Y514">
        <v>14</v>
      </c>
      <c r="Z514">
        <v>15</v>
      </c>
      <c r="AA514">
        <f t="shared" si="36"/>
        <v>0</v>
      </c>
      <c r="AB514">
        <f t="shared" si="37"/>
        <v>0</v>
      </c>
      <c r="AC514">
        <f t="shared" si="38"/>
        <v>0</v>
      </c>
      <c r="AD514" s="1">
        <f t="shared" si="39"/>
        <v>14.333333333333334</v>
      </c>
    </row>
    <row r="515" spans="1:30" x14ac:dyDescent="0.35">
      <c r="A515" t="s">
        <v>50</v>
      </c>
      <c r="B515">
        <v>17</v>
      </c>
      <c r="C515" t="s">
        <v>52</v>
      </c>
      <c r="D515" t="s">
        <v>36</v>
      </c>
      <c r="E515" t="s">
        <v>44</v>
      </c>
      <c r="F515" t="s">
        <v>45</v>
      </c>
      <c r="G515" t="s">
        <v>45</v>
      </c>
      <c r="H515">
        <v>2</v>
      </c>
      <c r="I515">
        <v>1</v>
      </c>
      <c r="J515" t="s">
        <v>43</v>
      </c>
      <c r="K515" t="s">
        <v>42</v>
      </c>
      <c r="L515" t="s">
        <v>43</v>
      </c>
      <c r="M515" t="s">
        <v>42</v>
      </c>
      <c r="N515" t="s">
        <v>43</v>
      </c>
      <c r="O515">
        <v>5</v>
      </c>
      <c r="P515">
        <v>2</v>
      </c>
      <c r="Q515">
        <v>4</v>
      </c>
      <c r="R515">
        <v>1</v>
      </c>
      <c r="S515">
        <v>4</v>
      </c>
      <c r="T515">
        <f t="shared" ref="T515:T578" si="40">R515+S515</f>
        <v>5</v>
      </c>
      <c r="U515" t="str" cm="1">
        <f t="array" ref="U515">_xlfn.IFS(T515&lt;3, "low", AND(T515&gt;=3, T515&lt;5), "med", T515&gt;=5, "high")</f>
        <v>high</v>
      </c>
      <c r="V515">
        <v>14</v>
      </c>
      <c r="W515" t="str" cm="1">
        <f t="array" ref="W515">_xlfn.IFS(V515&lt;5, "low", AND(V515&gt;=5, V515&lt;10), "med", V515&gt;=10, "high")</f>
        <v>high</v>
      </c>
      <c r="X515">
        <v>12</v>
      </c>
      <c r="Y515">
        <v>11</v>
      </c>
      <c r="Z515">
        <v>11</v>
      </c>
      <c r="AA515">
        <f t="shared" ref="AA515:AA578" si="41">IF(Y515&lt;X515,1,0)</f>
        <v>1</v>
      </c>
      <c r="AB515">
        <f t="shared" ref="AB515:AB578" si="42">IF(Z515&lt;Y515,1,0)</f>
        <v>0</v>
      </c>
      <c r="AC515">
        <f t="shared" ref="AC515:AC578" si="43">SUM(AA515:AB515)</f>
        <v>1</v>
      </c>
      <c r="AD515" s="1">
        <f t="shared" ref="AD515:AD578" si="44">AVERAGE(X515:Z515)</f>
        <v>11.333333333333334</v>
      </c>
    </row>
    <row r="516" spans="1:30" x14ac:dyDescent="0.35">
      <c r="A516" t="s">
        <v>50</v>
      </c>
      <c r="B516">
        <v>15</v>
      </c>
      <c r="C516" t="s">
        <v>35</v>
      </c>
      <c r="D516" t="s">
        <v>36</v>
      </c>
      <c r="E516" t="s">
        <v>44</v>
      </c>
      <c r="F516" t="s">
        <v>45</v>
      </c>
      <c r="G516" t="s">
        <v>45</v>
      </c>
      <c r="H516">
        <v>1</v>
      </c>
      <c r="I516">
        <v>0</v>
      </c>
      <c r="J516" t="s">
        <v>43</v>
      </c>
      <c r="K516" t="s">
        <v>43</v>
      </c>
      <c r="L516" t="s">
        <v>43</v>
      </c>
      <c r="M516" t="s">
        <v>43</v>
      </c>
      <c r="N516" t="s">
        <v>43</v>
      </c>
      <c r="O516">
        <v>3</v>
      </c>
      <c r="P516">
        <v>4</v>
      </c>
      <c r="Q516">
        <v>3</v>
      </c>
      <c r="R516">
        <v>1</v>
      </c>
      <c r="S516">
        <v>2</v>
      </c>
      <c r="T516">
        <f t="shared" si="40"/>
        <v>3</v>
      </c>
      <c r="U516" t="str" cm="1">
        <f t="array" ref="U516">_xlfn.IFS(T516&lt;3, "low", AND(T516&gt;=3, T516&lt;5), "med", T516&gt;=5, "high")</f>
        <v>med</v>
      </c>
      <c r="V516">
        <v>2</v>
      </c>
      <c r="W516" t="str" cm="1">
        <f t="array" ref="W516">_xlfn.IFS(V516&lt;5, "low", AND(V516&gt;=5, V516&lt;10), "med", V516&gt;=10, "high")</f>
        <v>low</v>
      </c>
      <c r="X516">
        <v>14</v>
      </c>
      <c r="Y516">
        <v>13</v>
      </c>
      <c r="Z516">
        <v>14</v>
      </c>
      <c r="AA516">
        <f t="shared" si="41"/>
        <v>1</v>
      </c>
      <c r="AB516">
        <f t="shared" si="42"/>
        <v>0</v>
      </c>
      <c r="AC516">
        <f t="shared" si="43"/>
        <v>1</v>
      </c>
      <c r="AD516" s="1">
        <f t="shared" si="44"/>
        <v>13.666666666666666</v>
      </c>
    </row>
    <row r="517" spans="1:30" x14ac:dyDescent="0.35">
      <c r="A517" t="s">
        <v>34</v>
      </c>
      <c r="B517">
        <v>15</v>
      </c>
      <c r="C517" t="s">
        <v>35</v>
      </c>
      <c r="D517" t="s">
        <v>36</v>
      </c>
      <c r="E517" t="s">
        <v>44</v>
      </c>
      <c r="F517" t="s">
        <v>38</v>
      </c>
      <c r="G517" t="s">
        <v>48</v>
      </c>
      <c r="H517">
        <v>2</v>
      </c>
      <c r="I517">
        <v>0</v>
      </c>
      <c r="J517" t="s">
        <v>43</v>
      </c>
      <c r="K517" t="s">
        <v>43</v>
      </c>
      <c r="L517" t="s">
        <v>43</v>
      </c>
      <c r="M517" t="s">
        <v>43</v>
      </c>
      <c r="N517" t="s">
        <v>43</v>
      </c>
      <c r="O517">
        <v>3</v>
      </c>
      <c r="P517">
        <v>2</v>
      </c>
      <c r="Q517">
        <v>3</v>
      </c>
      <c r="R517">
        <v>1</v>
      </c>
      <c r="S517">
        <v>2</v>
      </c>
      <c r="T517">
        <f t="shared" si="40"/>
        <v>3</v>
      </c>
      <c r="U517" t="str" cm="1">
        <f t="array" ref="U517">_xlfn.IFS(T517&lt;3, "low", AND(T517&gt;=3, T517&lt;5), "med", T517&gt;=5, "high")</f>
        <v>med</v>
      </c>
      <c r="V517">
        <v>0</v>
      </c>
      <c r="W517" t="str" cm="1">
        <f t="array" ref="W517">_xlfn.IFS(V517&lt;5, "low", AND(V517&gt;=5, V517&lt;10), "med", V517&gt;=10, "high")</f>
        <v>low</v>
      </c>
      <c r="X517">
        <v>14</v>
      </c>
      <c r="Y517">
        <v>14</v>
      </c>
      <c r="Z517">
        <v>14</v>
      </c>
      <c r="AA517">
        <f t="shared" si="41"/>
        <v>0</v>
      </c>
      <c r="AB517">
        <f t="shared" si="42"/>
        <v>0</v>
      </c>
      <c r="AC517">
        <f t="shared" si="43"/>
        <v>0</v>
      </c>
      <c r="AD517" s="1">
        <f t="shared" si="44"/>
        <v>14</v>
      </c>
    </row>
    <row r="518" spans="1:30" x14ac:dyDescent="0.35">
      <c r="A518" t="s">
        <v>50</v>
      </c>
      <c r="B518">
        <v>15</v>
      </c>
      <c r="C518" t="s">
        <v>35</v>
      </c>
      <c r="D518" t="s">
        <v>36</v>
      </c>
      <c r="E518" t="s">
        <v>44</v>
      </c>
      <c r="F518" t="s">
        <v>48</v>
      </c>
      <c r="G518" t="s">
        <v>48</v>
      </c>
      <c r="H518">
        <v>4</v>
      </c>
      <c r="I518">
        <v>0</v>
      </c>
      <c r="J518" t="s">
        <v>43</v>
      </c>
      <c r="K518" t="s">
        <v>42</v>
      </c>
      <c r="L518" t="s">
        <v>43</v>
      </c>
      <c r="M518" t="s">
        <v>42</v>
      </c>
      <c r="N518" t="s">
        <v>43</v>
      </c>
      <c r="O518">
        <v>5</v>
      </c>
      <c r="P518">
        <v>5</v>
      </c>
      <c r="Q518">
        <v>4</v>
      </c>
      <c r="R518">
        <v>1</v>
      </c>
      <c r="S518">
        <v>2</v>
      </c>
      <c r="T518">
        <f t="shared" si="40"/>
        <v>3</v>
      </c>
      <c r="U518" t="str" cm="1">
        <f t="array" ref="U518">_xlfn.IFS(T518&lt;3, "low", AND(T518&gt;=3, T518&lt;5), "med", T518&gt;=5, "high")</f>
        <v>med</v>
      </c>
      <c r="V518">
        <v>6</v>
      </c>
      <c r="W518" t="str" cm="1">
        <f t="array" ref="W518">_xlfn.IFS(V518&lt;5, "low", AND(V518&gt;=5, V518&lt;10), "med", V518&gt;=10, "high")</f>
        <v>med</v>
      </c>
      <c r="X518">
        <v>14</v>
      </c>
      <c r="Y518">
        <v>13</v>
      </c>
      <c r="Z518">
        <v>13</v>
      </c>
      <c r="AA518">
        <f t="shared" si="41"/>
        <v>1</v>
      </c>
      <c r="AB518">
        <f t="shared" si="42"/>
        <v>0</v>
      </c>
      <c r="AC518">
        <f t="shared" si="43"/>
        <v>1</v>
      </c>
      <c r="AD518" s="1">
        <f t="shared" si="44"/>
        <v>13.333333333333334</v>
      </c>
    </row>
    <row r="519" spans="1:30" x14ac:dyDescent="0.35">
      <c r="A519" t="s">
        <v>34</v>
      </c>
      <c r="B519">
        <v>16</v>
      </c>
      <c r="C519" t="s">
        <v>35</v>
      </c>
      <c r="D519" t="s">
        <v>47</v>
      </c>
      <c r="E519" t="s">
        <v>44</v>
      </c>
      <c r="F519" t="s">
        <v>45</v>
      </c>
      <c r="G519" t="s">
        <v>28</v>
      </c>
      <c r="H519">
        <v>2</v>
      </c>
      <c r="I519">
        <v>0</v>
      </c>
      <c r="J519" t="s">
        <v>43</v>
      </c>
      <c r="K519" t="s">
        <v>42</v>
      </c>
      <c r="L519" t="s">
        <v>43</v>
      </c>
      <c r="M519" t="s">
        <v>42</v>
      </c>
      <c r="N519" t="s">
        <v>42</v>
      </c>
      <c r="O519">
        <v>4</v>
      </c>
      <c r="P519">
        <v>2</v>
      </c>
      <c r="Q519">
        <v>2</v>
      </c>
      <c r="R519">
        <v>1</v>
      </c>
      <c r="S519">
        <v>2</v>
      </c>
      <c r="T519">
        <f t="shared" si="40"/>
        <v>3</v>
      </c>
      <c r="U519" t="str" cm="1">
        <f t="array" ref="U519">_xlfn.IFS(T519&lt;3, "low", AND(T519&gt;=3, T519&lt;5), "med", T519&gt;=5, "high")</f>
        <v>med</v>
      </c>
      <c r="V519">
        <v>2</v>
      </c>
      <c r="W519" t="str" cm="1">
        <f t="array" ref="W519">_xlfn.IFS(V519&lt;5, "low", AND(V519&gt;=5, V519&lt;10), "med", V519&gt;=10, "high")</f>
        <v>low</v>
      </c>
      <c r="X519">
        <v>14</v>
      </c>
      <c r="Y519">
        <v>12</v>
      </c>
      <c r="Z519">
        <v>13</v>
      </c>
      <c r="AA519">
        <f t="shared" si="41"/>
        <v>1</v>
      </c>
      <c r="AB519">
        <f t="shared" si="42"/>
        <v>0</v>
      </c>
      <c r="AC519">
        <f t="shared" si="43"/>
        <v>1</v>
      </c>
      <c r="AD519" s="1">
        <f t="shared" si="44"/>
        <v>13</v>
      </c>
    </row>
    <row r="520" spans="1:30" x14ac:dyDescent="0.35">
      <c r="A520" t="s">
        <v>50</v>
      </c>
      <c r="B520">
        <v>16</v>
      </c>
      <c r="C520" t="s">
        <v>35</v>
      </c>
      <c r="D520" t="s">
        <v>36</v>
      </c>
      <c r="E520" t="s">
        <v>44</v>
      </c>
      <c r="F520" t="s">
        <v>28</v>
      </c>
      <c r="G520" t="s">
        <v>45</v>
      </c>
      <c r="H520">
        <v>1</v>
      </c>
      <c r="I520">
        <v>0</v>
      </c>
      <c r="J520" t="s">
        <v>43</v>
      </c>
      <c r="K520" t="s">
        <v>42</v>
      </c>
      <c r="L520" t="s">
        <v>43</v>
      </c>
      <c r="M520" t="s">
        <v>42</v>
      </c>
      <c r="N520" t="s">
        <v>43</v>
      </c>
      <c r="O520">
        <v>3</v>
      </c>
      <c r="P520">
        <v>4</v>
      </c>
      <c r="Q520">
        <v>4</v>
      </c>
      <c r="R520">
        <v>1</v>
      </c>
      <c r="S520">
        <v>4</v>
      </c>
      <c r="T520">
        <f t="shared" si="40"/>
        <v>5</v>
      </c>
      <c r="U520" t="str" cm="1">
        <f t="array" ref="U520">_xlfn.IFS(T520&lt;3, "low", AND(T520&gt;=3, T520&lt;5), "med", T520&gt;=5, "high")</f>
        <v>high</v>
      </c>
      <c r="V520">
        <v>4</v>
      </c>
      <c r="W520" t="str" cm="1">
        <f t="array" ref="W520">_xlfn.IFS(V520&lt;5, "low", AND(V520&gt;=5, V520&lt;10), "med", V520&gt;=10, "high")</f>
        <v>low</v>
      </c>
      <c r="X520">
        <v>12</v>
      </c>
      <c r="Y520">
        <v>13</v>
      </c>
      <c r="Z520">
        <v>13</v>
      </c>
      <c r="AA520">
        <f t="shared" si="41"/>
        <v>0</v>
      </c>
      <c r="AB520">
        <f t="shared" si="42"/>
        <v>0</v>
      </c>
      <c r="AC520">
        <f t="shared" si="43"/>
        <v>0</v>
      </c>
      <c r="AD520" s="1">
        <f t="shared" si="44"/>
        <v>12.666666666666666</v>
      </c>
    </row>
    <row r="521" spans="1:30" x14ac:dyDescent="0.35">
      <c r="A521" t="s">
        <v>34</v>
      </c>
      <c r="B521">
        <v>16</v>
      </c>
      <c r="C521" t="s">
        <v>35</v>
      </c>
      <c r="D521" t="s">
        <v>36</v>
      </c>
      <c r="E521" t="s">
        <v>44</v>
      </c>
      <c r="F521" t="s">
        <v>45</v>
      </c>
      <c r="G521" t="s">
        <v>45</v>
      </c>
      <c r="H521">
        <v>2</v>
      </c>
      <c r="I521">
        <v>0</v>
      </c>
      <c r="J521" t="s">
        <v>43</v>
      </c>
      <c r="K521" t="s">
        <v>43</v>
      </c>
      <c r="L521" t="s">
        <v>43</v>
      </c>
      <c r="M521" t="s">
        <v>43</v>
      </c>
      <c r="N521" t="s">
        <v>42</v>
      </c>
      <c r="O521">
        <v>5</v>
      </c>
      <c r="P521">
        <v>4</v>
      </c>
      <c r="Q521">
        <v>4</v>
      </c>
      <c r="R521">
        <v>1</v>
      </c>
      <c r="S521">
        <v>1</v>
      </c>
      <c r="T521">
        <f t="shared" si="40"/>
        <v>2</v>
      </c>
      <c r="U521" t="str" cm="1">
        <f t="array" ref="U521">_xlfn.IFS(T521&lt;3, "low", AND(T521&gt;=3, T521&lt;5), "med", T521&gt;=5, "high")</f>
        <v>low</v>
      </c>
      <c r="V521">
        <v>0</v>
      </c>
      <c r="W521" t="str" cm="1">
        <f t="array" ref="W521">_xlfn.IFS(V521&lt;5, "low", AND(V521&gt;=5, V521&lt;10), "med", V521&gt;=10, "high")</f>
        <v>low</v>
      </c>
      <c r="X521">
        <v>12</v>
      </c>
      <c r="Y521">
        <v>11</v>
      </c>
      <c r="Z521">
        <v>11</v>
      </c>
      <c r="AA521">
        <f t="shared" si="41"/>
        <v>1</v>
      </c>
      <c r="AB521">
        <f t="shared" si="42"/>
        <v>0</v>
      </c>
      <c r="AC521">
        <f t="shared" si="43"/>
        <v>1</v>
      </c>
      <c r="AD521" s="1">
        <f t="shared" si="44"/>
        <v>11.333333333333334</v>
      </c>
    </row>
    <row r="522" spans="1:30" x14ac:dyDescent="0.35">
      <c r="A522" t="s">
        <v>50</v>
      </c>
      <c r="B522">
        <v>15</v>
      </c>
      <c r="C522" t="s">
        <v>35</v>
      </c>
      <c r="D522" t="s">
        <v>36</v>
      </c>
      <c r="E522" t="s">
        <v>44</v>
      </c>
      <c r="F522" t="s">
        <v>48</v>
      </c>
      <c r="G522" t="s">
        <v>48</v>
      </c>
      <c r="H522">
        <v>1</v>
      </c>
      <c r="I522">
        <v>0</v>
      </c>
      <c r="J522" t="s">
        <v>42</v>
      </c>
      <c r="K522" t="s">
        <v>43</v>
      </c>
      <c r="L522" t="s">
        <v>43</v>
      </c>
      <c r="M522" t="s">
        <v>43</v>
      </c>
      <c r="N522" t="s">
        <v>43</v>
      </c>
      <c r="O522">
        <v>5</v>
      </c>
      <c r="P522">
        <v>5</v>
      </c>
      <c r="Q522">
        <v>5</v>
      </c>
      <c r="R522">
        <v>3</v>
      </c>
      <c r="S522">
        <v>2</v>
      </c>
      <c r="T522">
        <f t="shared" si="40"/>
        <v>5</v>
      </c>
      <c r="U522" t="str" cm="1">
        <f t="array" ref="U522">_xlfn.IFS(T522&lt;3, "low", AND(T522&gt;=3, T522&lt;5), "med", T522&gt;=5, "high")</f>
        <v>high</v>
      </c>
      <c r="V522">
        <v>2</v>
      </c>
      <c r="W522" t="str" cm="1">
        <f t="array" ref="W522">_xlfn.IFS(V522&lt;5, "low", AND(V522&gt;=5, V522&lt;10), "med", V522&gt;=10, "high")</f>
        <v>low</v>
      </c>
      <c r="X522">
        <v>9</v>
      </c>
      <c r="Y522">
        <v>9</v>
      </c>
      <c r="Z522">
        <v>9</v>
      </c>
      <c r="AA522">
        <f t="shared" si="41"/>
        <v>0</v>
      </c>
      <c r="AB522">
        <f t="shared" si="42"/>
        <v>0</v>
      </c>
      <c r="AC522">
        <f t="shared" si="43"/>
        <v>0</v>
      </c>
      <c r="AD522" s="1">
        <f t="shared" si="44"/>
        <v>9</v>
      </c>
    </row>
    <row r="523" spans="1:30" x14ac:dyDescent="0.35">
      <c r="A523" t="s">
        <v>34</v>
      </c>
      <c r="B523">
        <v>15</v>
      </c>
      <c r="C523" t="s">
        <v>35</v>
      </c>
      <c r="D523" t="s">
        <v>47</v>
      </c>
      <c r="E523" t="s">
        <v>37</v>
      </c>
      <c r="F523" t="s">
        <v>45</v>
      </c>
      <c r="G523" t="s">
        <v>45</v>
      </c>
      <c r="H523">
        <v>2</v>
      </c>
      <c r="I523">
        <v>0</v>
      </c>
      <c r="J523" t="s">
        <v>42</v>
      </c>
      <c r="K523" t="s">
        <v>43</v>
      </c>
      <c r="L523" t="s">
        <v>43</v>
      </c>
      <c r="M523" t="s">
        <v>42</v>
      </c>
      <c r="N523" t="s">
        <v>42</v>
      </c>
      <c r="O523">
        <v>5</v>
      </c>
      <c r="P523">
        <v>3</v>
      </c>
      <c r="Q523">
        <v>2</v>
      </c>
      <c r="R523">
        <v>1</v>
      </c>
      <c r="S523">
        <v>1</v>
      </c>
      <c r="T523">
        <f t="shared" si="40"/>
        <v>2</v>
      </c>
      <c r="U523" t="str" cm="1">
        <f t="array" ref="U523">_xlfn.IFS(T523&lt;3, "low", AND(T523&gt;=3, T523&lt;5), "med", T523&gt;=5, "high")</f>
        <v>low</v>
      </c>
      <c r="V523">
        <v>0</v>
      </c>
      <c r="W523" t="str" cm="1">
        <f t="array" ref="W523">_xlfn.IFS(V523&lt;5, "low", AND(V523&gt;=5, V523&lt;10), "med", V523&gt;=10, "high")</f>
        <v>low</v>
      </c>
      <c r="X523">
        <v>10</v>
      </c>
      <c r="Y523">
        <v>11</v>
      </c>
      <c r="Z523">
        <v>11</v>
      </c>
      <c r="AA523">
        <f t="shared" si="41"/>
        <v>0</v>
      </c>
      <c r="AB523">
        <f t="shared" si="42"/>
        <v>0</v>
      </c>
      <c r="AC523">
        <f t="shared" si="43"/>
        <v>0</v>
      </c>
      <c r="AD523" s="1">
        <f t="shared" si="44"/>
        <v>10.666666666666666</v>
      </c>
    </row>
    <row r="524" spans="1:30" x14ac:dyDescent="0.35">
      <c r="A524" t="s">
        <v>34</v>
      </c>
      <c r="B524">
        <v>19</v>
      </c>
      <c r="C524" t="s">
        <v>35</v>
      </c>
      <c r="D524" t="s">
        <v>36</v>
      </c>
      <c r="E524" t="s">
        <v>44</v>
      </c>
      <c r="F524" t="s">
        <v>38</v>
      </c>
      <c r="G524" t="s">
        <v>45</v>
      </c>
      <c r="H524">
        <v>2</v>
      </c>
      <c r="I524">
        <v>2</v>
      </c>
      <c r="J524" t="s">
        <v>43</v>
      </c>
      <c r="K524" t="s">
        <v>42</v>
      </c>
      <c r="L524" t="s">
        <v>43</v>
      </c>
      <c r="M524" t="s">
        <v>43</v>
      </c>
      <c r="N524" t="s">
        <v>43</v>
      </c>
      <c r="O524">
        <v>3</v>
      </c>
      <c r="P524">
        <v>4</v>
      </c>
      <c r="Q524">
        <v>2</v>
      </c>
      <c r="R524">
        <v>1</v>
      </c>
      <c r="S524">
        <v>1</v>
      </c>
      <c r="T524">
        <f t="shared" si="40"/>
        <v>2</v>
      </c>
      <c r="U524" t="str" cm="1">
        <f t="array" ref="U524">_xlfn.IFS(T524&lt;3, "low", AND(T524&gt;=3, T524&lt;5), "med", T524&gt;=5, "high")</f>
        <v>low</v>
      </c>
      <c r="V524">
        <v>0</v>
      </c>
      <c r="W524" t="str" cm="1">
        <f t="array" ref="W524">_xlfn.IFS(V524&lt;5, "low", AND(V524&gt;=5, V524&lt;10), "med", V524&gt;=10, "high")</f>
        <v>low</v>
      </c>
      <c r="X524">
        <v>9</v>
      </c>
      <c r="Y524">
        <v>10</v>
      </c>
      <c r="Z524">
        <v>11</v>
      </c>
      <c r="AA524">
        <f t="shared" si="41"/>
        <v>0</v>
      </c>
      <c r="AB524">
        <f t="shared" si="42"/>
        <v>0</v>
      </c>
      <c r="AC524">
        <f t="shared" si="43"/>
        <v>0</v>
      </c>
      <c r="AD524" s="1">
        <f t="shared" si="44"/>
        <v>10</v>
      </c>
    </row>
    <row r="525" spans="1:30" x14ac:dyDescent="0.35">
      <c r="A525" t="s">
        <v>50</v>
      </c>
      <c r="B525">
        <v>16</v>
      </c>
      <c r="C525" t="s">
        <v>52</v>
      </c>
      <c r="D525" t="s">
        <v>36</v>
      </c>
      <c r="E525" t="s">
        <v>44</v>
      </c>
      <c r="F525" t="s">
        <v>39</v>
      </c>
      <c r="G525" t="s">
        <v>39</v>
      </c>
      <c r="H525">
        <v>1</v>
      </c>
      <c r="I525">
        <v>0</v>
      </c>
      <c r="J525" t="s">
        <v>43</v>
      </c>
      <c r="K525" t="s">
        <v>43</v>
      </c>
      <c r="L525" t="s">
        <v>43</v>
      </c>
      <c r="M525" t="s">
        <v>42</v>
      </c>
      <c r="N525" t="s">
        <v>43</v>
      </c>
      <c r="O525">
        <v>3</v>
      </c>
      <c r="P525">
        <v>5</v>
      </c>
      <c r="Q525">
        <v>5</v>
      </c>
      <c r="R525">
        <v>2</v>
      </c>
      <c r="S525">
        <v>5</v>
      </c>
      <c r="T525">
        <f t="shared" si="40"/>
        <v>7</v>
      </c>
      <c r="U525" t="str" cm="1">
        <f t="array" ref="U525">_xlfn.IFS(T525&lt;3, "low", AND(T525&gt;=3, T525&lt;5), "med", T525&gt;=5, "high")</f>
        <v>high</v>
      </c>
      <c r="V525">
        <v>8</v>
      </c>
      <c r="W525" t="str" cm="1">
        <f t="array" ref="W525">_xlfn.IFS(V525&lt;5, "low", AND(V525&gt;=5, V525&lt;10), "med", V525&gt;=10, "high")</f>
        <v>med</v>
      </c>
      <c r="X525">
        <v>14</v>
      </c>
      <c r="Y525">
        <v>14</v>
      </c>
      <c r="Z525">
        <v>15</v>
      </c>
      <c r="AA525">
        <f t="shared" si="41"/>
        <v>0</v>
      </c>
      <c r="AB525">
        <f t="shared" si="42"/>
        <v>0</v>
      </c>
      <c r="AC525">
        <f t="shared" si="43"/>
        <v>0</v>
      </c>
      <c r="AD525" s="1">
        <f t="shared" si="44"/>
        <v>14.333333333333334</v>
      </c>
    </row>
    <row r="526" spans="1:30" x14ac:dyDescent="0.35">
      <c r="A526" t="s">
        <v>50</v>
      </c>
      <c r="B526">
        <v>16</v>
      </c>
      <c r="C526" t="s">
        <v>35</v>
      </c>
      <c r="D526" t="s">
        <v>36</v>
      </c>
      <c r="E526" t="s">
        <v>44</v>
      </c>
      <c r="F526" t="s">
        <v>45</v>
      </c>
      <c r="G526" t="s">
        <v>45</v>
      </c>
      <c r="H526">
        <v>3</v>
      </c>
      <c r="I526">
        <v>0</v>
      </c>
      <c r="J526" t="s">
        <v>43</v>
      </c>
      <c r="K526" t="s">
        <v>42</v>
      </c>
      <c r="L526" t="s">
        <v>43</v>
      </c>
      <c r="M526" t="s">
        <v>43</v>
      </c>
      <c r="N526" t="s">
        <v>42</v>
      </c>
      <c r="O526">
        <v>3</v>
      </c>
      <c r="P526">
        <v>2</v>
      </c>
      <c r="Q526">
        <v>3</v>
      </c>
      <c r="R526">
        <v>2</v>
      </c>
      <c r="S526">
        <v>2</v>
      </c>
      <c r="T526">
        <f t="shared" si="40"/>
        <v>4</v>
      </c>
      <c r="U526" t="str" cm="1">
        <f t="array" ref="U526">_xlfn.IFS(T526&lt;3, "low", AND(T526&gt;=3, T526&lt;5), "med", T526&gt;=5, "high")</f>
        <v>med</v>
      </c>
      <c r="V526">
        <v>4</v>
      </c>
      <c r="W526" t="str" cm="1">
        <f t="array" ref="W526">_xlfn.IFS(V526&lt;5, "low", AND(V526&gt;=5, V526&lt;10), "med", V526&gt;=10, "high")</f>
        <v>low</v>
      </c>
      <c r="X526">
        <v>13</v>
      </c>
      <c r="Y526">
        <v>12</v>
      </c>
      <c r="Z526">
        <v>13</v>
      </c>
      <c r="AA526">
        <f t="shared" si="41"/>
        <v>1</v>
      </c>
      <c r="AB526">
        <f t="shared" si="42"/>
        <v>0</v>
      </c>
      <c r="AC526">
        <f t="shared" si="43"/>
        <v>1</v>
      </c>
      <c r="AD526" s="1">
        <f t="shared" si="44"/>
        <v>12.666666666666666</v>
      </c>
    </row>
    <row r="527" spans="1:30" x14ac:dyDescent="0.35">
      <c r="A527" t="s">
        <v>34</v>
      </c>
      <c r="B527">
        <v>15</v>
      </c>
      <c r="C527" t="s">
        <v>52</v>
      </c>
      <c r="D527" t="s">
        <v>36</v>
      </c>
      <c r="E527" t="s">
        <v>44</v>
      </c>
      <c r="F527" t="s">
        <v>48</v>
      </c>
      <c r="G527" t="s">
        <v>39</v>
      </c>
      <c r="H527">
        <v>3</v>
      </c>
      <c r="I527">
        <v>0</v>
      </c>
      <c r="J527" t="s">
        <v>43</v>
      </c>
      <c r="K527" t="s">
        <v>42</v>
      </c>
      <c r="L527" t="s">
        <v>43</v>
      </c>
      <c r="M527" t="s">
        <v>43</v>
      </c>
      <c r="N527" t="s">
        <v>42</v>
      </c>
      <c r="O527">
        <v>4</v>
      </c>
      <c r="P527">
        <v>2</v>
      </c>
      <c r="Q527">
        <v>2</v>
      </c>
      <c r="R527">
        <v>2</v>
      </c>
      <c r="S527">
        <v>2</v>
      </c>
      <c r="T527">
        <f t="shared" si="40"/>
        <v>4</v>
      </c>
      <c r="U527" t="str" cm="1">
        <f t="array" ref="U527">_xlfn.IFS(T527&lt;3, "low", AND(T527&gt;=3, T527&lt;5), "med", T527&gt;=5, "high")</f>
        <v>med</v>
      </c>
      <c r="V527">
        <v>0</v>
      </c>
      <c r="W527" t="str" cm="1">
        <f t="array" ref="W527">_xlfn.IFS(V527&lt;5, "low", AND(V527&gt;=5, V527&lt;10), "med", V527&gt;=10, "high")</f>
        <v>low</v>
      </c>
      <c r="X527">
        <v>10</v>
      </c>
      <c r="Y527">
        <v>11</v>
      </c>
      <c r="Z527">
        <v>12</v>
      </c>
      <c r="AA527">
        <f t="shared" si="41"/>
        <v>0</v>
      </c>
      <c r="AB527">
        <f t="shared" si="42"/>
        <v>0</v>
      </c>
      <c r="AC527">
        <f t="shared" si="43"/>
        <v>0</v>
      </c>
      <c r="AD527" s="1">
        <f t="shared" si="44"/>
        <v>11</v>
      </c>
    </row>
    <row r="528" spans="1:30" x14ac:dyDescent="0.35">
      <c r="A528" t="s">
        <v>34</v>
      </c>
      <c r="B528">
        <v>18</v>
      </c>
      <c r="C528" t="s">
        <v>35</v>
      </c>
      <c r="D528" t="s">
        <v>36</v>
      </c>
      <c r="E528" t="s">
        <v>44</v>
      </c>
      <c r="F528" t="s">
        <v>48</v>
      </c>
      <c r="G528" t="s">
        <v>45</v>
      </c>
      <c r="H528">
        <v>2</v>
      </c>
      <c r="I528">
        <v>3</v>
      </c>
      <c r="J528" t="s">
        <v>43</v>
      </c>
      <c r="K528" t="s">
        <v>42</v>
      </c>
      <c r="L528" t="s">
        <v>43</v>
      </c>
      <c r="M528" t="s">
        <v>42</v>
      </c>
      <c r="N528" t="s">
        <v>42</v>
      </c>
      <c r="O528">
        <v>5</v>
      </c>
      <c r="P528">
        <v>4</v>
      </c>
      <c r="Q528">
        <v>5</v>
      </c>
      <c r="R528">
        <v>1</v>
      </c>
      <c r="S528">
        <v>3</v>
      </c>
      <c r="T528">
        <f t="shared" si="40"/>
        <v>4</v>
      </c>
      <c r="U528" t="str" cm="1">
        <f t="array" ref="U528">_xlfn.IFS(T528&lt;3, "low", AND(T528&gt;=3, T528&lt;5), "med", T528&gt;=5, "high")</f>
        <v>med</v>
      </c>
      <c r="V528">
        <v>10</v>
      </c>
      <c r="W528" t="str" cm="1">
        <f t="array" ref="W528">_xlfn.IFS(V528&lt;5, "low", AND(V528&gt;=5, V528&lt;10), "med", V528&gt;=10, "high")</f>
        <v>high</v>
      </c>
      <c r="X528">
        <v>10</v>
      </c>
      <c r="Y528">
        <v>9</v>
      </c>
      <c r="Z528">
        <v>8</v>
      </c>
      <c r="AA528">
        <f t="shared" si="41"/>
        <v>1</v>
      </c>
      <c r="AB528">
        <f t="shared" si="42"/>
        <v>1</v>
      </c>
      <c r="AC528">
        <f t="shared" si="43"/>
        <v>2</v>
      </c>
      <c r="AD528" s="1">
        <f t="shared" si="44"/>
        <v>9</v>
      </c>
    </row>
    <row r="529" spans="1:30" x14ac:dyDescent="0.35">
      <c r="A529" t="s">
        <v>34</v>
      </c>
      <c r="B529">
        <v>17</v>
      </c>
      <c r="C529" t="s">
        <v>35</v>
      </c>
      <c r="D529" t="s">
        <v>47</v>
      </c>
      <c r="E529" t="s">
        <v>37</v>
      </c>
      <c r="F529" t="s">
        <v>45</v>
      </c>
      <c r="G529" t="s">
        <v>45</v>
      </c>
      <c r="H529">
        <v>1</v>
      </c>
      <c r="I529">
        <v>0</v>
      </c>
      <c r="J529" t="s">
        <v>43</v>
      </c>
      <c r="K529" t="s">
        <v>42</v>
      </c>
      <c r="L529" t="s">
        <v>43</v>
      </c>
      <c r="M529" t="s">
        <v>43</v>
      </c>
      <c r="N529" t="s">
        <v>43</v>
      </c>
      <c r="O529">
        <v>3</v>
      </c>
      <c r="P529">
        <v>2</v>
      </c>
      <c r="Q529">
        <v>2</v>
      </c>
      <c r="R529">
        <v>1</v>
      </c>
      <c r="S529">
        <v>2</v>
      </c>
      <c r="T529">
        <f t="shared" si="40"/>
        <v>3</v>
      </c>
      <c r="U529" t="str" cm="1">
        <f t="array" ref="U529">_xlfn.IFS(T529&lt;3, "low", AND(T529&gt;=3, T529&lt;5), "med", T529&gt;=5, "high")</f>
        <v>med</v>
      </c>
      <c r="V529">
        <v>8</v>
      </c>
      <c r="W529" t="str" cm="1">
        <f t="array" ref="W529">_xlfn.IFS(V529&lt;5, "low", AND(V529&gt;=5, V529&lt;10), "med", V529&gt;=10, "high")</f>
        <v>med</v>
      </c>
      <c r="X529">
        <v>11</v>
      </c>
      <c r="Y529">
        <v>10</v>
      </c>
      <c r="Z529">
        <v>11</v>
      </c>
      <c r="AA529">
        <f t="shared" si="41"/>
        <v>1</v>
      </c>
      <c r="AB529">
        <f t="shared" si="42"/>
        <v>0</v>
      </c>
      <c r="AC529">
        <f t="shared" si="43"/>
        <v>1</v>
      </c>
      <c r="AD529" s="1">
        <f t="shared" si="44"/>
        <v>10.666666666666666</v>
      </c>
    </row>
    <row r="530" spans="1:30" x14ac:dyDescent="0.35">
      <c r="A530" t="s">
        <v>34</v>
      </c>
      <c r="B530">
        <v>15</v>
      </c>
      <c r="C530" t="s">
        <v>35</v>
      </c>
      <c r="D530" t="s">
        <v>36</v>
      </c>
      <c r="E530" t="s">
        <v>44</v>
      </c>
      <c r="F530" t="s">
        <v>38</v>
      </c>
      <c r="G530" t="s">
        <v>45</v>
      </c>
      <c r="H530">
        <v>1</v>
      </c>
      <c r="I530">
        <v>0</v>
      </c>
      <c r="J530" t="s">
        <v>43</v>
      </c>
      <c r="K530" t="s">
        <v>42</v>
      </c>
      <c r="L530" t="s">
        <v>43</v>
      </c>
      <c r="M530" t="s">
        <v>42</v>
      </c>
      <c r="N530" t="s">
        <v>42</v>
      </c>
      <c r="O530">
        <v>4</v>
      </c>
      <c r="P530">
        <v>3</v>
      </c>
      <c r="Q530">
        <v>3</v>
      </c>
      <c r="R530">
        <v>1</v>
      </c>
      <c r="S530">
        <v>2</v>
      </c>
      <c r="T530">
        <f t="shared" si="40"/>
        <v>3</v>
      </c>
      <c r="U530" t="str" cm="1">
        <f t="array" ref="U530">_xlfn.IFS(T530&lt;3, "low", AND(T530&gt;=3, T530&lt;5), "med", T530&gt;=5, "high")</f>
        <v>med</v>
      </c>
      <c r="V530">
        <v>6</v>
      </c>
      <c r="W530" t="str" cm="1">
        <f t="array" ref="W530">_xlfn.IFS(V530&lt;5, "low", AND(V530&gt;=5, V530&lt;10), "med", V530&gt;=10, "high")</f>
        <v>med</v>
      </c>
      <c r="X530">
        <v>11</v>
      </c>
      <c r="Y530">
        <v>12</v>
      </c>
      <c r="Z530">
        <v>13</v>
      </c>
      <c r="AA530">
        <f t="shared" si="41"/>
        <v>0</v>
      </c>
      <c r="AB530">
        <f t="shared" si="42"/>
        <v>0</v>
      </c>
      <c r="AC530">
        <f t="shared" si="43"/>
        <v>0</v>
      </c>
      <c r="AD530" s="1">
        <f t="shared" si="44"/>
        <v>12</v>
      </c>
    </row>
    <row r="531" spans="1:30" x14ac:dyDescent="0.35">
      <c r="A531" t="s">
        <v>34</v>
      </c>
      <c r="B531">
        <v>17</v>
      </c>
      <c r="C531" t="s">
        <v>35</v>
      </c>
      <c r="D531" t="s">
        <v>47</v>
      </c>
      <c r="E531" t="s">
        <v>44</v>
      </c>
      <c r="F531" t="s">
        <v>45</v>
      </c>
      <c r="G531" t="s">
        <v>45</v>
      </c>
      <c r="H531">
        <v>1</v>
      </c>
      <c r="I531">
        <v>0</v>
      </c>
      <c r="J531" t="s">
        <v>43</v>
      </c>
      <c r="K531" t="s">
        <v>42</v>
      </c>
      <c r="L531" t="s">
        <v>43</v>
      </c>
      <c r="M531" t="s">
        <v>43</v>
      </c>
      <c r="N531" t="s">
        <v>42</v>
      </c>
      <c r="O531">
        <v>3</v>
      </c>
      <c r="P531">
        <v>4</v>
      </c>
      <c r="Q531">
        <v>4</v>
      </c>
      <c r="R531">
        <v>1</v>
      </c>
      <c r="S531">
        <v>3</v>
      </c>
      <c r="T531">
        <f t="shared" si="40"/>
        <v>4</v>
      </c>
      <c r="U531" t="str" cm="1">
        <f t="array" ref="U531">_xlfn.IFS(T531&lt;3, "low", AND(T531&gt;=3, T531&lt;5), "med", T531&gt;=5, "high")</f>
        <v>med</v>
      </c>
      <c r="V531">
        <v>2</v>
      </c>
      <c r="W531" t="str" cm="1">
        <f t="array" ref="W531">_xlfn.IFS(V531&lt;5, "low", AND(V531&gt;=5, V531&lt;10), "med", V531&gt;=10, "high")</f>
        <v>low</v>
      </c>
      <c r="X531">
        <v>13</v>
      </c>
      <c r="Y531">
        <v>12</v>
      </c>
      <c r="Z531">
        <v>12</v>
      </c>
      <c r="AA531">
        <f t="shared" si="41"/>
        <v>1</v>
      </c>
      <c r="AB531">
        <f t="shared" si="42"/>
        <v>0</v>
      </c>
      <c r="AC531">
        <f t="shared" si="43"/>
        <v>1</v>
      </c>
      <c r="AD531" s="1">
        <f t="shared" si="44"/>
        <v>12.333333333333334</v>
      </c>
    </row>
    <row r="532" spans="1:30" x14ac:dyDescent="0.35">
      <c r="A532" t="s">
        <v>34</v>
      </c>
      <c r="B532">
        <v>16</v>
      </c>
      <c r="C532" t="s">
        <v>35</v>
      </c>
      <c r="D532" t="s">
        <v>36</v>
      </c>
      <c r="E532" t="s">
        <v>37</v>
      </c>
      <c r="F532" t="s">
        <v>48</v>
      </c>
      <c r="G532" t="s">
        <v>45</v>
      </c>
      <c r="H532">
        <v>1</v>
      </c>
      <c r="I532">
        <v>0</v>
      </c>
      <c r="J532" t="s">
        <v>43</v>
      </c>
      <c r="K532" t="s">
        <v>43</v>
      </c>
      <c r="L532" t="s">
        <v>43</v>
      </c>
      <c r="M532" t="s">
        <v>43</v>
      </c>
      <c r="N532" t="s">
        <v>43</v>
      </c>
      <c r="O532">
        <v>3</v>
      </c>
      <c r="P532">
        <v>2</v>
      </c>
      <c r="Q532">
        <v>1</v>
      </c>
      <c r="R532">
        <v>1</v>
      </c>
      <c r="S532">
        <v>4</v>
      </c>
      <c r="T532">
        <f t="shared" si="40"/>
        <v>5</v>
      </c>
      <c r="U532" t="str" cm="1">
        <f t="array" ref="U532">_xlfn.IFS(T532&lt;3, "low", AND(T532&gt;=3, T532&lt;5), "med", T532&gt;=5, "high")</f>
        <v>high</v>
      </c>
      <c r="V532">
        <v>12</v>
      </c>
      <c r="W532" t="str" cm="1">
        <f t="array" ref="W532">_xlfn.IFS(V532&lt;5, "low", AND(V532&gt;=5, V532&lt;10), "med", V532&gt;=10, "high")</f>
        <v>high</v>
      </c>
      <c r="X532">
        <v>15</v>
      </c>
      <c r="Y532">
        <v>13</v>
      </c>
      <c r="Z532">
        <v>14</v>
      </c>
      <c r="AA532">
        <f t="shared" si="41"/>
        <v>1</v>
      </c>
      <c r="AB532">
        <f t="shared" si="42"/>
        <v>0</v>
      </c>
      <c r="AC532">
        <f t="shared" si="43"/>
        <v>1</v>
      </c>
      <c r="AD532" s="1">
        <f t="shared" si="44"/>
        <v>14</v>
      </c>
    </row>
    <row r="533" spans="1:30" x14ac:dyDescent="0.35">
      <c r="A533" t="s">
        <v>50</v>
      </c>
      <c r="B533">
        <v>16</v>
      </c>
      <c r="C533" t="s">
        <v>35</v>
      </c>
      <c r="D533" t="s">
        <v>36</v>
      </c>
      <c r="E533" t="s">
        <v>44</v>
      </c>
      <c r="F533" t="s">
        <v>38</v>
      </c>
      <c r="G533" t="s">
        <v>45</v>
      </c>
      <c r="H533">
        <v>1</v>
      </c>
      <c r="I533">
        <v>0</v>
      </c>
      <c r="J533" t="s">
        <v>43</v>
      </c>
      <c r="K533" t="s">
        <v>43</v>
      </c>
      <c r="L533" t="s">
        <v>43</v>
      </c>
      <c r="M533" t="s">
        <v>43</v>
      </c>
      <c r="N533" t="s">
        <v>43</v>
      </c>
      <c r="O533">
        <v>3</v>
      </c>
      <c r="P533">
        <v>2</v>
      </c>
      <c r="Q533">
        <v>1</v>
      </c>
      <c r="R533">
        <v>1</v>
      </c>
      <c r="S533">
        <v>1</v>
      </c>
      <c r="T533">
        <f t="shared" si="40"/>
        <v>2</v>
      </c>
      <c r="U533" t="str" cm="1">
        <f t="array" ref="U533">_xlfn.IFS(T533&lt;3, "low", AND(T533&gt;=3, T533&lt;5), "med", T533&gt;=5, "high")</f>
        <v>low</v>
      </c>
      <c r="V533">
        <v>4</v>
      </c>
      <c r="W533" t="str" cm="1">
        <f t="array" ref="W533">_xlfn.IFS(V533&lt;5, "low", AND(V533&gt;=5, V533&lt;10), "med", V533&gt;=10, "high")</f>
        <v>low</v>
      </c>
      <c r="X533">
        <v>9</v>
      </c>
      <c r="Y533">
        <v>9</v>
      </c>
      <c r="Z533">
        <v>11</v>
      </c>
      <c r="AA533">
        <f t="shared" si="41"/>
        <v>0</v>
      </c>
      <c r="AB533">
        <f t="shared" si="42"/>
        <v>0</v>
      </c>
      <c r="AC533">
        <f t="shared" si="43"/>
        <v>0</v>
      </c>
      <c r="AD533" s="1">
        <f t="shared" si="44"/>
        <v>9.6666666666666661</v>
      </c>
    </row>
    <row r="534" spans="1:30" x14ac:dyDescent="0.35">
      <c r="A534" t="s">
        <v>34</v>
      </c>
      <c r="B534">
        <v>16</v>
      </c>
      <c r="C534" t="s">
        <v>35</v>
      </c>
      <c r="D534" t="s">
        <v>36</v>
      </c>
      <c r="E534" t="s">
        <v>37</v>
      </c>
      <c r="F534" t="s">
        <v>45</v>
      </c>
      <c r="G534" t="s">
        <v>45</v>
      </c>
      <c r="H534">
        <v>1</v>
      </c>
      <c r="I534">
        <v>1</v>
      </c>
      <c r="J534" t="s">
        <v>43</v>
      </c>
      <c r="K534" t="s">
        <v>43</v>
      </c>
      <c r="L534" t="s">
        <v>43</v>
      </c>
      <c r="M534" t="s">
        <v>43</v>
      </c>
      <c r="N534" t="s">
        <v>43</v>
      </c>
      <c r="O534">
        <v>5</v>
      </c>
      <c r="P534">
        <v>3</v>
      </c>
      <c r="Q534">
        <v>4</v>
      </c>
      <c r="R534">
        <v>1</v>
      </c>
      <c r="S534">
        <v>1</v>
      </c>
      <c r="T534">
        <f t="shared" si="40"/>
        <v>2</v>
      </c>
      <c r="U534" t="str" cm="1">
        <f t="array" ref="U534">_xlfn.IFS(T534&lt;3, "low", AND(T534&gt;=3, T534&lt;5), "med", T534&gt;=5, "high")</f>
        <v>low</v>
      </c>
      <c r="V534">
        <v>12</v>
      </c>
      <c r="W534" t="str" cm="1">
        <f t="array" ref="W534">_xlfn.IFS(V534&lt;5, "low", AND(V534&gt;=5, V534&lt;10), "med", V534&gt;=10, "high")</f>
        <v>high</v>
      </c>
      <c r="X534">
        <v>13</v>
      </c>
      <c r="Y534">
        <v>11</v>
      </c>
      <c r="Z534">
        <v>11</v>
      </c>
      <c r="AA534">
        <f t="shared" si="41"/>
        <v>1</v>
      </c>
      <c r="AB534">
        <f t="shared" si="42"/>
        <v>0</v>
      </c>
      <c r="AC534">
        <f t="shared" si="43"/>
        <v>1</v>
      </c>
      <c r="AD534" s="1">
        <f t="shared" si="44"/>
        <v>11.666666666666666</v>
      </c>
    </row>
    <row r="535" spans="1:30" x14ac:dyDescent="0.35">
      <c r="A535" t="s">
        <v>50</v>
      </c>
      <c r="B535">
        <v>15</v>
      </c>
      <c r="C535" t="s">
        <v>52</v>
      </c>
      <c r="D535" t="s">
        <v>36</v>
      </c>
      <c r="E535" t="s">
        <v>44</v>
      </c>
      <c r="F535" t="s">
        <v>38</v>
      </c>
      <c r="G535" t="s">
        <v>39</v>
      </c>
      <c r="H535">
        <v>2</v>
      </c>
      <c r="I535">
        <v>0</v>
      </c>
      <c r="J535" t="s">
        <v>43</v>
      </c>
      <c r="K535" t="s">
        <v>42</v>
      </c>
      <c r="L535" t="s">
        <v>43</v>
      </c>
      <c r="M535" t="s">
        <v>43</v>
      </c>
      <c r="N535" t="s">
        <v>42</v>
      </c>
      <c r="O535">
        <v>5</v>
      </c>
      <c r="P535">
        <v>3</v>
      </c>
      <c r="Q535">
        <v>3</v>
      </c>
      <c r="R535">
        <v>1</v>
      </c>
      <c r="S535">
        <v>1</v>
      </c>
      <c r="T535">
        <f t="shared" si="40"/>
        <v>2</v>
      </c>
      <c r="U535" t="str" cm="1">
        <f t="array" ref="U535">_xlfn.IFS(T535&lt;3, "low", AND(T535&gt;=3, T535&lt;5), "med", T535&gt;=5, "high")</f>
        <v>low</v>
      </c>
      <c r="V535">
        <v>2</v>
      </c>
      <c r="W535" t="str" cm="1">
        <f t="array" ref="W535">_xlfn.IFS(V535&lt;5, "low", AND(V535&gt;=5, V535&lt;10), "med", V535&gt;=10, "high")</f>
        <v>low</v>
      </c>
      <c r="X535">
        <v>12</v>
      </c>
      <c r="Y535">
        <v>11</v>
      </c>
      <c r="Z535">
        <v>11</v>
      </c>
      <c r="AA535">
        <f t="shared" si="41"/>
        <v>1</v>
      </c>
      <c r="AB535">
        <f t="shared" si="42"/>
        <v>0</v>
      </c>
      <c r="AC535">
        <f t="shared" si="43"/>
        <v>1</v>
      </c>
      <c r="AD535" s="1">
        <f t="shared" si="44"/>
        <v>11.333333333333334</v>
      </c>
    </row>
    <row r="536" spans="1:30" x14ac:dyDescent="0.35">
      <c r="A536" t="s">
        <v>34</v>
      </c>
      <c r="B536">
        <v>15</v>
      </c>
      <c r="C536" t="s">
        <v>35</v>
      </c>
      <c r="D536" t="s">
        <v>36</v>
      </c>
      <c r="E536" t="s">
        <v>44</v>
      </c>
      <c r="F536" t="s">
        <v>48</v>
      </c>
      <c r="G536" t="s">
        <v>38</v>
      </c>
      <c r="H536">
        <v>3</v>
      </c>
      <c r="I536">
        <v>0</v>
      </c>
      <c r="J536" t="s">
        <v>43</v>
      </c>
      <c r="K536" t="s">
        <v>42</v>
      </c>
      <c r="L536" t="s">
        <v>43</v>
      </c>
      <c r="M536" t="s">
        <v>42</v>
      </c>
      <c r="N536" t="s">
        <v>42</v>
      </c>
      <c r="O536">
        <v>4</v>
      </c>
      <c r="P536">
        <v>3</v>
      </c>
      <c r="Q536">
        <v>3</v>
      </c>
      <c r="R536">
        <v>1</v>
      </c>
      <c r="S536">
        <v>1</v>
      </c>
      <c r="T536">
        <f t="shared" si="40"/>
        <v>2</v>
      </c>
      <c r="U536" t="str" cm="1">
        <f t="array" ref="U536">_xlfn.IFS(T536&lt;3, "low", AND(T536&gt;=3, T536&lt;5), "med", T536&gt;=5, "high")</f>
        <v>low</v>
      </c>
      <c r="V536">
        <v>4</v>
      </c>
      <c r="W536" t="str" cm="1">
        <f t="array" ref="W536">_xlfn.IFS(V536&lt;5, "low", AND(V536&gt;=5, V536&lt;10), "med", V536&gt;=10, "high")</f>
        <v>low</v>
      </c>
      <c r="X536">
        <v>13</v>
      </c>
      <c r="Y536">
        <v>14</v>
      </c>
      <c r="Z536">
        <v>15</v>
      </c>
      <c r="AA536">
        <f t="shared" si="41"/>
        <v>0</v>
      </c>
      <c r="AB536">
        <f t="shared" si="42"/>
        <v>0</v>
      </c>
      <c r="AC536">
        <f t="shared" si="43"/>
        <v>0</v>
      </c>
      <c r="AD536" s="1">
        <f t="shared" si="44"/>
        <v>14</v>
      </c>
    </row>
    <row r="537" spans="1:30" x14ac:dyDescent="0.35">
      <c r="A537" t="s">
        <v>50</v>
      </c>
      <c r="B537">
        <v>17</v>
      </c>
      <c r="C537" t="s">
        <v>52</v>
      </c>
      <c r="D537" t="s">
        <v>36</v>
      </c>
      <c r="E537" t="s">
        <v>44</v>
      </c>
      <c r="F537" t="s">
        <v>38</v>
      </c>
      <c r="G537" t="s">
        <v>45</v>
      </c>
      <c r="H537">
        <v>2</v>
      </c>
      <c r="I537">
        <v>0</v>
      </c>
      <c r="J537" t="s">
        <v>43</v>
      </c>
      <c r="K537" t="s">
        <v>43</v>
      </c>
      <c r="L537" t="s">
        <v>43</v>
      </c>
      <c r="M537" t="s">
        <v>43</v>
      </c>
      <c r="N537" t="s">
        <v>43</v>
      </c>
      <c r="O537">
        <v>5</v>
      </c>
      <c r="P537">
        <v>4</v>
      </c>
      <c r="Q537">
        <v>5</v>
      </c>
      <c r="R537">
        <v>2</v>
      </c>
      <c r="S537">
        <v>4</v>
      </c>
      <c r="T537">
        <f t="shared" si="40"/>
        <v>6</v>
      </c>
      <c r="U537" t="str" cm="1">
        <f t="array" ref="U537">_xlfn.IFS(T537&lt;3, "low", AND(T537&gt;=3, T537&lt;5), "med", T537&gt;=5, "high")</f>
        <v>high</v>
      </c>
      <c r="V537">
        <v>2</v>
      </c>
      <c r="W537" t="str" cm="1">
        <f t="array" ref="W537">_xlfn.IFS(V537&lt;5, "low", AND(V537&gt;=5, V537&lt;10), "med", V537&gt;=10, "high")</f>
        <v>low</v>
      </c>
      <c r="X537">
        <v>10</v>
      </c>
      <c r="Y537">
        <v>9</v>
      </c>
      <c r="Z537">
        <v>10</v>
      </c>
      <c r="AA537">
        <f t="shared" si="41"/>
        <v>1</v>
      </c>
      <c r="AB537">
        <f t="shared" si="42"/>
        <v>0</v>
      </c>
      <c r="AC537">
        <f t="shared" si="43"/>
        <v>1</v>
      </c>
      <c r="AD537" s="1">
        <f t="shared" si="44"/>
        <v>9.6666666666666661</v>
      </c>
    </row>
    <row r="538" spans="1:30" x14ac:dyDescent="0.35">
      <c r="A538" t="s">
        <v>34</v>
      </c>
      <c r="B538">
        <v>16</v>
      </c>
      <c r="C538" t="s">
        <v>52</v>
      </c>
      <c r="D538" t="s">
        <v>36</v>
      </c>
      <c r="E538" t="s">
        <v>44</v>
      </c>
      <c r="F538" t="s">
        <v>38</v>
      </c>
      <c r="G538" t="s">
        <v>45</v>
      </c>
      <c r="H538">
        <v>2</v>
      </c>
      <c r="I538">
        <v>0</v>
      </c>
      <c r="J538" t="s">
        <v>43</v>
      </c>
      <c r="K538" t="s">
        <v>42</v>
      </c>
      <c r="L538" t="s">
        <v>43</v>
      </c>
      <c r="M538" t="s">
        <v>43</v>
      </c>
      <c r="N538" t="s">
        <v>43</v>
      </c>
      <c r="O538">
        <v>5</v>
      </c>
      <c r="P538">
        <v>1</v>
      </c>
      <c r="Q538">
        <v>3</v>
      </c>
      <c r="R538">
        <v>1</v>
      </c>
      <c r="S538">
        <v>1</v>
      </c>
      <c r="T538">
        <f t="shared" si="40"/>
        <v>2</v>
      </c>
      <c r="U538" t="str" cm="1">
        <f t="array" ref="U538">_xlfn.IFS(T538&lt;3, "low", AND(T538&gt;=3, T538&lt;5), "med", T538&gt;=5, "high")</f>
        <v>low</v>
      </c>
      <c r="V538">
        <v>0</v>
      </c>
      <c r="W538" t="str" cm="1">
        <f t="array" ref="W538">_xlfn.IFS(V538&lt;5, "low", AND(V538&gt;=5, V538&lt;10), "med", V538&gt;=10, "high")</f>
        <v>low</v>
      </c>
      <c r="X538">
        <v>14</v>
      </c>
      <c r="Y538">
        <v>13</v>
      </c>
      <c r="Z538">
        <v>13</v>
      </c>
      <c r="AA538">
        <f t="shared" si="41"/>
        <v>1</v>
      </c>
      <c r="AB538">
        <f t="shared" si="42"/>
        <v>0</v>
      </c>
      <c r="AC538">
        <f t="shared" si="43"/>
        <v>1</v>
      </c>
      <c r="AD538" s="1">
        <f t="shared" si="44"/>
        <v>13.333333333333334</v>
      </c>
    </row>
    <row r="539" spans="1:30" x14ac:dyDescent="0.35">
      <c r="A539" t="s">
        <v>50</v>
      </c>
      <c r="B539">
        <v>18</v>
      </c>
      <c r="C539" t="s">
        <v>35</v>
      </c>
      <c r="D539" t="s">
        <v>47</v>
      </c>
      <c r="E539" t="s">
        <v>44</v>
      </c>
      <c r="F539" t="s">
        <v>48</v>
      </c>
      <c r="G539" t="s">
        <v>48</v>
      </c>
      <c r="H539">
        <v>1</v>
      </c>
      <c r="I539">
        <v>0</v>
      </c>
      <c r="J539" t="s">
        <v>43</v>
      </c>
      <c r="K539" t="s">
        <v>43</v>
      </c>
      <c r="L539" t="s">
        <v>43</v>
      </c>
      <c r="M539" t="s">
        <v>42</v>
      </c>
      <c r="N539" t="s">
        <v>42</v>
      </c>
      <c r="O539">
        <v>3</v>
      </c>
      <c r="P539">
        <v>3</v>
      </c>
      <c r="Q539">
        <v>4</v>
      </c>
      <c r="R539">
        <v>4</v>
      </c>
      <c r="S539">
        <v>5</v>
      </c>
      <c r="T539">
        <f t="shared" si="40"/>
        <v>9</v>
      </c>
      <c r="U539" t="str" cm="1">
        <f t="array" ref="U539">_xlfn.IFS(T539&lt;3, "low", AND(T539&gt;=3, T539&lt;5), "med", T539&gt;=5, "high")</f>
        <v>high</v>
      </c>
      <c r="V539">
        <v>2</v>
      </c>
      <c r="W539" t="str" cm="1">
        <f t="array" ref="W539">_xlfn.IFS(V539&lt;5, "low", AND(V539&gt;=5, V539&lt;10), "med", V539&gt;=10, "high")</f>
        <v>low</v>
      </c>
      <c r="X539">
        <v>11</v>
      </c>
      <c r="Y539">
        <v>11</v>
      </c>
      <c r="Z539">
        <v>12</v>
      </c>
      <c r="AA539">
        <f t="shared" si="41"/>
        <v>0</v>
      </c>
      <c r="AB539">
        <f t="shared" si="42"/>
        <v>0</v>
      </c>
      <c r="AC539">
        <f t="shared" si="43"/>
        <v>0</v>
      </c>
      <c r="AD539" s="1">
        <f t="shared" si="44"/>
        <v>11.333333333333334</v>
      </c>
    </row>
    <row r="540" spans="1:30" x14ac:dyDescent="0.35">
      <c r="A540" t="s">
        <v>34</v>
      </c>
      <c r="B540">
        <v>18</v>
      </c>
      <c r="C540" t="s">
        <v>35</v>
      </c>
      <c r="D540" t="s">
        <v>36</v>
      </c>
      <c r="E540" t="s">
        <v>37</v>
      </c>
      <c r="F540" t="s">
        <v>45</v>
      </c>
      <c r="G540" t="s">
        <v>48</v>
      </c>
      <c r="H540">
        <v>3</v>
      </c>
      <c r="I540">
        <v>0</v>
      </c>
      <c r="J540" t="s">
        <v>43</v>
      </c>
      <c r="K540" t="s">
        <v>42</v>
      </c>
      <c r="L540" t="s">
        <v>43</v>
      </c>
      <c r="M540" t="s">
        <v>42</v>
      </c>
      <c r="N540" t="s">
        <v>42</v>
      </c>
      <c r="O540">
        <v>4</v>
      </c>
      <c r="P540">
        <v>3</v>
      </c>
      <c r="Q540">
        <v>3</v>
      </c>
      <c r="R540">
        <v>5</v>
      </c>
      <c r="S540">
        <v>1</v>
      </c>
      <c r="T540">
        <f t="shared" si="40"/>
        <v>6</v>
      </c>
      <c r="U540" t="str" cm="1">
        <f t="array" ref="U540">_xlfn.IFS(T540&lt;3, "low", AND(T540&gt;=3, T540&lt;5), "med", T540&gt;=5, "high")</f>
        <v>high</v>
      </c>
      <c r="V540">
        <v>10</v>
      </c>
      <c r="W540" t="str" cm="1">
        <f t="array" ref="W540">_xlfn.IFS(V540&lt;5, "low", AND(V540&gt;=5, V540&lt;10), "med", V540&gt;=10, "high")</f>
        <v>high</v>
      </c>
      <c r="X540">
        <v>12</v>
      </c>
      <c r="Y540">
        <v>11</v>
      </c>
      <c r="Z540">
        <v>11</v>
      </c>
      <c r="AA540">
        <f t="shared" si="41"/>
        <v>1</v>
      </c>
      <c r="AB540">
        <f t="shared" si="42"/>
        <v>0</v>
      </c>
      <c r="AC540">
        <f t="shared" si="43"/>
        <v>1</v>
      </c>
      <c r="AD540" s="1">
        <f t="shared" si="44"/>
        <v>11.333333333333334</v>
      </c>
    </row>
    <row r="541" spans="1:30" x14ac:dyDescent="0.35">
      <c r="A541" t="s">
        <v>34</v>
      </c>
      <c r="B541">
        <v>16</v>
      </c>
      <c r="C541" t="s">
        <v>52</v>
      </c>
      <c r="D541" t="s">
        <v>36</v>
      </c>
      <c r="E541" t="s">
        <v>44</v>
      </c>
      <c r="F541" t="s">
        <v>45</v>
      </c>
      <c r="G541" t="s">
        <v>48</v>
      </c>
      <c r="H541">
        <v>1</v>
      </c>
      <c r="I541">
        <v>0</v>
      </c>
      <c r="J541" t="s">
        <v>43</v>
      </c>
      <c r="K541" t="s">
        <v>42</v>
      </c>
      <c r="L541" t="s">
        <v>43</v>
      </c>
      <c r="M541" t="s">
        <v>42</v>
      </c>
      <c r="N541" t="s">
        <v>42</v>
      </c>
      <c r="O541">
        <v>3</v>
      </c>
      <c r="P541">
        <v>3</v>
      </c>
      <c r="Q541">
        <v>3</v>
      </c>
      <c r="R541">
        <v>1</v>
      </c>
      <c r="S541">
        <v>2</v>
      </c>
      <c r="T541">
        <f t="shared" si="40"/>
        <v>3</v>
      </c>
      <c r="U541" t="str" cm="1">
        <f t="array" ref="U541">_xlfn.IFS(T541&lt;3, "low", AND(T541&gt;=3, T541&lt;5), "med", T541&gt;=5, "high")</f>
        <v>med</v>
      </c>
      <c r="V541">
        <v>8</v>
      </c>
      <c r="W541" t="str" cm="1">
        <f t="array" ref="W541">_xlfn.IFS(V541&lt;5, "low", AND(V541&gt;=5, V541&lt;10), "med", V541&gt;=10, "high")</f>
        <v>med</v>
      </c>
      <c r="X541">
        <v>12</v>
      </c>
      <c r="Y541">
        <v>11</v>
      </c>
      <c r="Z541">
        <v>11</v>
      </c>
      <c r="AA541">
        <f t="shared" si="41"/>
        <v>1</v>
      </c>
      <c r="AB541">
        <f t="shared" si="42"/>
        <v>0</v>
      </c>
      <c r="AC541">
        <f t="shared" si="43"/>
        <v>1</v>
      </c>
      <c r="AD541" s="1">
        <f t="shared" si="44"/>
        <v>11.333333333333334</v>
      </c>
    </row>
    <row r="542" spans="1:30" x14ac:dyDescent="0.35">
      <c r="A542" t="s">
        <v>34</v>
      </c>
      <c r="B542">
        <v>16</v>
      </c>
      <c r="C542" t="s">
        <v>35</v>
      </c>
      <c r="D542" t="s">
        <v>36</v>
      </c>
      <c r="E542" t="s">
        <v>37</v>
      </c>
      <c r="F542" t="s">
        <v>45</v>
      </c>
      <c r="G542" t="s">
        <v>45</v>
      </c>
      <c r="H542">
        <v>1</v>
      </c>
      <c r="I542">
        <v>0</v>
      </c>
      <c r="J542" t="s">
        <v>43</v>
      </c>
      <c r="K542" t="s">
        <v>42</v>
      </c>
      <c r="L542" t="s">
        <v>43</v>
      </c>
      <c r="M542" t="s">
        <v>42</v>
      </c>
      <c r="N542" t="s">
        <v>42</v>
      </c>
      <c r="O542">
        <v>4</v>
      </c>
      <c r="P542">
        <v>3</v>
      </c>
      <c r="Q542">
        <v>2</v>
      </c>
      <c r="R542">
        <v>1</v>
      </c>
      <c r="S542">
        <v>1</v>
      </c>
      <c r="T542">
        <f t="shared" si="40"/>
        <v>2</v>
      </c>
      <c r="U542" t="str" cm="1">
        <f t="array" ref="U542">_xlfn.IFS(T542&lt;3, "low", AND(T542&gt;=3, T542&lt;5), "med", T542&gt;=5, "high")</f>
        <v>low</v>
      </c>
      <c r="V542">
        <v>4</v>
      </c>
      <c r="W542" t="str" cm="1">
        <f t="array" ref="W542">_xlfn.IFS(V542&lt;5, "low", AND(V542&gt;=5, V542&lt;10), "med", V542&gt;=10, "high")</f>
        <v>low</v>
      </c>
      <c r="X542">
        <v>9</v>
      </c>
      <c r="Y542">
        <v>9</v>
      </c>
      <c r="Z542">
        <v>10</v>
      </c>
      <c r="AA542">
        <f t="shared" si="41"/>
        <v>0</v>
      </c>
      <c r="AB542">
        <f t="shared" si="42"/>
        <v>0</v>
      </c>
      <c r="AC542">
        <f t="shared" si="43"/>
        <v>0</v>
      </c>
      <c r="AD542" s="1">
        <f t="shared" si="44"/>
        <v>9.3333333333333339</v>
      </c>
    </row>
    <row r="543" spans="1:30" x14ac:dyDescent="0.35">
      <c r="A543" t="s">
        <v>50</v>
      </c>
      <c r="B543">
        <v>16</v>
      </c>
      <c r="C543" t="s">
        <v>35</v>
      </c>
      <c r="D543" t="s">
        <v>47</v>
      </c>
      <c r="E543" t="s">
        <v>44</v>
      </c>
      <c r="F543" t="s">
        <v>48</v>
      </c>
      <c r="G543" t="s">
        <v>45</v>
      </c>
      <c r="H543">
        <v>2</v>
      </c>
      <c r="I543">
        <v>2</v>
      </c>
      <c r="J543" t="s">
        <v>43</v>
      </c>
      <c r="K543" t="s">
        <v>43</v>
      </c>
      <c r="L543" t="s">
        <v>43</v>
      </c>
      <c r="M543" t="s">
        <v>43</v>
      </c>
      <c r="N543" t="s">
        <v>42</v>
      </c>
      <c r="O543">
        <v>4</v>
      </c>
      <c r="P543">
        <v>4</v>
      </c>
      <c r="Q543">
        <v>4</v>
      </c>
      <c r="R543">
        <v>1</v>
      </c>
      <c r="S543">
        <v>3</v>
      </c>
      <c r="T543">
        <f t="shared" si="40"/>
        <v>4</v>
      </c>
      <c r="U543" t="str" cm="1">
        <f t="array" ref="U543">_xlfn.IFS(T543&lt;3, "low", AND(T543&gt;=3, T543&lt;5), "med", T543&gt;=5, "high")</f>
        <v>med</v>
      </c>
      <c r="V543">
        <v>0</v>
      </c>
      <c r="W543" t="str" cm="1">
        <f t="array" ref="W543">_xlfn.IFS(V543&lt;5, "low", AND(V543&gt;=5, V543&lt;10), "med", V543&gt;=10, "high")</f>
        <v>low</v>
      </c>
      <c r="X543">
        <v>10</v>
      </c>
      <c r="Y543">
        <v>10</v>
      </c>
      <c r="Z543">
        <v>10</v>
      </c>
      <c r="AA543">
        <f t="shared" si="41"/>
        <v>0</v>
      </c>
      <c r="AB543">
        <f t="shared" si="42"/>
        <v>0</v>
      </c>
      <c r="AC543">
        <f t="shared" si="43"/>
        <v>0</v>
      </c>
      <c r="AD543" s="1">
        <f t="shared" si="44"/>
        <v>10</v>
      </c>
    </row>
    <row r="544" spans="1:30" x14ac:dyDescent="0.35">
      <c r="A544" t="s">
        <v>34</v>
      </c>
      <c r="B544">
        <v>15</v>
      </c>
      <c r="C544" t="s">
        <v>35</v>
      </c>
      <c r="D544" t="s">
        <v>36</v>
      </c>
      <c r="E544" t="s">
        <v>44</v>
      </c>
      <c r="F544" t="s">
        <v>39</v>
      </c>
      <c r="G544" t="s">
        <v>39</v>
      </c>
      <c r="H544">
        <v>1</v>
      </c>
      <c r="I544">
        <v>0</v>
      </c>
      <c r="J544" t="s">
        <v>43</v>
      </c>
      <c r="K544" t="s">
        <v>43</v>
      </c>
      <c r="L544" t="s">
        <v>43</v>
      </c>
      <c r="M544" t="s">
        <v>42</v>
      </c>
      <c r="N544" t="s">
        <v>43</v>
      </c>
      <c r="O544">
        <v>4</v>
      </c>
      <c r="P544">
        <v>3</v>
      </c>
      <c r="Q544">
        <v>2</v>
      </c>
      <c r="R544">
        <v>1</v>
      </c>
      <c r="S544">
        <v>1</v>
      </c>
      <c r="T544">
        <f t="shared" si="40"/>
        <v>2</v>
      </c>
      <c r="U544" t="str" cm="1">
        <f t="array" ref="U544">_xlfn.IFS(T544&lt;3, "low", AND(T544&gt;=3, T544&lt;5), "med", T544&gt;=5, "high")</f>
        <v>low</v>
      </c>
      <c r="V544">
        <v>6</v>
      </c>
      <c r="W544" t="str" cm="1">
        <f t="array" ref="W544">_xlfn.IFS(V544&lt;5, "low", AND(V544&gt;=5, V544&lt;10), "med", V544&gt;=10, "high")</f>
        <v>med</v>
      </c>
      <c r="X544">
        <v>13</v>
      </c>
      <c r="Y544">
        <v>14</v>
      </c>
      <c r="Z544">
        <v>14</v>
      </c>
      <c r="AA544">
        <f t="shared" si="41"/>
        <v>0</v>
      </c>
      <c r="AB544">
        <f t="shared" si="42"/>
        <v>0</v>
      </c>
      <c r="AC544">
        <f t="shared" si="43"/>
        <v>0</v>
      </c>
      <c r="AD544" s="1">
        <f t="shared" si="44"/>
        <v>13.666666666666666</v>
      </c>
    </row>
    <row r="545" spans="1:30" x14ac:dyDescent="0.35">
      <c r="A545" t="s">
        <v>34</v>
      </c>
      <c r="B545">
        <v>15</v>
      </c>
      <c r="C545" t="s">
        <v>52</v>
      </c>
      <c r="D545" t="s">
        <v>36</v>
      </c>
      <c r="E545" t="s">
        <v>44</v>
      </c>
      <c r="F545" t="s">
        <v>45</v>
      </c>
      <c r="G545" t="s">
        <v>45</v>
      </c>
      <c r="H545">
        <v>1</v>
      </c>
      <c r="I545">
        <v>1</v>
      </c>
      <c r="J545" t="s">
        <v>43</v>
      </c>
      <c r="K545" t="s">
        <v>43</v>
      </c>
      <c r="L545" t="s">
        <v>43</v>
      </c>
      <c r="M545" t="s">
        <v>42</v>
      </c>
      <c r="N545" t="s">
        <v>42</v>
      </c>
      <c r="O545">
        <v>5</v>
      </c>
      <c r="P545">
        <v>5</v>
      </c>
      <c r="Q545">
        <v>5</v>
      </c>
      <c r="R545">
        <v>1</v>
      </c>
      <c r="S545">
        <v>1</v>
      </c>
      <c r="T545">
        <f t="shared" si="40"/>
        <v>2</v>
      </c>
      <c r="U545" t="str" cm="1">
        <f t="array" ref="U545">_xlfn.IFS(T545&lt;3, "low", AND(T545&gt;=3, T545&lt;5), "med", T545&gt;=5, "high")</f>
        <v>low</v>
      </c>
      <c r="V545">
        <v>2</v>
      </c>
      <c r="W545" t="str" cm="1">
        <f t="array" ref="W545">_xlfn.IFS(V545&lt;5, "low", AND(V545&gt;=5, V545&lt;10), "med", V545&gt;=10, "high")</f>
        <v>low</v>
      </c>
      <c r="X545">
        <v>8</v>
      </c>
      <c r="Y545">
        <v>9</v>
      </c>
      <c r="Z545">
        <v>9</v>
      </c>
      <c r="AA545">
        <f t="shared" si="41"/>
        <v>0</v>
      </c>
      <c r="AB545">
        <f t="shared" si="42"/>
        <v>0</v>
      </c>
      <c r="AC545">
        <f t="shared" si="43"/>
        <v>0</v>
      </c>
      <c r="AD545" s="1">
        <f t="shared" si="44"/>
        <v>8.6666666666666661</v>
      </c>
    </row>
    <row r="546" spans="1:30" x14ac:dyDescent="0.35">
      <c r="A546" t="s">
        <v>50</v>
      </c>
      <c r="B546">
        <v>15</v>
      </c>
      <c r="C546" t="s">
        <v>35</v>
      </c>
      <c r="D546" t="s">
        <v>36</v>
      </c>
      <c r="E546" t="s">
        <v>44</v>
      </c>
      <c r="F546" t="s">
        <v>39</v>
      </c>
      <c r="G546" t="s">
        <v>48</v>
      </c>
      <c r="H546">
        <v>4</v>
      </c>
      <c r="I546">
        <v>0</v>
      </c>
      <c r="J546" t="s">
        <v>42</v>
      </c>
      <c r="K546" t="s">
        <v>42</v>
      </c>
      <c r="L546" t="s">
        <v>43</v>
      </c>
      <c r="M546" t="s">
        <v>43</v>
      </c>
      <c r="N546" t="s">
        <v>43</v>
      </c>
      <c r="O546">
        <v>2</v>
      </c>
      <c r="P546">
        <v>2</v>
      </c>
      <c r="Q546">
        <v>2</v>
      </c>
      <c r="R546">
        <v>1</v>
      </c>
      <c r="S546">
        <v>1</v>
      </c>
      <c r="T546">
        <f t="shared" si="40"/>
        <v>2</v>
      </c>
      <c r="U546" t="str" cm="1">
        <f t="array" ref="U546">_xlfn.IFS(T546&lt;3, "low", AND(T546&gt;=3, T546&lt;5), "med", T546&gt;=5, "high")</f>
        <v>low</v>
      </c>
      <c r="V546">
        <v>6</v>
      </c>
      <c r="W546" t="str" cm="1">
        <f t="array" ref="W546">_xlfn.IFS(V546&lt;5, "low", AND(V546&gt;=5, V546&lt;10), "med", V546&gt;=10, "high")</f>
        <v>med</v>
      </c>
      <c r="X546">
        <v>9</v>
      </c>
      <c r="Y546">
        <v>11</v>
      </c>
      <c r="Z546">
        <v>11</v>
      </c>
      <c r="AA546">
        <f t="shared" si="41"/>
        <v>0</v>
      </c>
      <c r="AB546">
        <f t="shared" si="42"/>
        <v>0</v>
      </c>
      <c r="AC546">
        <f t="shared" si="43"/>
        <v>0</v>
      </c>
      <c r="AD546" s="1">
        <f t="shared" si="44"/>
        <v>10.333333333333334</v>
      </c>
    </row>
    <row r="547" spans="1:30" x14ac:dyDescent="0.35">
      <c r="A547" t="s">
        <v>34</v>
      </c>
      <c r="B547">
        <v>15</v>
      </c>
      <c r="C547" t="s">
        <v>35</v>
      </c>
      <c r="D547" t="s">
        <v>36</v>
      </c>
      <c r="E547" t="s">
        <v>37</v>
      </c>
      <c r="F547" t="s">
        <v>48</v>
      </c>
      <c r="G547" t="s">
        <v>48</v>
      </c>
      <c r="H547">
        <v>2</v>
      </c>
      <c r="I547">
        <v>0</v>
      </c>
      <c r="J547" t="s">
        <v>43</v>
      </c>
      <c r="K547" t="s">
        <v>43</v>
      </c>
      <c r="L547" t="s">
        <v>43</v>
      </c>
      <c r="M547" t="s">
        <v>43</v>
      </c>
      <c r="N547" t="s">
        <v>42</v>
      </c>
      <c r="O547">
        <v>1</v>
      </c>
      <c r="P547">
        <v>3</v>
      </c>
      <c r="Q547">
        <v>2</v>
      </c>
      <c r="R547">
        <v>2</v>
      </c>
      <c r="S547">
        <v>3</v>
      </c>
      <c r="T547">
        <f t="shared" si="40"/>
        <v>5</v>
      </c>
      <c r="U547" t="str" cm="1">
        <f t="array" ref="U547">_xlfn.IFS(T547&lt;3, "low", AND(T547&gt;=3, T547&lt;5), "med", T547&gt;=5, "high")</f>
        <v>high</v>
      </c>
      <c r="V547">
        <v>24</v>
      </c>
      <c r="W547" t="str" cm="1">
        <f t="array" ref="W547">_xlfn.IFS(V547&lt;5, "low", AND(V547&gt;=5, V547&lt;10), "med", V547&gt;=10, "high")</f>
        <v>high</v>
      </c>
      <c r="X547">
        <v>9</v>
      </c>
      <c r="Y547">
        <v>8</v>
      </c>
      <c r="Z547">
        <v>9</v>
      </c>
      <c r="AA547">
        <f t="shared" si="41"/>
        <v>1</v>
      </c>
      <c r="AB547">
        <f t="shared" si="42"/>
        <v>0</v>
      </c>
      <c r="AC547">
        <f t="shared" si="43"/>
        <v>1</v>
      </c>
      <c r="AD547" s="1">
        <f t="shared" si="44"/>
        <v>8.6666666666666661</v>
      </c>
    </row>
    <row r="548" spans="1:30" x14ac:dyDescent="0.35">
      <c r="A548" t="s">
        <v>50</v>
      </c>
      <c r="B548">
        <v>16</v>
      </c>
      <c r="C548" t="s">
        <v>35</v>
      </c>
      <c r="D548" t="s">
        <v>36</v>
      </c>
      <c r="E548" t="s">
        <v>44</v>
      </c>
      <c r="F548" t="s">
        <v>48</v>
      </c>
      <c r="G548" t="s">
        <v>48</v>
      </c>
      <c r="H548">
        <v>3</v>
      </c>
      <c r="I548">
        <v>0</v>
      </c>
      <c r="J548" t="s">
        <v>43</v>
      </c>
      <c r="K548" t="s">
        <v>42</v>
      </c>
      <c r="L548" t="s">
        <v>43</v>
      </c>
      <c r="M548" t="s">
        <v>42</v>
      </c>
      <c r="N548" t="s">
        <v>43</v>
      </c>
      <c r="O548">
        <v>5</v>
      </c>
      <c r="P548">
        <v>3</v>
      </c>
      <c r="Q548">
        <v>3</v>
      </c>
      <c r="R548">
        <v>1</v>
      </c>
      <c r="S548">
        <v>3</v>
      </c>
      <c r="T548">
        <f t="shared" si="40"/>
        <v>4</v>
      </c>
      <c r="U548" t="str" cm="1">
        <f t="array" ref="U548">_xlfn.IFS(T548&lt;3, "low", AND(T548&gt;=3, T548&lt;5), "med", T548&gt;=5, "high")</f>
        <v>med</v>
      </c>
      <c r="V548">
        <v>0</v>
      </c>
      <c r="W548" t="str" cm="1">
        <f t="array" ref="W548">_xlfn.IFS(V548&lt;5, "low", AND(V548&gt;=5, V548&lt;10), "med", V548&gt;=10, "high")</f>
        <v>low</v>
      </c>
      <c r="X548">
        <v>15</v>
      </c>
      <c r="Y548">
        <v>13</v>
      </c>
      <c r="Z548">
        <v>13</v>
      </c>
      <c r="AA548">
        <f t="shared" si="41"/>
        <v>1</v>
      </c>
      <c r="AB548">
        <f t="shared" si="42"/>
        <v>0</v>
      </c>
      <c r="AC548">
        <f t="shared" si="43"/>
        <v>1</v>
      </c>
      <c r="AD548" s="1">
        <f t="shared" si="44"/>
        <v>13.666666666666666</v>
      </c>
    </row>
    <row r="549" spans="1:30" x14ac:dyDescent="0.35">
      <c r="A549" t="s">
        <v>50</v>
      </c>
      <c r="B549">
        <v>16</v>
      </c>
      <c r="C549" t="s">
        <v>35</v>
      </c>
      <c r="D549" t="s">
        <v>47</v>
      </c>
      <c r="E549" t="s">
        <v>44</v>
      </c>
      <c r="F549" t="s">
        <v>48</v>
      </c>
      <c r="G549" t="s">
        <v>48</v>
      </c>
      <c r="H549">
        <v>1</v>
      </c>
      <c r="I549">
        <v>0</v>
      </c>
      <c r="J549" t="s">
        <v>43</v>
      </c>
      <c r="K549" t="s">
        <v>42</v>
      </c>
      <c r="L549" t="s">
        <v>43</v>
      </c>
      <c r="M549" t="s">
        <v>42</v>
      </c>
      <c r="N549" t="s">
        <v>43</v>
      </c>
      <c r="O549">
        <v>2</v>
      </c>
      <c r="P549">
        <v>3</v>
      </c>
      <c r="Q549">
        <v>3</v>
      </c>
      <c r="R549">
        <v>2</v>
      </c>
      <c r="S549">
        <v>2</v>
      </c>
      <c r="T549">
        <f t="shared" si="40"/>
        <v>4</v>
      </c>
      <c r="U549" t="str" cm="1">
        <f t="array" ref="U549">_xlfn.IFS(T549&lt;3, "low", AND(T549&gt;=3, T549&lt;5), "med", T549&gt;=5, "high")</f>
        <v>med</v>
      </c>
      <c r="V549">
        <v>4</v>
      </c>
      <c r="W549" t="str" cm="1">
        <f t="array" ref="W549">_xlfn.IFS(V549&lt;5, "low", AND(V549&gt;=5, V549&lt;10), "med", V549&gt;=10, "high")</f>
        <v>low</v>
      </c>
      <c r="X549">
        <v>12</v>
      </c>
      <c r="Y549">
        <v>11</v>
      </c>
      <c r="Z549">
        <v>11</v>
      </c>
      <c r="AA549">
        <f t="shared" si="41"/>
        <v>1</v>
      </c>
      <c r="AB549">
        <f t="shared" si="42"/>
        <v>0</v>
      </c>
      <c r="AC549">
        <f t="shared" si="43"/>
        <v>1</v>
      </c>
      <c r="AD549" s="1">
        <f t="shared" si="44"/>
        <v>11.333333333333334</v>
      </c>
    </row>
    <row r="550" spans="1:30" x14ac:dyDescent="0.35">
      <c r="A550" t="s">
        <v>34</v>
      </c>
      <c r="B550">
        <v>15</v>
      </c>
      <c r="C550" t="s">
        <v>35</v>
      </c>
      <c r="D550" t="s">
        <v>36</v>
      </c>
      <c r="E550" t="s">
        <v>44</v>
      </c>
      <c r="F550" t="s">
        <v>39</v>
      </c>
      <c r="G550" t="s">
        <v>48</v>
      </c>
      <c r="H550">
        <v>3</v>
      </c>
      <c r="I550">
        <v>0</v>
      </c>
      <c r="J550" t="s">
        <v>43</v>
      </c>
      <c r="K550" t="s">
        <v>42</v>
      </c>
      <c r="L550" t="s">
        <v>43</v>
      </c>
      <c r="M550" t="s">
        <v>42</v>
      </c>
      <c r="N550" t="s">
        <v>43</v>
      </c>
      <c r="O550">
        <v>4</v>
      </c>
      <c r="P550">
        <v>2</v>
      </c>
      <c r="Q550">
        <v>2</v>
      </c>
      <c r="R550">
        <v>1</v>
      </c>
      <c r="S550">
        <v>1</v>
      </c>
      <c r="T550">
        <f t="shared" si="40"/>
        <v>2</v>
      </c>
      <c r="U550" t="str" cm="1">
        <f t="array" ref="U550">_xlfn.IFS(T550&lt;3, "low", AND(T550&gt;=3, T550&lt;5), "med", T550&gt;=5, "high")</f>
        <v>low</v>
      </c>
      <c r="V550">
        <v>2</v>
      </c>
      <c r="W550" t="str" cm="1">
        <f t="array" ref="W550">_xlfn.IFS(V550&lt;5, "low", AND(V550&gt;=5, V550&lt;10), "med", V550&gt;=10, "high")</f>
        <v>low</v>
      </c>
      <c r="X550">
        <v>13</v>
      </c>
      <c r="Y550">
        <v>13</v>
      </c>
      <c r="Z550">
        <v>13</v>
      </c>
      <c r="AA550">
        <f t="shared" si="41"/>
        <v>0</v>
      </c>
      <c r="AB550">
        <f t="shared" si="42"/>
        <v>0</v>
      </c>
      <c r="AC550">
        <f t="shared" si="43"/>
        <v>0</v>
      </c>
      <c r="AD550" s="1">
        <f t="shared" si="44"/>
        <v>13</v>
      </c>
    </row>
    <row r="551" spans="1:30" x14ac:dyDescent="0.35">
      <c r="A551" t="s">
        <v>34</v>
      </c>
      <c r="B551">
        <v>16</v>
      </c>
      <c r="C551" t="s">
        <v>35</v>
      </c>
      <c r="D551" t="s">
        <v>47</v>
      </c>
      <c r="E551" t="s">
        <v>44</v>
      </c>
      <c r="F551" t="s">
        <v>38</v>
      </c>
      <c r="G551" t="s">
        <v>38</v>
      </c>
      <c r="H551">
        <v>1</v>
      </c>
      <c r="I551">
        <v>0</v>
      </c>
      <c r="J551" t="s">
        <v>43</v>
      </c>
      <c r="K551" t="s">
        <v>43</v>
      </c>
      <c r="L551" t="s">
        <v>43</v>
      </c>
      <c r="M551" t="s">
        <v>43</v>
      </c>
      <c r="N551" t="s">
        <v>43</v>
      </c>
      <c r="O551">
        <v>3</v>
      </c>
      <c r="P551">
        <v>4</v>
      </c>
      <c r="Q551">
        <v>4</v>
      </c>
      <c r="R551">
        <v>3</v>
      </c>
      <c r="S551">
        <v>3</v>
      </c>
      <c r="T551">
        <f t="shared" si="40"/>
        <v>6</v>
      </c>
      <c r="U551" t="str" cm="1">
        <f t="array" ref="U551">_xlfn.IFS(T551&lt;3, "low", AND(T551&gt;=3, T551&lt;5), "med", T551&gt;=5, "high")</f>
        <v>high</v>
      </c>
      <c r="V551">
        <v>4</v>
      </c>
      <c r="W551" t="str" cm="1">
        <f t="array" ref="W551">_xlfn.IFS(V551&lt;5, "low", AND(V551&gt;=5, V551&lt;10), "med", V551&gt;=10, "high")</f>
        <v>low</v>
      </c>
      <c r="X551">
        <v>10</v>
      </c>
      <c r="Y551">
        <v>11</v>
      </c>
      <c r="Z551">
        <v>11</v>
      </c>
      <c r="AA551">
        <f t="shared" si="41"/>
        <v>0</v>
      </c>
      <c r="AB551">
        <f t="shared" si="42"/>
        <v>0</v>
      </c>
      <c r="AC551">
        <f t="shared" si="43"/>
        <v>0</v>
      </c>
      <c r="AD551" s="1">
        <f t="shared" si="44"/>
        <v>10.666666666666666</v>
      </c>
    </row>
    <row r="552" spans="1:30" x14ac:dyDescent="0.35">
      <c r="A552" t="s">
        <v>50</v>
      </c>
      <c r="B552">
        <v>17</v>
      </c>
      <c r="C552" t="s">
        <v>35</v>
      </c>
      <c r="D552" t="s">
        <v>36</v>
      </c>
      <c r="E552" t="s">
        <v>44</v>
      </c>
      <c r="F552" t="s">
        <v>45</v>
      </c>
      <c r="G552" t="s">
        <v>45</v>
      </c>
      <c r="H552">
        <v>1</v>
      </c>
      <c r="I552">
        <v>0</v>
      </c>
      <c r="J552" t="s">
        <v>43</v>
      </c>
      <c r="K552" t="s">
        <v>42</v>
      </c>
      <c r="L552" t="s">
        <v>43</v>
      </c>
      <c r="M552" t="s">
        <v>43</v>
      </c>
      <c r="N552" t="s">
        <v>43</v>
      </c>
      <c r="O552">
        <v>5</v>
      </c>
      <c r="P552">
        <v>4</v>
      </c>
      <c r="Q552">
        <v>5</v>
      </c>
      <c r="R552">
        <v>1</v>
      </c>
      <c r="S552">
        <v>2</v>
      </c>
      <c r="T552">
        <f t="shared" si="40"/>
        <v>3</v>
      </c>
      <c r="U552" t="str" cm="1">
        <f t="array" ref="U552">_xlfn.IFS(T552&lt;3, "low", AND(T552&gt;=3, T552&lt;5), "med", T552&gt;=5, "high")</f>
        <v>med</v>
      </c>
      <c r="V552">
        <v>22</v>
      </c>
      <c r="W552" t="str" cm="1">
        <f t="array" ref="W552">_xlfn.IFS(V552&lt;5, "low", AND(V552&gt;=5, V552&lt;10), "med", V552&gt;=10, "high")</f>
        <v>high</v>
      </c>
      <c r="X552">
        <v>9</v>
      </c>
      <c r="Y552">
        <v>7</v>
      </c>
      <c r="Z552">
        <v>6</v>
      </c>
      <c r="AA552">
        <f t="shared" si="41"/>
        <v>1</v>
      </c>
      <c r="AB552">
        <f t="shared" si="42"/>
        <v>1</v>
      </c>
      <c r="AC552">
        <f t="shared" si="43"/>
        <v>2</v>
      </c>
      <c r="AD552" s="1">
        <f t="shared" si="44"/>
        <v>7.333333333333333</v>
      </c>
    </row>
    <row r="553" spans="1:30" x14ac:dyDescent="0.35">
      <c r="A553" t="s">
        <v>34</v>
      </c>
      <c r="B553">
        <v>15</v>
      </c>
      <c r="C553" t="s">
        <v>35</v>
      </c>
      <c r="D553" t="s">
        <v>36</v>
      </c>
      <c r="E553" t="s">
        <v>44</v>
      </c>
      <c r="F553" t="s">
        <v>45</v>
      </c>
      <c r="G553" t="s">
        <v>48</v>
      </c>
      <c r="H553">
        <v>2</v>
      </c>
      <c r="I553">
        <v>0</v>
      </c>
      <c r="J553" t="s">
        <v>43</v>
      </c>
      <c r="K553" t="s">
        <v>42</v>
      </c>
      <c r="L553" t="s">
        <v>43</v>
      </c>
      <c r="M553" t="s">
        <v>43</v>
      </c>
      <c r="N553" t="s">
        <v>43</v>
      </c>
      <c r="O553">
        <v>4</v>
      </c>
      <c r="P553">
        <v>4</v>
      </c>
      <c r="Q553">
        <v>2</v>
      </c>
      <c r="R553">
        <v>1</v>
      </c>
      <c r="S553">
        <v>2</v>
      </c>
      <c r="T553">
        <f t="shared" si="40"/>
        <v>3</v>
      </c>
      <c r="U553" t="str" cm="1">
        <f t="array" ref="U553">_xlfn.IFS(T553&lt;3, "low", AND(T553&gt;=3, T553&lt;5), "med", T553&gt;=5, "high")</f>
        <v>med</v>
      </c>
      <c r="V553">
        <v>0</v>
      </c>
      <c r="W553" t="str" cm="1">
        <f t="array" ref="W553">_xlfn.IFS(V553&lt;5, "low", AND(V553&gt;=5, V553&lt;10), "med", V553&gt;=10, "high")</f>
        <v>low</v>
      </c>
      <c r="X553">
        <v>12</v>
      </c>
      <c r="Y553">
        <v>12</v>
      </c>
      <c r="Z553">
        <v>12</v>
      </c>
      <c r="AA553">
        <f t="shared" si="41"/>
        <v>0</v>
      </c>
      <c r="AB553">
        <f t="shared" si="42"/>
        <v>0</v>
      </c>
      <c r="AC553">
        <f t="shared" si="43"/>
        <v>0</v>
      </c>
      <c r="AD553" s="1">
        <f t="shared" si="44"/>
        <v>12</v>
      </c>
    </row>
    <row r="554" spans="1:30" x14ac:dyDescent="0.35">
      <c r="A554" t="s">
        <v>34</v>
      </c>
      <c r="B554">
        <v>15</v>
      </c>
      <c r="C554" t="s">
        <v>35</v>
      </c>
      <c r="D554" t="s">
        <v>47</v>
      </c>
      <c r="E554" t="s">
        <v>37</v>
      </c>
      <c r="F554" t="s">
        <v>38</v>
      </c>
      <c r="G554" t="s">
        <v>45</v>
      </c>
      <c r="H554">
        <v>1</v>
      </c>
      <c r="I554">
        <v>0</v>
      </c>
      <c r="J554" t="s">
        <v>43</v>
      </c>
      <c r="K554" t="s">
        <v>42</v>
      </c>
      <c r="L554" t="s">
        <v>43</v>
      </c>
      <c r="M554" t="s">
        <v>42</v>
      </c>
      <c r="N554" t="s">
        <v>42</v>
      </c>
      <c r="O554">
        <v>4</v>
      </c>
      <c r="P554">
        <v>4</v>
      </c>
      <c r="Q554">
        <v>2</v>
      </c>
      <c r="R554">
        <v>1</v>
      </c>
      <c r="S554">
        <v>1</v>
      </c>
      <c r="T554">
        <f t="shared" si="40"/>
        <v>2</v>
      </c>
      <c r="U554" t="str" cm="1">
        <f t="array" ref="U554">_xlfn.IFS(T554&lt;3, "low", AND(T554&gt;=3, T554&lt;5), "med", T554&gt;=5, "high")</f>
        <v>low</v>
      </c>
      <c r="V554">
        <v>0</v>
      </c>
      <c r="W554" t="str" cm="1">
        <f t="array" ref="W554">_xlfn.IFS(V554&lt;5, "low", AND(V554&gt;=5, V554&lt;10), "med", V554&gt;=10, "high")</f>
        <v>low</v>
      </c>
      <c r="X554">
        <v>11</v>
      </c>
      <c r="Y554">
        <v>10</v>
      </c>
      <c r="Z554">
        <v>10</v>
      </c>
      <c r="AA554">
        <f t="shared" si="41"/>
        <v>1</v>
      </c>
      <c r="AB554">
        <f t="shared" si="42"/>
        <v>0</v>
      </c>
      <c r="AC554">
        <f t="shared" si="43"/>
        <v>1</v>
      </c>
      <c r="AD554" s="1">
        <f t="shared" si="44"/>
        <v>10.333333333333334</v>
      </c>
    </row>
    <row r="555" spans="1:30" x14ac:dyDescent="0.35">
      <c r="A555" t="s">
        <v>34</v>
      </c>
      <c r="B555">
        <v>15</v>
      </c>
      <c r="C555" t="s">
        <v>35</v>
      </c>
      <c r="D555" t="s">
        <v>36</v>
      </c>
      <c r="E555" t="s">
        <v>44</v>
      </c>
      <c r="F555" t="s">
        <v>28</v>
      </c>
      <c r="G555" t="s">
        <v>48</v>
      </c>
      <c r="H555">
        <v>2</v>
      </c>
      <c r="I555">
        <v>1</v>
      </c>
      <c r="J555" t="s">
        <v>43</v>
      </c>
      <c r="K555" t="s">
        <v>42</v>
      </c>
      <c r="L555" t="s">
        <v>43</v>
      </c>
      <c r="M555" t="s">
        <v>43</v>
      </c>
      <c r="N555" t="s">
        <v>43</v>
      </c>
      <c r="O555">
        <v>3</v>
      </c>
      <c r="P555">
        <v>3</v>
      </c>
      <c r="Q555">
        <v>2</v>
      </c>
      <c r="R555">
        <v>1</v>
      </c>
      <c r="S555">
        <v>1</v>
      </c>
      <c r="T555">
        <f t="shared" si="40"/>
        <v>2</v>
      </c>
      <c r="U555" t="str" cm="1">
        <f t="array" ref="U555">_xlfn.IFS(T555&lt;3, "low", AND(T555&gt;=3, T555&lt;5), "med", T555&gt;=5, "high")</f>
        <v>low</v>
      </c>
      <c r="V555">
        <v>2</v>
      </c>
      <c r="W555" t="str" cm="1">
        <f t="array" ref="W555">_xlfn.IFS(V555&lt;5, "low", AND(V555&gt;=5, V555&lt;10), "med", V555&gt;=10, "high")</f>
        <v>low</v>
      </c>
      <c r="X555">
        <v>11</v>
      </c>
      <c r="Y555">
        <v>11</v>
      </c>
      <c r="Z555">
        <v>11</v>
      </c>
      <c r="AA555">
        <f t="shared" si="41"/>
        <v>0</v>
      </c>
      <c r="AB555">
        <f t="shared" si="42"/>
        <v>0</v>
      </c>
      <c r="AC555">
        <f t="shared" si="43"/>
        <v>0</v>
      </c>
      <c r="AD555" s="1">
        <f t="shared" si="44"/>
        <v>11</v>
      </c>
    </row>
    <row r="556" spans="1:30" x14ac:dyDescent="0.35">
      <c r="A556" t="s">
        <v>34</v>
      </c>
      <c r="B556">
        <v>15</v>
      </c>
      <c r="C556" t="s">
        <v>35</v>
      </c>
      <c r="D556" t="s">
        <v>36</v>
      </c>
      <c r="E556" t="s">
        <v>44</v>
      </c>
      <c r="F556" t="s">
        <v>38</v>
      </c>
      <c r="G556" t="s">
        <v>45</v>
      </c>
      <c r="H556">
        <v>2</v>
      </c>
      <c r="I556">
        <v>0</v>
      </c>
      <c r="J556" t="s">
        <v>43</v>
      </c>
      <c r="K556" t="s">
        <v>42</v>
      </c>
      <c r="L556" t="s">
        <v>43</v>
      </c>
      <c r="M556" t="s">
        <v>43</v>
      </c>
      <c r="N556" t="s">
        <v>43</v>
      </c>
      <c r="O556">
        <v>4</v>
      </c>
      <c r="P556">
        <v>3</v>
      </c>
      <c r="Q556">
        <v>2</v>
      </c>
      <c r="R556">
        <v>1</v>
      </c>
      <c r="S556">
        <v>1</v>
      </c>
      <c r="T556">
        <f t="shared" si="40"/>
        <v>2</v>
      </c>
      <c r="U556" t="str" cm="1">
        <f t="array" ref="U556">_xlfn.IFS(T556&lt;3, "low", AND(T556&gt;=3, T556&lt;5), "med", T556&gt;=5, "high")</f>
        <v>low</v>
      </c>
      <c r="V556">
        <v>6</v>
      </c>
      <c r="W556" t="str" cm="1">
        <f t="array" ref="W556">_xlfn.IFS(V556&lt;5, "low", AND(V556&gt;=5, V556&lt;10), "med", V556&gt;=10, "high")</f>
        <v>med</v>
      </c>
      <c r="X556">
        <v>13</v>
      </c>
      <c r="Y556">
        <v>12</v>
      </c>
      <c r="Z556">
        <v>13</v>
      </c>
      <c r="AA556">
        <f t="shared" si="41"/>
        <v>1</v>
      </c>
      <c r="AB556">
        <f t="shared" si="42"/>
        <v>0</v>
      </c>
      <c r="AC556">
        <f t="shared" si="43"/>
        <v>1</v>
      </c>
      <c r="AD556" s="1">
        <f t="shared" si="44"/>
        <v>12.666666666666666</v>
      </c>
    </row>
    <row r="557" spans="1:30" x14ac:dyDescent="0.35">
      <c r="A557" t="s">
        <v>34</v>
      </c>
      <c r="B557">
        <v>15</v>
      </c>
      <c r="C557" t="s">
        <v>35</v>
      </c>
      <c r="D557" t="s">
        <v>36</v>
      </c>
      <c r="E557" t="s">
        <v>44</v>
      </c>
      <c r="F557" t="s">
        <v>38</v>
      </c>
      <c r="G557" t="s">
        <v>48</v>
      </c>
      <c r="H557">
        <v>2</v>
      </c>
      <c r="I557">
        <v>0</v>
      </c>
      <c r="J557" t="s">
        <v>43</v>
      </c>
      <c r="K557" t="s">
        <v>43</v>
      </c>
      <c r="L557" t="s">
        <v>43</v>
      </c>
      <c r="M557" t="s">
        <v>43</v>
      </c>
      <c r="N557" t="s">
        <v>42</v>
      </c>
      <c r="O557">
        <v>2</v>
      </c>
      <c r="P557">
        <v>3</v>
      </c>
      <c r="Q557">
        <v>4</v>
      </c>
      <c r="R557">
        <v>2</v>
      </c>
      <c r="S557">
        <v>4</v>
      </c>
      <c r="T557">
        <f t="shared" si="40"/>
        <v>6</v>
      </c>
      <c r="U557" t="str" cm="1">
        <f t="array" ref="U557">_xlfn.IFS(T557&lt;3, "low", AND(T557&gt;=3, T557&lt;5), "med", T557&gt;=5, "high")</f>
        <v>high</v>
      </c>
      <c r="V557">
        <v>6</v>
      </c>
      <c r="W557" t="str" cm="1">
        <f t="array" ref="W557">_xlfn.IFS(V557&lt;5, "low", AND(V557&gt;=5, V557&lt;10), "med", V557&gt;=10, "high")</f>
        <v>med</v>
      </c>
      <c r="X557">
        <v>11</v>
      </c>
      <c r="Y557">
        <v>11</v>
      </c>
      <c r="Z557">
        <v>11</v>
      </c>
      <c r="AA557">
        <f t="shared" si="41"/>
        <v>0</v>
      </c>
      <c r="AB557">
        <f t="shared" si="42"/>
        <v>0</v>
      </c>
      <c r="AC557">
        <f t="shared" si="43"/>
        <v>0</v>
      </c>
      <c r="AD557" s="1">
        <f t="shared" si="44"/>
        <v>11</v>
      </c>
    </row>
    <row r="558" spans="1:30" x14ac:dyDescent="0.35">
      <c r="A558" t="s">
        <v>50</v>
      </c>
      <c r="B558">
        <v>16</v>
      </c>
      <c r="C558" t="s">
        <v>35</v>
      </c>
      <c r="D558" t="s">
        <v>36</v>
      </c>
      <c r="E558" t="s">
        <v>44</v>
      </c>
      <c r="F558" t="s">
        <v>39</v>
      </c>
      <c r="G558" t="s">
        <v>39</v>
      </c>
      <c r="H558">
        <v>1</v>
      </c>
      <c r="I558">
        <v>0</v>
      </c>
      <c r="J558" t="s">
        <v>43</v>
      </c>
      <c r="K558" t="s">
        <v>42</v>
      </c>
      <c r="L558" t="s">
        <v>43</v>
      </c>
      <c r="M558" t="s">
        <v>43</v>
      </c>
      <c r="N558" t="s">
        <v>42</v>
      </c>
      <c r="O558">
        <v>3</v>
      </c>
      <c r="P558">
        <v>3</v>
      </c>
      <c r="Q558">
        <v>2</v>
      </c>
      <c r="R558">
        <v>2</v>
      </c>
      <c r="S558">
        <v>1</v>
      </c>
      <c r="T558">
        <f t="shared" si="40"/>
        <v>3</v>
      </c>
      <c r="U558" t="str" cm="1">
        <f t="array" ref="U558">_xlfn.IFS(T558&lt;3, "low", AND(T558&gt;=3, T558&lt;5), "med", T558&gt;=5, "high")</f>
        <v>med</v>
      </c>
      <c r="V558">
        <v>16</v>
      </c>
      <c r="W558" t="str" cm="1">
        <f t="array" ref="W558">_xlfn.IFS(V558&lt;5, "low", AND(V558&gt;=5, V558&lt;10), "med", V558&gt;=10, "high")</f>
        <v>high</v>
      </c>
      <c r="X558">
        <v>9</v>
      </c>
      <c r="Y558">
        <v>9</v>
      </c>
      <c r="Z558">
        <v>8</v>
      </c>
      <c r="AA558">
        <f t="shared" si="41"/>
        <v>0</v>
      </c>
      <c r="AB558">
        <f t="shared" si="42"/>
        <v>1</v>
      </c>
      <c r="AC558">
        <f t="shared" si="43"/>
        <v>1</v>
      </c>
      <c r="AD558" s="1">
        <f t="shared" si="44"/>
        <v>8.6666666666666661</v>
      </c>
    </row>
    <row r="559" spans="1:30" x14ac:dyDescent="0.35">
      <c r="A559" t="s">
        <v>50</v>
      </c>
      <c r="B559">
        <v>15</v>
      </c>
      <c r="C559" t="s">
        <v>35</v>
      </c>
      <c r="D559" t="s">
        <v>47</v>
      </c>
      <c r="E559" t="s">
        <v>37</v>
      </c>
      <c r="F559" t="s">
        <v>48</v>
      </c>
      <c r="G559" t="s">
        <v>45</v>
      </c>
      <c r="H559">
        <v>1</v>
      </c>
      <c r="I559">
        <v>0</v>
      </c>
      <c r="J559" t="s">
        <v>43</v>
      </c>
      <c r="K559" t="s">
        <v>43</v>
      </c>
      <c r="L559" t="s">
        <v>43</v>
      </c>
      <c r="M559" t="s">
        <v>43</v>
      </c>
      <c r="N559" t="s">
        <v>43</v>
      </c>
      <c r="O559">
        <v>4</v>
      </c>
      <c r="P559">
        <v>5</v>
      </c>
      <c r="Q559">
        <v>5</v>
      </c>
      <c r="R559">
        <v>2</v>
      </c>
      <c r="S559">
        <v>5</v>
      </c>
      <c r="T559">
        <f t="shared" si="40"/>
        <v>7</v>
      </c>
      <c r="U559" t="str" cm="1">
        <f t="array" ref="U559">_xlfn.IFS(T559&lt;3, "low", AND(T559&gt;=3, T559&lt;5), "med", T559&gt;=5, "high")</f>
        <v>high</v>
      </c>
      <c r="V559">
        <v>0</v>
      </c>
      <c r="W559" t="str" cm="1">
        <f t="array" ref="W559">_xlfn.IFS(V559&lt;5, "low", AND(V559&gt;=5, V559&lt;10), "med", V559&gt;=10, "high")</f>
        <v>low</v>
      </c>
      <c r="X559">
        <v>12</v>
      </c>
      <c r="Y559">
        <v>11</v>
      </c>
      <c r="Z559">
        <v>11</v>
      </c>
      <c r="AA559">
        <f t="shared" si="41"/>
        <v>1</v>
      </c>
      <c r="AB559">
        <f t="shared" si="42"/>
        <v>0</v>
      </c>
      <c r="AC559">
        <f t="shared" si="43"/>
        <v>1</v>
      </c>
      <c r="AD559" s="1">
        <f t="shared" si="44"/>
        <v>11.333333333333334</v>
      </c>
    </row>
    <row r="560" spans="1:30" x14ac:dyDescent="0.35">
      <c r="A560" t="s">
        <v>50</v>
      </c>
      <c r="B560">
        <v>18</v>
      </c>
      <c r="C560" t="s">
        <v>35</v>
      </c>
      <c r="D560" t="s">
        <v>47</v>
      </c>
      <c r="E560" t="s">
        <v>44</v>
      </c>
      <c r="F560" t="s">
        <v>45</v>
      </c>
      <c r="G560" t="s">
        <v>45</v>
      </c>
      <c r="H560">
        <v>1</v>
      </c>
      <c r="I560">
        <v>2</v>
      </c>
      <c r="J560" t="s">
        <v>43</v>
      </c>
      <c r="K560" t="s">
        <v>43</v>
      </c>
      <c r="L560" t="s">
        <v>43</v>
      </c>
      <c r="M560" t="s">
        <v>43</v>
      </c>
      <c r="N560" t="s">
        <v>42</v>
      </c>
      <c r="O560">
        <v>2</v>
      </c>
      <c r="P560">
        <v>3</v>
      </c>
      <c r="Q560">
        <v>5</v>
      </c>
      <c r="R560">
        <v>2</v>
      </c>
      <c r="S560">
        <v>5</v>
      </c>
      <c r="T560">
        <f t="shared" si="40"/>
        <v>7</v>
      </c>
      <c r="U560" t="str" cm="1">
        <f t="array" ref="U560">_xlfn.IFS(T560&lt;3, "low", AND(T560&gt;=3, T560&lt;5), "med", T560&gt;=5, "high")</f>
        <v>high</v>
      </c>
      <c r="V560">
        <v>0</v>
      </c>
      <c r="W560" t="str" cm="1">
        <f t="array" ref="W560">_xlfn.IFS(V560&lt;5, "low", AND(V560&gt;=5, V560&lt;10), "med", V560&gt;=10, "high")</f>
        <v>low</v>
      </c>
      <c r="X560">
        <v>11</v>
      </c>
      <c r="Y560">
        <v>9</v>
      </c>
      <c r="Z560">
        <v>0</v>
      </c>
      <c r="AA560">
        <f t="shared" si="41"/>
        <v>1</v>
      </c>
      <c r="AB560">
        <f t="shared" si="42"/>
        <v>1</v>
      </c>
      <c r="AC560">
        <f t="shared" si="43"/>
        <v>2</v>
      </c>
      <c r="AD560" s="1">
        <f t="shared" si="44"/>
        <v>6.666666666666667</v>
      </c>
    </row>
    <row r="561" spans="1:30" x14ac:dyDescent="0.35">
      <c r="A561" t="s">
        <v>50</v>
      </c>
      <c r="B561">
        <v>16</v>
      </c>
      <c r="C561" t="s">
        <v>35</v>
      </c>
      <c r="D561" t="s">
        <v>47</v>
      </c>
      <c r="E561" t="s">
        <v>44</v>
      </c>
      <c r="F561" t="s">
        <v>38</v>
      </c>
      <c r="G561" t="s">
        <v>45</v>
      </c>
      <c r="H561">
        <v>1</v>
      </c>
      <c r="I561">
        <v>1</v>
      </c>
      <c r="J561" t="s">
        <v>43</v>
      </c>
      <c r="K561" t="s">
        <v>43</v>
      </c>
      <c r="L561" t="s">
        <v>43</v>
      </c>
      <c r="M561" t="s">
        <v>42</v>
      </c>
      <c r="N561" t="s">
        <v>42</v>
      </c>
      <c r="O561">
        <v>4</v>
      </c>
      <c r="P561">
        <v>4</v>
      </c>
      <c r="Q561">
        <v>4</v>
      </c>
      <c r="R561">
        <v>3</v>
      </c>
      <c r="S561">
        <v>5</v>
      </c>
      <c r="T561">
        <f t="shared" si="40"/>
        <v>8</v>
      </c>
      <c r="U561" t="str" cm="1">
        <f t="array" ref="U561">_xlfn.IFS(T561&lt;3, "low", AND(T561&gt;=3, T561&lt;5), "med", T561&gt;=5, "high")</f>
        <v>high</v>
      </c>
      <c r="V561">
        <v>6</v>
      </c>
      <c r="W561" t="str" cm="1">
        <f t="array" ref="W561">_xlfn.IFS(V561&lt;5, "low", AND(V561&gt;=5, V561&lt;10), "med", V561&gt;=10, "high")</f>
        <v>med</v>
      </c>
      <c r="X561">
        <v>9</v>
      </c>
      <c r="Y561">
        <v>10</v>
      </c>
      <c r="Z561">
        <v>10</v>
      </c>
      <c r="AA561">
        <f t="shared" si="41"/>
        <v>0</v>
      </c>
      <c r="AB561">
        <f t="shared" si="42"/>
        <v>0</v>
      </c>
      <c r="AC561">
        <f t="shared" si="43"/>
        <v>0</v>
      </c>
      <c r="AD561" s="1">
        <f t="shared" si="44"/>
        <v>9.6666666666666661</v>
      </c>
    </row>
    <row r="562" spans="1:30" x14ac:dyDescent="0.35">
      <c r="A562" t="s">
        <v>34</v>
      </c>
      <c r="B562">
        <v>15</v>
      </c>
      <c r="C562" t="s">
        <v>52</v>
      </c>
      <c r="D562" t="s">
        <v>36</v>
      </c>
      <c r="E562" t="s">
        <v>44</v>
      </c>
      <c r="F562" t="s">
        <v>48</v>
      </c>
      <c r="G562" t="s">
        <v>48</v>
      </c>
      <c r="H562">
        <v>3</v>
      </c>
      <c r="I562">
        <v>0</v>
      </c>
      <c r="J562" t="s">
        <v>43</v>
      </c>
      <c r="K562" t="s">
        <v>42</v>
      </c>
      <c r="L562" t="s">
        <v>42</v>
      </c>
      <c r="M562" t="s">
        <v>42</v>
      </c>
      <c r="N562" t="s">
        <v>42</v>
      </c>
      <c r="O562">
        <v>4</v>
      </c>
      <c r="P562">
        <v>2</v>
      </c>
      <c r="Q562">
        <v>1</v>
      </c>
      <c r="R562">
        <v>2</v>
      </c>
      <c r="S562">
        <v>3</v>
      </c>
      <c r="T562">
        <f t="shared" si="40"/>
        <v>5</v>
      </c>
      <c r="U562" t="str" cm="1">
        <f t="array" ref="U562">_xlfn.IFS(T562&lt;3, "low", AND(T562&gt;=3, T562&lt;5), "med", T562&gt;=5, "high")</f>
        <v>high</v>
      </c>
      <c r="V562">
        <v>2</v>
      </c>
      <c r="W562" t="str" cm="1">
        <f t="array" ref="W562">_xlfn.IFS(V562&lt;5, "low", AND(V562&gt;=5, V562&lt;10), "med", V562&gt;=10, "high")</f>
        <v>low</v>
      </c>
      <c r="X562">
        <v>13</v>
      </c>
      <c r="Y562">
        <v>13</v>
      </c>
      <c r="Z562">
        <v>13</v>
      </c>
      <c r="AA562">
        <f t="shared" si="41"/>
        <v>0</v>
      </c>
      <c r="AB562">
        <f t="shared" si="42"/>
        <v>0</v>
      </c>
      <c r="AC562">
        <f t="shared" si="43"/>
        <v>0</v>
      </c>
      <c r="AD562" s="1">
        <f t="shared" si="44"/>
        <v>13</v>
      </c>
    </row>
    <row r="563" spans="1:30" x14ac:dyDescent="0.35">
      <c r="A563" t="s">
        <v>50</v>
      </c>
      <c r="B563">
        <v>19</v>
      </c>
      <c r="C563" t="s">
        <v>35</v>
      </c>
      <c r="D563" t="s">
        <v>36</v>
      </c>
      <c r="E563" t="s">
        <v>44</v>
      </c>
      <c r="F563" t="s">
        <v>48</v>
      </c>
      <c r="G563" t="s">
        <v>38</v>
      </c>
      <c r="H563">
        <v>1</v>
      </c>
      <c r="I563">
        <v>0</v>
      </c>
      <c r="J563" t="s">
        <v>43</v>
      </c>
      <c r="K563" t="s">
        <v>42</v>
      </c>
      <c r="L563" t="s">
        <v>43</v>
      </c>
      <c r="M563" t="s">
        <v>43</v>
      </c>
      <c r="N563" t="s">
        <v>42</v>
      </c>
      <c r="O563">
        <v>4</v>
      </c>
      <c r="P563">
        <v>5</v>
      </c>
      <c r="Q563">
        <v>4</v>
      </c>
      <c r="R563">
        <v>1</v>
      </c>
      <c r="S563">
        <v>1</v>
      </c>
      <c r="T563">
        <f t="shared" si="40"/>
        <v>2</v>
      </c>
      <c r="U563" t="str" cm="1">
        <f t="array" ref="U563">_xlfn.IFS(T563&lt;3, "low", AND(T563&gt;=3, T563&lt;5), "med", T563&gt;=5, "high")</f>
        <v>low</v>
      </c>
      <c r="V563">
        <v>6</v>
      </c>
      <c r="W563" t="str" cm="1">
        <f t="array" ref="W563">_xlfn.IFS(V563&lt;5, "low", AND(V563&gt;=5, V563&lt;10), "med", V563&gt;=10, "high")</f>
        <v>med</v>
      </c>
      <c r="X563">
        <v>11</v>
      </c>
      <c r="Y563">
        <v>9</v>
      </c>
      <c r="Z563">
        <v>11</v>
      </c>
      <c r="AA563">
        <f t="shared" si="41"/>
        <v>1</v>
      </c>
      <c r="AB563">
        <f t="shared" si="42"/>
        <v>0</v>
      </c>
      <c r="AC563">
        <f t="shared" si="43"/>
        <v>1</v>
      </c>
      <c r="AD563" s="1">
        <f t="shared" si="44"/>
        <v>10.333333333333334</v>
      </c>
    </row>
    <row r="564" spans="1:30" x14ac:dyDescent="0.35">
      <c r="A564" t="s">
        <v>34</v>
      </c>
      <c r="B564">
        <v>17</v>
      </c>
      <c r="C564" t="s">
        <v>35</v>
      </c>
      <c r="D564" t="s">
        <v>36</v>
      </c>
      <c r="E564" t="s">
        <v>44</v>
      </c>
      <c r="F564" t="s">
        <v>45</v>
      </c>
      <c r="G564" t="s">
        <v>39</v>
      </c>
      <c r="H564">
        <v>1</v>
      </c>
      <c r="I564">
        <v>0</v>
      </c>
      <c r="J564" t="s">
        <v>42</v>
      </c>
      <c r="K564" t="s">
        <v>42</v>
      </c>
      <c r="L564" t="s">
        <v>43</v>
      </c>
      <c r="M564" t="s">
        <v>43</v>
      </c>
      <c r="N564" t="s">
        <v>42</v>
      </c>
      <c r="O564">
        <v>4</v>
      </c>
      <c r="P564">
        <v>2</v>
      </c>
      <c r="Q564">
        <v>1</v>
      </c>
      <c r="R564">
        <v>1</v>
      </c>
      <c r="S564">
        <v>1</v>
      </c>
      <c r="T564">
        <f t="shared" si="40"/>
        <v>2</v>
      </c>
      <c r="U564" t="str" cm="1">
        <f t="array" ref="U564">_xlfn.IFS(T564&lt;3, "low", AND(T564&gt;=3, T564&lt;5), "med", T564&gt;=5, "high")</f>
        <v>low</v>
      </c>
      <c r="V564">
        <v>0</v>
      </c>
      <c r="W564" t="str" cm="1">
        <f t="array" ref="W564">_xlfn.IFS(V564&lt;5, "low", AND(V564&gt;=5, V564&lt;10), "med", V564&gt;=10, "high")</f>
        <v>low</v>
      </c>
      <c r="X564">
        <v>13</v>
      </c>
      <c r="Y564">
        <v>13</v>
      </c>
      <c r="Z564">
        <v>13</v>
      </c>
      <c r="AA564">
        <f t="shared" si="41"/>
        <v>0</v>
      </c>
      <c r="AB564">
        <f t="shared" si="42"/>
        <v>0</v>
      </c>
      <c r="AC564">
        <f t="shared" si="43"/>
        <v>0</v>
      </c>
      <c r="AD564" s="1">
        <f t="shared" si="44"/>
        <v>13</v>
      </c>
    </row>
    <row r="565" spans="1:30" x14ac:dyDescent="0.35">
      <c r="A565" t="s">
        <v>50</v>
      </c>
      <c r="B565">
        <v>15</v>
      </c>
      <c r="C565" t="s">
        <v>52</v>
      </c>
      <c r="D565" t="s">
        <v>36</v>
      </c>
      <c r="E565" t="s">
        <v>44</v>
      </c>
      <c r="F565" t="s">
        <v>38</v>
      </c>
      <c r="G565" t="s">
        <v>48</v>
      </c>
      <c r="H565">
        <v>2</v>
      </c>
      <c r="I565">
        <v>0</v>
      </c>
      <c r="J565" t="s">
        <v>42</v>
      </c>
      <c r="K565" t="s">
        <v>43</v>
      </c>
      <c r="L565" t="s">
        <v>42</v>
      </c>
      <c r="M565" t="s">
        <v>42</v>
      </c>
      <c r="N565" t="s">
        <v>43</v>
      </c>
      <c r="O565">
        <v>4</v>
      </c>
      <c r="P565">
        <v>4</v>
      </c>
      <c r="Q565">
        <v>4</v>
      </c>
      <c r="R565">
        <v>1</v>
      </c>
      <c r="S565">
        <v>1</v>
      </c>
      <c r="T565">
        <f t="shared" si="40"/>
        <v>2</v>
      </c>
      <c r="U565" t="str" cm="1">
        <f t="array" ref="U565">_xlfn.IFS(T565&lt;3, "low", AND(T565&gt;=3, T565&lt;5), "med", T565&gt;=5, "high")</f>
        <v>low</v>
      </c>
      <c r="V565">
        <v>0</v>
      </c>
      <c r="W565" t="str" cm="1">
        <f t="array" ref="W565">_xlfn.IFS(V565&lt;5, "low", AND(V565&gt;=5, V565&lt;10), "med", V565&gt;=10, "high")</f>
        <v>low</v>
      </c>
      <c r="X565">
        <v>7</v>
      </c>
      <c r="Y565">
        <v>8</v>
      </c>
      <c r="Z565">
        <v>8</v>
      </c>
      <c r="AA565">
        <f t="shared" si="41"/>
        <v>0</v>
      </c>
      <c r="AB565">
        <f t="shared" si="42"/>
        <v>0</v>
      </c>
      <c r="AC565">
        <f t="shared" si="43"/>
        <v>0</v>
      </c>
      <c r="AD565" s="1">
        <f t="shared" si="44"/>
        <v>7.666666666666667</v>
      </c>
    </row>
    <row r="566" spans="1:30" x14ac:dyDescent="0.35">
      <c r="A566" t="s">
        <v>50</v>
      </c>
      <c r="B566">
        <v>17</v>
      </c>
      <c r="C566" t="s">
        <v>52</v>
      </c>
      <c r="D566" t="s">
        <v>47</v>
      </c>
      <c r="E566" t="s">
        <v>44</v>
      </c>
      <c r="F566" t="s">
        <v>45</v>
      </c>
      <c r="G566" t="s">
        <v>45</v>
      </c>
      <c r="H566">
        <v>1</v>
      </c>
      <c r="I566">
        <v>3</v>
      </c>
      <c r="J566" t="s">
        <v>43</v>
      </c>
      <c r="K566" t="s">
        <v>43</v>
      </c>
      <c r="L566" t="s">
        <v>43</v>
      </c>
      <c r="M566" t="s">
        <v>43</v>
      </c>
      <c r="N566" t="s">
        <v>43</v>
      </c>
      <c r="O566">
        <v>2</v>
      </c>
      <c r="P566">
        <v>2</v>
      </c>
      <c r="Q566">
        <v>2</v>
      </c>
      <c r="R566">
        <v>3</v>
      </c>
      <c r="S566">
        <v>3</v>
      </c>
      <c r="T566">
        <f t="shared" si="40"/>
        <v>6</v>
      </c>
      <c r="U566" t="str" cm="1">
        <f t="array" ref="U566">_xlfn.IFS(T566&lt;3, "low", AND(T566&gt;=3, T566&lt;5), "med", T566&gt;=5, "high")</f>
        <v>high</v>
      </c>
      <c r="V566">
        <v>14</v>
      </c>
      <c r="W566" t="str" cm="1">
        <f t="array" ref="W566">_xlfn.IFS(V566&lt;5, "low", AND(V566&gt;=5, V566&lt;10), "med", V566&gt;=10, "high")</f>
        <v>high</v>
      </c>
      <c r="X566">
        <v>9</v>
      </c>
      <c r="Y566">
        <v>8</v>
      </c>
      <c r="Z566">
        <v>10</v>
      </c>
      <c r="AA566">
        <f t="shared" si="41"/>
        <v>1</v>
      </c>
      <c r="AB566">
        <f t="shared" si="42"/>
        <v>0</v>
      </c>
      <c r="AC566">
        <f t="shared" si="43"/>
        <v>1</v>
      </c>
      <c r="AD566" s="1">
        <f t="shared" si="44"/>
        <v>9</v>
      </c>
    </row>
    <row r="567" spans="1:30" x14ac:dyDescent="0.35">
      <c r="A567" t="s">
        <v>34</v>
      </c>
      <c r="B567">
        <v>18</v>
      </c>
      <c r="C567" t="s">
        <v>52</v>
      </c>
      <c r="D567" t="s">
        <v>36</v>
      </c>
      <c r="E567" t="s">
        <v>44</v>
      </c>
      <c r="F567" t="s">
        <v>38</v>
      </c>
      <c r="G567" t="s">
        <v>45</v>
      </c>
      <c r="H567">
        <v>1</v>
      </c>
      <c r="I567">
        <v>3</v>
      </c>
      <c r="J567" t="s">
        <v>43</v>
      </c>
      <c r="K567" t="s">
        <v>42</v>
      </c>
      <c r="L567" t="s">
        <v>43</v>
      </c>
      <c r="M567" t="s">
        <v>42</v>
      </c>
      <c r="N567" t="s">
        <v>43</v>
      </c>
      <c r="O567">
        <v>5</v>
      </c>
      <c r="P567">
        <v>2</v>
      </c>
      <c r="Q567">
        <v>5</v>
      </c>
      <c r="R567">
        <v>1</v>
      </c>
      <c r="S567">
        <v>5</v>
      </c>
      <c r="T567">
        <f t="shared" si="40"/>
        <v>6</v>
      </c>
      <c r="U567" t="str" cm="1">
        <f t="array" ref="U567">_xlfn.IFS(T567&lt;3, "low", AND(T567&gt;=3, T567&lt;5), "med", T567&gt;=5, "high")</f>
        <v>high</v>
      </c>
      <c r="V567">
        <v>6</v>
      </c>
      <c r="W567" t="str" cm="1">
        <f t="array" ref="W567">_xlfn.IFS(V567&lt;5, "low", AND(V567&gt;=5, V567&lt;10), "med", V567&gt;=10, "high")</f>
        <v>med</v>
      </c>
      <c r="X567">
        <v>11</v>
      </c>
      <c r="Y567">
        <v>10</v>
      </c>
      <c r="Z567">
        <v>11</v>
      </c>
      <c r="AA567">
        <f t="shared" si="41"/>
        <v>1</v>
      </c>
      <c r="AB567">
        <f t="shared" si="42"/>
        <v>0</v>
      </c>
      <c r="AC567">
        <f t="shared" si="43"/>
        <v>1</v>
      </c>
      <c r="AD567" s="1">
        <f t="shared" si="44"/>
        <v>10.666666666666666</v>
      </c>
    </row>
    <row r="568" spans="1:30" x14ac:dyDescent="0.35">
      <c r="A568" t="s">
        <v>50</v>
      </c>
      <c r="B568">
        <v>16</v>
      </c>
      <c r="C568" t="s">
        <v>52</v>
      </c>
      <c r="D568" t="s">
        <v>36</v>
      </c>
      <c r="E568" t="s">
        <v>44</v>
      </c>
      <c r="F568" t="s">
        <v>38</v>
      </c>
      <c r="G568" t="s">
        <v>45</v>
      </c>
      <c r="H568">
        <v>1</v>
      </c>
      <c r="I568">
        <v>0</v>
      </c>
      <c r="J568" t="s">
        <v>43</v>
      </c>
      <c r="K568" t="s">
        <v>43</v>
      </c>
      <c r="L568" t="s">
        <v>43</v>
      </c>
      <c r="M568" t="s">
        <v>43</v>
      </c>
      <c r="N568" t="s">
        <v>43</v>
      </c>
      <c r="O568">
        <v>4</v>
      </c>
      <c r="P568">
        <v>2</v>
      </c>
      <c r="Q568">
        <v>2</v>
      </c>
      <c r="R568">
        <v>1</v>
      </c>
      <c r="S568">
        <v>2</v>
      </c>
      <c r="T568">
        <f t="shared" si="40"/>
        <v>3</v>
      </c>
      <c r="U568" t="str" cm="1">
        <f t="array" ref="U568">_xlfn.IFS(T568&lt;3, "low", AND(T568&gt;=3, T568&lt;5), "med", T568&gt;=5, "high")</f>
        <v>med</v>
      </c>
      <c r="V568">
        <v>4</v>
      </c>
      <c r="W568" t="str" cm="1">
        <f t="array" ref="W568">_xlfn.IFS(V568&lt;5, "low", AND(V568&gt;=5, V568&lt;10), "med", V568&gt;=10, "high")</f>
        <v>low</v>
      </c>
      <c r="X568">
        <v>12</v>
      </c>
      <c r="Y568">
        <v>10</v>
      </c>
      <c r="Z568">
        <v>11</v>
      </c>
      <c r="AA568">
        <f t="shared" si="41"/>
        <v>1</v>
      </c>
      <c r="AB568">
        <f t="shared" si="42"/>
        <v>0</v>
      </c>
      <c r="AC568">
        <f t="shared" si="43"/>
        <v>1</v>
      </c>
      <c r="AD568" s="1">
        <f t="shared" si="44"/>
        <v>11</v>
      </c>
    </row>
    <row r="569" spans="1:30" x14ac:dyDescent="0.35">
      <c r="A569" t="s">
        <v>50</v>
      </c>
      <c r="B569">
        <v>16</v>
      </c>
      <c r="C569" t="s">
        <v>35</v>
      </c>
      <c r="D569" t="s">
        <v>36</v>
      </c>
      <c r="E569" t="s">
        <v>44</v>
      </c>
      <c r="F569" t="s">
        <v>45</v>
      </c>
      <c r="G569" t="s">
        <v>48</v>
      </c>
      <c r="H569">
        <v>2</v>
      </c>
      <c r="I569">
        <v>1</v>
      </c>
      <c r="J569" t="s">
        <v>43</v>
      </c>
      <c r="K569" t="s">
        <v>42</v>
      </c>
      <c r="L569" t="s">
        <v>43</v>
      </c>
      <c r="M569" t="s">
        <v>43</v>
      </c>
      <c r="N569" t="s">
        <v>42</v>
      </c>
      <c r="O569">
        <v>4</v>
      </c>
      <c r="P569">
        <v>5</v>
      </c>
      <c r="Q569">
        <v>5</v>
      </c>
      <c r="R569">
        <v>4</v>
      </c>
      <c r="S569">
        <v>4</v>
      </c>
      <c r="T569">
        <f t="shared" si="40"/>
        <v>8</v>
      </c>
      <c r="U569" t="str" cm="1">
        <f t="array" ref="U569">_xlfn.IFS(T569&lt;3, "low", AND(T569&gt;=3, T569&lt;5), "med", T569&gt;=5, "high")</f>
        <v>high</v>
      </c>
      <c r="V569">
        <v>0</v>
      </c>
      <c r="W569" t="str" cm="1">
        <f t="array" ref="W569">_xlfn.IFS(V569&lt;5, "low", AND(V569&gt;=5, V569&lt;10), "med", V569&gt;=10, "high")</f>
        <v>low</v>
      </c>
      <c r="X569">
        <v>10</v>
      </c>
      <c r="Y569">
        <v>10</v>
      </c>
      <c r="Z569">
        <v>1</v>
      </c>
      <c r="AA569">
        <f t="shared" si="41"/>
        <v>0</v>
      </c>
      <c r="AB569">
        <f t="shared" si="42"/>
        <v>1</v>
      </c>
      <c r="AC569">
        <f t="shared" si="43"/>
        <v>1</v>
      </c>
      <c r="AD569" s="1">
        <f t="shared" si="44"/>
        <v>7</v>
      </c>
    </row>
    <row r="570" spans="1:30" x14ac:dyDescent="0.35">
      <c r="A570" t="s">
        <v>50</v>
      </c>
      <c r="B570">
        <v>16</v>
      </c>
      <c r="C570" t="s">
        <v>35</v>
      </c>
      <c r="D570" t="s">
        <v>47</v>
      </c>
      <c r="E570" t="s">
        <v>44</v>
      </c>
      <c r="F570" t="s">
        <v>28</v>
      </c>
      <c r="G570" t="s">
        <v>48</v>
      </c>
      <c r="H570">
        <v>1</v>
      </c>
      <c r="I570">
        <v>2</v>
      </c>
      <c r="J570" t="s">
        <v>43</v>
      </c>
      <c r="K570" t="s">
        <v>43</v>
      </c>
      <c r="L570" t="s">
        <v>43</v>
      </c>
      <c r="M570" t="s">
        <v>43</v>
      </c>
      <c r="N570" t="s">
        <v>43</v>
      </c>
      <c r="O570">
        <v>4</v>
      </c>
      <c r="P570">
        <v>4</v>
      </c>
      <c r="Q570">
        <v>5</v>
      </c>
      <c r="R570">
        <v>3</v>
      </c>
      <c r="S570">
        <v>5</v>
      </c>
      <c r="T570">
        <f t="shared" si="40"/>
        <v>8</v>
      </c>
      <c r="U570" t="str" cm="1">
        <f t="array" ref="U570">_xlfn.IFS(T570&lt;3, "low", AND(T570&gt;=3, T570&lt;5), "med", T570&gt;=5, "high")</f>
        <v>high</v>
      </c>
      <c r="V570">
        <v>0</v>
      </c>
      <c r="W570" t="str" cm="1">
        <f t="array" ref="W570">_xlfn.IFS(V570&lt;5, "low", AND(V570&gt;=5, V570&lt;10), "med", V570&gt;=10, "high")</f>
        <v>low</v>
      </c>
      <c r="X570">
        <v>9</v>
      </c>
      <c r="Y570">
        <v>8</v>
      </c>
      <c r="Z570">
        <v>10</v>
      </c>
      <c r="AA570">
        <f t="shared" si="41"/>
        <v>1</v>
      </c>
      <c r="AB570">
        <f t="shared" si="42"/>
        <v>0</v>
      </c>
      <c r="AC570">
        <f t="shared" si="43"/>
        <v>1</v>
      </c>
      <c r="AD570" s="1">
        <f t="shared" si="44"/>
        <v>9</v>
      </c>
    </row>
    <row r="571" spans="1:30" x14ac:dyDescent="0.35">
      <c r="A571" t="s">
        <v>50</v>
      </c>
      <c r="B571">
        <v>17</v>
      </c>
      <c r="C571" t="s">
        <v>52</v>
      </c>
      <c r="D571" t="s">
        <v>47</v>
      </c>
      <c r="E571" t="s">
        <v>44</v>
      </c>
      <c r="F571" t="s">
        <v>38</v>
      </c>
      <c r="G571" t="s">
        <v>45</v>
      </c>
      <c r="H571">
        <v>1</v>
      </c>
      <c r="I571">
        <v>1</v>
      </c>
      <c r="J571" t="s">
        <v>43</v>
      </c>
      <c r="K571" t="s">
        <v>43</v>
      </c>
      <c r="L571" t="s">
        <v>42</v>
      </c>
      <c r="M571" t="s">
        <v>42</v>
      </c>
      <c r="N571" t="s">
        <v>42</v>
      </c>
      <c r="O571">
        <v>3</v>
      </c>
      <c r="P571">
        <v>3</v>
      </c>
      <c r="Q571">
        <v>2</v>
      </c>
      <c r="R571">
        <v>2</v>
      </c>
      <c r="S571">
        <v>2</v>
      </c>
      <c r="T571">
        <f t="shared" si="40"/>
        <v>4</v>
      </c>
      <c r="U571" t="str" cm="1">
        <f t="array" ref="U571">_xlfn.IFS(T571&lt;3, "low", AND(T571&gt;=3, T571&lt;5), "med", T571&gt;=5, "high")</f>
        <v>med</v>
      </c>
      <c r="V571">
        <v>8</v>
      </c>
      <c r="W571" t="str" cm="1">
        <f t="array" ref="W571">_xlfn.IFS(V571&lt;5, "low", AND(V571&gt;=5, V571&lt;10), "med", V571&gt;=10, "high")</f>
        <v>med</v>
      </c>
      <c r="X571">
        <v>8</v>
      </c>
      <c r="Y571">
        <v>8</v>
      </c>
      <c r="Z571">
        <v>9</v>
      </c>
      <c r="AA571">
        <f t="shared" si="41"/>
        <v>0</v>
      </c>
      <c r="AB571">
        <f t="shared" si="42"/>
        <v>0</v>
      </c>
      <c r="AC571">
        <f t="shared" si="43"/>
        <v>0</v>
      </c>
      <c r="AD571" s="1">
        <f t="shared" si="44"/>
        <v>8.3333333333333339</v>
      </c>
    </row>
    <row r="572" spans="1:30" x14ac:dyDescent="0.35">
      <c r="A572" t="s">
        <v>50</v>
      </c>
      <c r="B572">
        <v>17</v>
      </c>
      <c r="C572" t="s">
        <v>52</v>
      </c>
      <c r="D572" t="s">
        <v>36</v>
      </c>
      <c r="E572" t="s">
        <v>44</v>
      </c>
      <c r="F572" t="s">
        <v>45</v>
      </c>
      <c r="G572" t="s">
        <v>45</v>
      </c>
      <c r="H572">
        <v>2</v>
      </c>
      <c r="I572">
        <v>2</v>
      </c>
      <c r="J572" t="s">
        <v>42</v>
      </c>
      <c r="K572" t="s">
        <v>42</v>
      </c>
      <c r="L572" t="s">
        <v>43</v>
      </c>
      <c r="M572" t="s">
        <v>43</v>
      </c>
      <c r="N572" t="s">
        <v>42</v>
      </c>
      <c r="O572">
        <v>4</v>
      </c>
      <c r="P572">
        <v>4</v>
      </c>
      <c r="Q572">
        <v>4</v>
      </c>
      <c r="R572">
        <v>1</v>
      </c>
      <c r="S572">
        <v>4</v>
      </c>
      <c r="T572">
        <f t="shared" si="40"/>
        <v>5</v>
      </c>
      <c r="U572" t="str" cm="1">
        <f t="array" ref="U572">_xlfn.IFS(T572&lt;3, "low", AND(T572&gt;=3, T572&lt;5), "med", T572&gt;=5, "high")</f>
        <v>high</v>
      </c>
      <c r="V572">
        <v>4</v>
      </c>
      <c r="W572" t="str" cm="1">
        <f t="array" ref="W572">_xlfn.IFS(V572&lt;5, "low", AND(V572&gt;=5, V572&lt;10), "med", V572&gt;=10, "high")</f>
        <v>low</v>
      </c>
      <c r="X572">
        <v>7</v>
      </c>
      <c r="Y572">
        <v>6</v>
      </c>
      <c r="Z572">
        <v>8</v>
      </c>
      <c r="AA572">
        <f t="shared" si="41"/>
        <v>1</v>
      </c>
      <c r="AB572">
        <f t="shared" si="42"/>
        <v>0</v>
      </c>
      <c r="AC572">
        <f t="shared" si="43"/>
        <v>1</v>
      </c>
      <c r="AD572" s="1">
        <f t="shared" si="44"/>
        <v>7</v>
      </c>
    </row>
    <row r="573" spans="1:30" x14ac:dyDescent="0.35">
      <c r="A573" t="s">
        <v>50</v>
      </c>
      <c r="B573">
        <v>15</v>
      </c>
      <c r="C573" t="s">
        <v>35</v>
      </c>
      <c r="D573" t="s">
        <v>47</v>
      </c>
      <c r="E573" t="s">
        <v>44</v>
      </c>
      <c r="F573" t="s">
        <v>45</v>
      </c>
      <c r="G573" t="s">
        <v>45</v>
      </c>
      <c r="H573">
        <v>1</v>
      </c>
      <c r="I573">
        <v>0</v>
      </c>
      <c r="J573" t="s">
        <v>43</v>
      </c>
      <c r="K573" t="s">
        <v>43</v>
      </c>
      <c r="L573" t="s">
        <v>43</v>
      </c>
      <c r="M573" t="s">
        <v>42</v>
      </c>
      <c r="N573" t="s">
        <v>43</v>
      </c>
      <c r="O573">
        <v>4</v>
      </c>
      <c r="P573">
        <v>4</v>
      </c>
      <c r="Q573">
        <v>4</v>
      </c>
      <c r="R573">
        <v>2</v>
      </c>
      <c r="S573">
        <v>4</v>
      </c>
      <c r="T573">
        <f t="shared" si="40"/>
        <v>6</v>
      </c>
      <c r="U573" t="str" cm="1">
        <f t="array" ref="U573">_xlfn.IFS(T573&lt;3, "low", AND(T573&gt;=3, T573&lt;5), "med", T573&gt;=5, "high")</f>
        <v>high</v>
      </c>
      <c r="V573">
        <v>2</v>
      </c>
      <c r="W573" t="str" cm="1">
        <f t="array" ref="W573">_xlfn.IFS(V573&lt;5, "low", AND(V573&gt;=5, V573&lt;10), "med", V573&gt;=10, "high")</f>
        <v>low</v>
      </c>
      <c r="X573">
        <v>8</v>
      </c>
      <c r="Y573">
        <v>9</v>
      </c>
      <c r="Z573">
        <v>10</v>
      </c>
      <c r="AA573">
        <f t="shared" si="41"/>
        <v>0</v>
      </c>
      <c r="AB573">
        <f t="shared" si="42"/>
        <v>0</v>
      </c>
      <c r="AC573">
        <f t="shared" si="43"/>
        <v>0</v>
      </c>
      <c r="AD573" s="1">
        <f t="shared" si="44"/>
        <v>9</v>
      </c>
    </row>
    <row r="574" spans="1:30" x14ac:dyDescent="0.35">
      <c r="A574" t="s">
        <v>50</v>
      </c>
      <c r="B574">
        <v>16</v>
      </c>
      <c r="C574" t="s">
        <v>35</v>
      </c>
      <c r="D574" t="s">
        <v>36</v>
      </c>
      <c r="E574" t="s">
        <v>44</v>
      </c>
      <c r="F574" t="s">
        <v>38</v>
      </c>
      <c r="G574" t="s">
        <v>48</v>
      </c>
      <c r="H574">
        <v>1</v>
      </c>
      <c r="I574">
        <v>1</v>
      </c>
      <c r="J574" t="s">
        <v>43</v>
      </c>
      <c r="K574" t="s">
        <v>43</v>
      </c>
      <c r="L574" t="s">
        <v>43</v>
      </c>
      <c r="M574" t="s">
        <v>43</v>
      </c>
      <c r="N574" t="s">
        <v>43</v>
      </c>
      <c r="O574">
        <v>5</v>
      </c>
      <c r="P574">
        <v>3</v>
      </c>
      <c r="Q574">
        <v>3</v>
      </c>
      <c r="R574">
        <v>1</v>
      </c>
      <c r="S574">
        <v>4</v>
      </c>
      <c r="T574">
        <f t="shared" si="40"/>
        <v>5</v>
      </c>
      <c r="U574" t="str" cm="1">
        <f t="array" ref="U574">_xlfn.IFS(T574&lt;3, "low", AND(T574&gt;=3, T574&lt;5), "med", T574&gt;=5, "high")</f>
        <v>high</v>
      </c>
      <c r="V574">
        <v>2</v>
      </c>
      <c r="W574" t="str" cm="1">
        <f t="array" ref="W574">_xlfn.IFS(V574&lt;5, "low", AND(V574&gt;=5, V574&lt;10), "med", V574&gt;=10, "high")</f>
        <v>low</v>
      </c>
      <c r="X574">
        <v>9</v>
      </c>
      <c r="Y574">
        <v>8</v>
      </c>
      <c r="Z574">
        <v>8</v>
      </c>
      <c r="AA574">
        <f t="shared" si="41"/>
        <v>1</v>
      </c>
      <c r="AB574">
        <f t="shared" si="42"/>
        <v>0</v>
      </c>
      <c r="AC574">
        <f t="shared" si="43"/>
        <v>1</v>
      </c>
      <c r="AD574" s="1">
        <f t="shared" si="44"/>
        <v>8.3333333333333339</v>
      </c>
    </row>
    <row r="575" spans="1:30" x14ac:dyDescent="0.35">
      <c r="A575" t="s">
        <v>50</v>
      </c>
      <c r="B575">
        <v>17</v>
      </c>
      <c r="C575" t="s">
        <v>52</v>
      </c>
      <c r="D575" t="s">
        <v>47</v>
      </c>
      <c r="E575" t="s">
        <v>44</v>
      </c>
      <c r="F575" t="s">
        <v>45</v>
      </c>
      <c r="G575" t="s">
        <v>48</v>
      </c>
      <c r="H575">
        <v>2</v>
      </c>
      <c r="I575">
        <v>0</v>
      </c>
      <c r="J575" t="s">
        <v>43</v>
      </c>
      <c r="K575" t="s">
        <v>43</v>
      </c>
      <c r="L575" t="s">
        <v>43</v>
      </c>
      <c r="M575" t="s">
        <v>42</v>
      </c>
      <c r="N575" t="s">
        <v>42</v>
      </c>
      <c r="O575">
        <v>5</v>
      </c>
      <c r="P575">
        <v>3</v>
      </c>
      <c r="Q575">
        <v>5</v>
      </c>
      <c r="R575">
        <v>1</v>
      </c>
      <c r="S575">
        <v>5</v>
      </c>
      <c r="T575">
        <f t="shared" si="40"/>
        <v>6</v>
      </c>
      <c r="U575" t="str" cm="1">
        <f t="array" ref="U575">_xlfn.IFS(T575&lt;3, "low", AND(T575&gt;=3, T575&lt;5), "med", T575&gt;=5, "high")</f>
        <v>high</v>
      </c>
      <c r="V575">
        <v>0</v>
      </c>
      <c r="W575" t="str" cm="1">
        <f t="array" ref="W575">_xlfn.IFS(V575&lt;5, "low", AND(V575&gt;=5, V575&lt;10), "med", V575&gt;=10, "high")</f>
        <v>low</v>
      </c>
      <c r="X575">
        <v>8</v>
      </c>
      <c r="Y575">
        <v>8</v>
      </c>
      <c r="Z575">
        <v>8</v>
      </c>
      <c r="AA575">
        <f t="shared" si="41"/>
        <v>0</v>
      </c>
      <c r="AB575">
        <f t="shared" si="42"/>
        <v>0</v>
      </c>
      <c r="AC575">
        <f t="shared" si="43"/>
        <v>0</v>
      </c>
      <c r="AD575" s="1">
        <f t="shared" si="44"/>
        <v>8</v>
      </c>
    </row>
    <row r="576" spans="1:30" x14ac:dyDescent="0.35">
      <c r="A576" t="s">
        <v>50</v>
      </c>
      <c r="B576">
        <v>17</v>
      </c>
      <c r="C576" t="s">
        <v>35</v>
      </c>
      <c r="D576" t="s">
        <v>36</v>
      </c>
      <c r="E576" t="s">
        <v>44</v>
      </c>
      <c r="F576" t="s">
        <v>48</v>
      </c>
      <c r="G576" t="s">
        <v>48</v>
      </c>
      <c r="H576">
        <v>1</v>
      </c>
      <c r="I576">
        <v>3</v>
      </c>
      <c r="J576" t="s">
        <v>43</v>
      </c>
      <c r="K576" t="s">
        <v>42</v>
      </c>
      <c r="L576" t="s">
        <v>43</v>
      </c>
      <c r="M576" t="s">
        <v>42</v>
      </c>
      <c r="N576" t="s">
        <v>43</v>
      </c>
      <c r="O576">
        <v>4</v>
      </c>
      <c r="P576">
        <v>5</v>
      </c>
      <c r="Q576">
        <v>2</v>
      </c>
      <c r="R576">
        <v>1</v>
      </c>
      <c r="S576">
        <v>1</v>
      </c>
      <c r="T576">
        <f t="shared" si="40"/>
        <v>2</v>
      </c>
      <c r="U576" t="str" cm="1">
        <f t="array" ref="U576">_xlfn.IFS(T576&lt;3, "low", AND(T576&gt;=3, T576&lt;5), "med", T576&gt;=5, "high")</f>
        <v>low</v>
      </c>
      <c r="V576">
        <v>10</v>
      </c>
      <c r="W576" t="str" cm="1">
        <f t="array" ref="W576">_xlfn.IFS(V576&lt;5, "low", AND(V576&gt;=5, V576&lt;10), "med", V576&gt;=10, "high")</f>
        <v>high</v>
      </c>
      <c r="X576">
        <v>8</v>
      </c>
      <c r="Y576">
        <v>7</v>
      </c>
      <c r="Z576">
        <v>8</v>
      </c>
      <c r="AA576">
        <f t="shared" si="41"/>
        <v>1</v>
      </c>
      <c r="AB576">
        <f t="shared" si="42"/>
        <v>0</v>
      </c>
      <c r="AC576">
        <f t="shared" si="43"/>
        <v>1</v>
      </c>
      <c r="AD576" s="1">
        <f t="shared" si="44"/>
        <v>7.666666666666667</v>
      </c>
    </row>
    <row r="577" spans="1:30" x14ac:dyDescent="0.35">
      <c r="A577" t="s">
        <v>50</v>
      </c>
      <c r="B577">
        <v>16</v>
      </c>
      <c r="C577" t="s">
        <v>35</v>
      </c>
      <c r="D577" t="s">
        <v>36</v>
      </c>
      <c r="E577" t="s">
        <v>44</v>
      </c>
      <c r="F577" t="s">
        <v>45</v>
      </c>
      <c r="G577" t="s">
        <v>45</v>
      </c>
      <c r="H577">
        <v>2</v>
      </c>
      <c r="I577">
        <v>0</v>
      </c>
      <c r="J577" t="s">
        <v>43</v>
      </c>
      <c r="K577" t="s">
        <v>43</v>
      </c>
      <c r="L577" t="s">
        <v>43</v>
      </c>
      <c r="M577" t="s">
        <v>43</v>
      </c>
      <c r="N577" t="s">
        <v>43</v>
      </c>
      <c r="O577">
        <v>4</v>
      </c>
      <c r="P577">
        <v>3</v>
      </c>
      <c r="Q577">
        <v>5</v>
      </c>
      <c r="R577">
        <v>2</v>
      </c>
      <c r="S577">
        <v>4</v>
      </c>
      <c r="T577">
        <f t="shared" si="40"/>
        <v>6</v>
      </c>
      <c r="U577" t="str" cm="1">
        <f t="array" ref="U577">_xlfn.IFS(T577&lt;3, "low", AND(T577&gt;=3, T577&lt;5), "med", T577&gt;=5, "high")</f>
        <v>high</v>
      </c>
      <c r="V577">
        <v>0</v>
      </c>
      <c r="W577" t="str" cm="1">
        <f t="array" ref="W577">_xlfn.IFS(V577&lt;5, "low", AND(V577&gt;=5, V577&lt;10), "med", V577&gt;=10, "high")</f>
        <v>low</v>
      </c>
      <c r="X577">
        <v>9</v>
      </c>
      <c r="Y577">
        <v>10</v>
      </c>
      <c r="Z577">
        <v>11</v>
      </c>
      <c r="AA577">
        <f t="shared" si="41"/>
        <v>0</v>
      </c>
      <c r="AB577">
        <f t="shared" si="42"/>
        <v>0</v>
      </c>
      <c r="AC577">
        <f t="shared" si="43"/>
        <v>0</v>
      </c>
      <c r="AD577" s="1">
        <f t="shared" si="44"/>
        <v>10</v>
      </c>
    </row>
    <row r="578" spans="1:30" x14ac:dyDescent="0.35">
      <c r="A578" t="s">
        <v>34</v>
      </c>
      <c r="B578">
        <v>16</v>
      </c>
      <c r="C578" t="s">
        <v>35</v>
      </c>
      <c r="D578" t="s">
        <v>36</v>
      </c>
      <c r="E578" t="s">
        <v>44</v>
      </c>
      <c r="F578" t="s">
        <v>28</v>
      </c>
      <c r="G578" t="s">
        <v>48</v>
      </c>
      <c r="H578">
        <v>2</v>
      </c>
      <c r="I578">
        <v>0</v>
      </c>
      <c r="J578" t="s">
        <v>43</v>
      </c>
      <c r="K578" t="s">
        <v>43</v>
      </c>
      <c r="L578" t="s">
        <v>43</v>
      </c>
      <c r="M578" t="s">
        <v>43</v>
      </c>
      <c r="N578" t="s">
        <v>42</v>
      </c>
      <c r="O578">
        <v>4</v>
      </c>
      <c r="P578">
        <v>2</v>
      </c>
      <c r="Q578">
        <v>3</v>
      </c>
      <c r="R578">
        <v>1</v>
      </c>
      <c r="S578">
        <v>1</v>
      </c>
      <c r="T578">
        <f t="shared" si="40"/>
        <v>2</v>
      </c>
      <c r="U578" t="str" cm="1">
        <f t="array" ref="U578">_xlfn.IFS(T578&lt;3, "low", AND(T578&gt;=3, T578&lt;5), "med", T578&gt;=5, "high")</f>
        <v>low</v>
      </c>
      <c r="V578">
        <v>0</v>
      </c>
      <c r="W578" t="str" cm="1">
        <f t="array" ref="W578">_xlfn.IFS(V578&lt;5, "low", AND(V578&gt;=5, V578&lt;10), "med", V578&gt;=10, "high")</f>
        <v>low</v>
      </c>
      <c r="X578">
        <v>17</v>
      </c>
      <c r="Y578">
        <v>17</v>
      </c>
      <c r="Z578">
        <v>18</v>
      </c>
      <c r="AA578">
        <f t="shared" si="41"/>
        <v>0</v>
      </c>
      <c r="AB578">
        <f t="shared" si="42"/>
        <v>0</v>
      </c>
      <c r="AC578">
        <f t="shared" si="43"/>
        <v>0</v>
      </c>
      <c r="AD578" s="1">
        <f t="shared" si="44"/>
        <v>17.333333333333332</v>
      </c>
    </row>
    <row r="579" spans="1:30" x14ac:dyDescent="0.35">
      <c r="A579" t="s">
        <v>34</v>
      </c>
      <c r="B579">
        <v>16</v>
      </c>
      <c r="C579" t="s">
        <v>35</v>
      </c>
      <c r="D579" t="s">
        <v>36</v>
      </c>
      <c r="E579" t="s">
        <v>44</v>
      </c>
      <c r="F579" t="s">
        <v>45</v>
      </c>
      <c r="G579" t="s">
        <v>45</v>
      </c>
      <c r="H579">
        <v>2</v>
      </c>
      <c r="I579">
        <v>0</v>
      </c>
      <c r="J579" t="s">
        <v>43</v>
      </c>
      <c r="K579" t="s">
        <v>42</v>
      </c>
      <c r="L579" t="s">
        <v>43</v>
      </c>
      <c r="M579" t="s">
        <v>43</v>
      </c>
      <c r="N579" t="s">
        <v>43</v>
      </c>
      <c r="O579">
        <v>5</v>
      </c>
      <c r="P579">
        <v>1</v>
      </c>
      <c r="Q579">
        <v>5</v>
      </c>
      <c r="R579">
        <v>1</v>
      </c>
      <c r="S579">
        <v>1</v>
      </c>
      <c r="T579">
        <f t="shared" ref="T579:T642" si="45">R579+S579</f>
        <v>2</v>
      </c>
      <c r="U579" t="str" cm="1">
        <f t="array" ref="U579">_xlfn.IFS(T579&lt;3, "low", AND(T579&gt;=3, T579&lt;5), "med", T579&gt;=5, "high")</f>
        <v>low</v>
      </c>
      <c r="V579">
        <v>0</v>
      </c>
      <c r="W579" t="str" cm="1">
        <f t="array" ref="W579">_xlfn.IFS(V579&lt;5, "low", AND(V579&gt;=5, V579&lt;10), "med", V579&gt;=10, "high")</f>
        <v>low</v>
      </c>
      <c r="X579">
        <v>12</v>
      </c>
      <c r="Y579">
        <v>12</v>
      </c>
      <c r="Z579">
        <v>13</v>
      </c>
      <c r="AA579">
        <f t="shared" ref="AA579:AA642" si="46">IF(Y579&lt;X579,1,0)</f>
        <v>0</v>
      </c>
      <c r="AB579">
        <f t="shared" ref="AB579:AB642" si="47">IF(Z579&lt;Y579,1,0)</f>
        <v>0</v>
      </c>
      <c r="AC579">
        <f t="shared" ref="AC579:AC642" si="48">SUM(AA579:AB579)</f>
        <v>0</v>
      </c>
      <c r="AD579" s="1">
        <f t="shared" ref="AD579:AD642" si="49">AVERAGE(X579:Z579)</f>
        <v>12.333333333333334</v>
      </c>
    </row>
    <row r="580" spans="1:30" x14ac:dyDescent="0.35">
      <c r="A580" t="s">
        <v>34</v>
      </c>
      <c r="B580">
        <v>16</v>
      </c>
      <c r="C580" t="s">
        <v>35</v>
      </c>
      <c r="D580" t="s">
        <v>36</v>
      </c>
      <c r="E580" t="s">
        <v>44</v>
      </c>
      <c r="F580" t="s">
        <v>28</v>
      </c>
      <c r="G580" t="s">
        <v>28</v>
      </c>
      <c r="H580">
        <v>2</v>
      </c>
      <c r="I580">
        <v>0</v>
      </c>
      <c r="J580" t="s">
        <v>43</v>
      </c>
      <c r="K580" t="s">
        <v>42</v>
      </c>
      <c r="L580" t="s">
        <v>43</v>
      </c>
      <c r="M580" t="s">
        <v>43</v>
      </c>
      <c r="N580" t="s">
        <v>42</v>
      </c>
      <c r="O580">
        <v>4</v>
      </c>
      <c r="P580">
        <v>4</v>
      </c>
      <c r="Q580">
        <v>2</v>
      </c>
      <c r="R580">
        <v>1</v>
      </c>
      <c r="S580">
        <v>1</v>
      </c>
      <c r="T580">
        <f t="shared" si="45"/>
        <v>2</v>
      </c>
      <c r="U580" t="str" cm="1">
        <f t="array" ref="U580">_xlfn.IFS(T580&lt;3, "low", AND(T580&gt;=3, T580&lt;5), "med", T580&gt;=5, "high")</f>
        <v>low</v>
      </c>
      <c r="V580">
        <v>0</v>
      </c>
      <c r="W580" t="str" cm="1">
        <f t="array" ref="W580">_xlfn.IFS(V580&lt;5, "low", AND(V580&gt;=5, V580&lt;10), "med", V580&gt;=10, "high")</f>
        <v>low</v>
      </c>
      <c r="X580">
        <v>16</v>
      </c>
      <c r="Y580">
        <v>16</v>
      </c>
      <c r="Z580">
        <v>17</v>
      </c>
      <c r="AA580">
        <f t="shared" si="46"/>
        <v>0</v>
      </c>
      <c r="AB580">
        <f t="shared" si="47"/>
        <v>0</v>
      </c>
      <c r="AC580">
        <f t="shared" si="48"/>
        <v>0</v>
      </c>
      <c r="AD580" s="1">
        <f t="shared" si="49"/>
        <v>16.333333333333332</v>
      </c>
    </row>
    <row r="581" spans="1:30" x14ac:dyDescent="0.35">
      <c r="A581" t="s">
        <v>50</v>
      </c>
      <c r="B581">
        <v>16</v>
      </c>
      <c r="C581" t="s">
        <v>35</v>
      </c>
      <c r="D581" t="s">
        <v>36</v>
      </c>
      <c r="E581" t="s">
        <v>44</v>
      </c>
      <c r="F581" t="s">
        <v>45</v>
      </c>
      <c r="G581" t="s">
        <v>45</v>
      </c>
      <c r="H581">
        <v>1</v>
      </c>
      <c r="I581">
        <v>1</v>
      </c>
      <c r="J581" t="s">
        <v>43</v>
      </c>
      <c r="K581" t="s">
        <v>42</v>
      </c>
      <c r="L581" t="s">
        <v>43</v>
      </c>
      <c r="M581" t="s">
        <v>42</v>
      </c>
      <c r="N581" t="s">
        <v>43</v>
      </c>
      <c r="O581">
        <v>3</v>
      </c>
      <c r="P581">
        <v>4</v>
      </c>
      <c r="Q581">
        <v>5</v>
      </c>
      <c r="R581">
        <v>2</v>
      </c>
      <c r="S581">
        <v>4</v>
      </c>
      <c r="T581">
        <f t="shared" si="45"/>
        <v>6</v>
      </c>
      <c r="U581" t="str" cm="1">
        <f t="array" ref="U581">_xlfn.IFS(T581&lt;3, "low", AND(T581&gt;=3, T581&lt;5), "med", T581&gt;=5, "high")</f>
        <v>high</v>
      </c>
      <c r="V581">
        <v>4</v>
      </c>
      <c r="W581" t="str" cm="1">
        <f t="array" ref="W581">_xlfn.IFS(V581&lt;5, "low", AND(V581&gt;=5, V581&lt;10), "med", V581&gt;=10, "high")</f>
        <v>low</v>
      </c>
      <c r="X581">
        <v>9</v>
      </c>
      <c r="Y581">
        <v>9</v>
      </c>
      <c r="Z581">
        <v>10</v>
      </c>
      <c r="AA581">
        <f t="shared" si="46"/>
        <v>0</v>
      </c>
      <c r="AB581">
        <f t="shared" si="47"/>
        <v>0</v>
      </c>
      <c r="AC581">
        <f t="shared" si="48"/>
        <v>0</v>
      </c>
      <c r="AD581" s="1">
        <f t="shared" si="49"/>
        <v>9.3333333333333339</v>
      </c>
    </row>
    <row r="582" spans="1:30" x14ac:dyDescent="0.35">
      <c r="A582" t="s">
        <v>50</v>
      </c>
      <c r="B582">
        <v>16</v>
      </c>
      <c r="C582" t="s">
        <v>35</v>
      </c>
      <c r="D582" t="s">
        <v>36</v>
      </c>
      <c r="E582" t="s">
        <v>44</v>
      </c>
      <c r="F582" t="s">
        <v>45</v>
      </c>
      <c r="G582" t="s">
        <v>45</v>
      </c>
      <c r="H582">
        <v>2</v>
      </c>
      <c r="I582">
        <v>0</v>
      </c>
      <c r="J582" t="s">
        <v>43</v>
      </c>
      <c r="K582" t="s">
        <v>42</v>
      </c>
      <c r="L582" t="s">
        <v>43</v>
      </c>
      <c r="M582" t="s">
        <v>42</v>
      </c>
      <c r="N582" t="s">
        <v>42</v>
      </c>
      <c r="O582">
        <v>4</v>
      </c>
      <c r="P582">
        <v>3</v>
      </c>
      <c r="Q582">
        <v>2</v>
      </c>
      <c r="R582">
        <v>1</v>
      </c>
      <c r="S582">
        <v>1</v>
      </c>
      <c r="T582">
        <f t="shared" si="45"/>
        <v>2</v>
      </c>
      <c r="U582" t="str" cm="1">
        <f t="array" ref="U582">_xlfn.IFS(T582&lt;3, "low", AND(T582&gt;=3, T582&lt;5), "med", T582&gt;=5, "high")</f>
        <v>low</v>
      </c>
      <c r="V582">
        <v>0</v>
      </c>
      <c r="W582" t="str" cm="1">
        <f t="array" ref="W582">_xlfn.IFS(V582&lt;5, "low", AND(V582&gt;=5, V582&lt;10), "med", V582&gt;=10, "high")</f>
        <v>low</v>
      </c>
      <c r="X582">
        <v>16</v>
      </c>
      <c r="Y582">
        <v>17</v>
      </c>
      <c r="Z582">
        <v>18</v>
      </c>
      <c r="AA582">
        <f t="shared" si="46"/>
        <v>0</v>
      </c>
      <c r="AB582">
        <f t="shared" si="47"/>
        <v>0</v>
      </c>
      <c r="AC582">
        <f t="shared" si="48"/>
        <v>0</v>
      </c>
      <c r="AD582" s="1">
        <f t="shared" si="49"/>
        <v>17</v>
      </c>
    </row>
    <row r="583" spans="1:30" x14ac:dyDescent="0.35">
      <c r="A583" t="s">
        <v>50</v>
      </c>
      <c r="B583">
        <v>17</v>
      </c>
      <c r="C583" t="s">
        <v>35</v>
      </c>
      <c r="D583" t="s">
        <v>47</v>
      </c>
      <c r="E583" t="s">
        <v>44</v>
      </c>
      <c r="F583" t="s">
        <v>39</v>
      </c>
      <c r="G583" t="s">
        <v>45</v>
      </c>
      <c r="H583">
        <v>2</v>
      </c>
      <c r="I583">
        <v>0</v>
      </c>
      <c r="J583" t="s">
        <v>43</v>
      </c>
      <c r="K583" t="s">
        <v>42</v>
      </c>
      <c r="L583" t="s">
        <v>43</v>
      </c>
      <c r="M583" t="s">
        <v>42</v>
      </c>
      <c r="N583" t="s">
        <v>43</v>
      </c>
      <c r="O583">
        <v>4</v>
      </c>
      <c r="P583">
        <v>4</v>
      </c>
      <c r="Q583">
        <v>4</v>
      </c>
      <c r="R583">
        <v>1</v>
      </c>
      <c r="S583">
        <v>3</v>
      </c>
      <c r="T583">
        <f t="shared" si="45"/>
        <v>4</v>
      </c>
      <c r="U583" t="str" cm="1">
        <f t="array" ref="U583">_xlfn.IFS(T583&lt;3, "low", AND(T583&gt;=3, T583&lt;5), "med", T583&gt;=5, "high")</f>
        <v>med</v>
      </c>
      <c r="V583">
        <v>0</v>
      </c>
      <c r="W583" t="str" cm="1">
        <f t="array" ref="W583">_xlfn.IFS(V583&lt;5, "low", AND(V583&gt;=5, V583&lt;10), "med", V583&gt;=10, "high")</f>
        <v>low</v>
      </c>
      <c r="X583">
        <v>11</v>
      </c>
      <c r="Y583">
        <v>9</v>
      </c>
      <c r="Z583">
        <v>10</v>
      </c>
      <c r="AA583">
        <f t="shared" si="46"/>
        <v>1</v>
      </c>
      <c r="AB583">
        <f t="shared" si="47"/>
        <v>0</v>
      </c>
      <c r="AC583">
        <f t="shared" si="48"/>
        <v>1</v>
      </c>
      <c r="AD583" s="1">
        <f t="shared" si="49"/>
        <v>10</v>
      </c>
    </row>
    <row r="584" spans="1:30" x14ac:dyDescent="0.35">
      <c r="A584" t="s">
        <v>34</v>
      </c>
      <c r="B584">
        <v>16</v>
      </c>
      <c r="C584" t="s">
        <v>35</v>
      </c>
      <c r="D584" t="s">
        <v>36</v>
      </c>
      <c r="E584" t="s">
        <v>44</v>
      </c>
      <c r="F584" t="s">
        <v>38</v>
      </c>
      <c r="G584" t="s">
        <v>48</v>
      </c>
      <c r="H584">
        <v>2</v>
      </c>
      <c r="I584">
        <v>0</v>
      </c>
      <c r="J584" t="s">
        <v>43</v>
      </c>
      <c r="K584" t="s">
        <v>43</v>
      </c>
      <c r="L584" t="s">
        <v>43</v>
      </c>
      <c r="M584" t="s">
        <v>42</v>
      </c>
      <c r="N584" t="s">
        <v>42</v>
      </c>
      <c r="O584">
        <v>4</v>
      </c>
      <c r="P584">
        <v>3</v>
      </c>
      <c r="Q584">
        <v>5</v>
      </c>
      <c r="R584">
        <v>1</v>
      </c>
      <c r="S584">
        <v>1</v>
      </c>
      <c r="T584">
        <f t="shared" si="45"/>
        <v>2</v>
      </c>
      <c r="U584" t="str" cm="1">
        <f t="array" ref="U584">_xlfn.IFS(T584&lt;3, "low", AND(T584&gt;=3, T584&lt;5), "med", T584&gt;=5, "high")</f>
        <v>low</v>
      </c>
      <c r="V584">
        <v>0</v>
      </c>
      <c r="W584" t="str" cm="1">
        <f t="array" ref="W584">_xlfn.IFS(V584&lt;5, "low", AND(V584&gt;=5, V584&lt;10), "med", V584&gt;=10, "high")</f>
        <v>low</v>
      </c>
      <c r="X584">
        <v>14</v>
      </c>
      <c r="Y584">
        <v>13</v>
      </c>
      <c r="Z584">
        <v>13</v>
      </c>
      <c r="AA584">
        <f t="shared" si="46"/>
        <v>1</v>
      </c>
      <c r="AB584">
        <f t="shared" si="47"/>
        <v>0</v>
      </c>
      <c r="AC584">
        <f t="shared" si="48"/>
        <v>1</v>
      </c>
      <c r="AD584" s="1">
        <f t="shared" si="49"/>
        <v>13.333333333333334</v>
      </c>
    </row>
    <row r="585" spans="1:30" x14ac:dyDescent="0.35">
      <c r="A585" t="s">
        <v>34</v>
      </c>
      <c r="B585">
        <v>16</v>
      </c>
      <c r="C585" t="s">
        <v>35</v>
      </c>
      <c r="D585" t="s">
        <v>47</v>
      </c>
      <c r="E585" t="s">
        <v>44</v>
      </c>
      <c r="F585" t="s">
        <v>45</v>
      </c>
      <c r="G585" t="s">
        <v>45</v>
      </c>
      <c r="H585">
        <v>2</v>
      </c>
      <c r="I585">
        <v>0</v>
      </c>
      <c r="J585" t="s">
        <v>43</v>
      </c>
      <c r="K585" t="s">
        <v>42</v>
      </c>
      <c r="L585" t="s">
        <v>43</v>
      </c>
      <c r="M585" t="s">
        <v>42</v>
      </c>
      <c r="N585" t="s">
        <v>43</v>
      </c>
      <c r="O585">
        <v>4</v>
      </c>
      <c r="P585">
        <v>4</v>
      </c>
      <c r="Q585">
        <v>5</v>
      </c>
      <c r="R585">
        <v>1</v>
      </c>
      <c r="S585">
        <v>1</v>
      </c>
      <c r="T585">
        <f t="shared" si="45"/>
        <v>2</v>
      </c>
      <c r="U585" t="str" cm="1">
        <f t="array" ref="U585">_xlfn.IFS(T585&lt;3, "low", AND(T585&gt;=3, T585&lt;5), "med", T585&gt;=5, "high")</f>
        <v>low</v>
      </c>
      <c r="V585">
        <v>0</v>
      </c>
      <c r="W585" t="str" cm="1">
        <f t="array" ref="W585">_xlfn.IFS(V585&lt;5, "low", AND(V585&gt;=5, V585&lt;10), "med", V585&gt;=10, "high")</f>
        <v>low</v>
      </c>
      <c r="X585">
        <v>14</v>
      </c>
      <c r="Y585">
        <v>14</v>
      </c>
      <c r="Z585">
        <v>15</v>
      </c>
      <c r="AA585">
        <f t="shared" si="46"/>
        <v>0</v>
      </c>
      <c r="AB585">
        <f t="shared" si="47"/>
        <v>0</v>
      </c>
      <c r="AC585">
        <f t="shared" si="48"/>
        <v>0</v>
      </c>
      <c r="AD585" s="1">
        <f t="shared" si="49"/>
        <v>14.333333333333334</v>
      </c>
    </row>
    <row r="586" spans="1:30" x14ac:dyDescent="0.35">
      <c r="A586" t="s">
        <v>50</v>
      </c>
      <c r="B586">
        <v>17</v>
      </c>
      <c r="C586" t="s">
        <v>35</v>
      </c>
      <c r="D586" t="s">
        <v>47</v>
      </c>
      <c r="E586" t="s">
        <v>44</v>
      </c>
      <c r="F586" t="s">
        <v>39</v>
      </c>
      <c r="G586" t="s">
        <v>45</v>
      </c>
      <c r="H586">
        <v>2</v>
      </c>
      <c r="I586">
        <v>0</v>
      </c>
      <c r="J586" t="s">
        <v>43</v>
      </c>
      <c r="K586" t="s">
        <v>43</v>
      </c>
      <c r="L586" t="s">
        <v>43</v>
      </c>
      <c r="M586" t="s">
        <v>42</v>
      </c>
      <c r="N586" t="s">
        <v>43</v>
      </c>
      <c r="O586">
        <v>4</v>
      </c>
      <c r="P586">
        <v>4</v>
      </c>
      <c r="Q586">
        <v>4</v>
      </c>
      <c r="R586">
        <v>4</v>
      </c>
      <c r="S586">
        <v>4</v>
      </c>
      <c r="T586">
        <f t="shared" si="45"/>
        <v>8</v>
      </c>
      <c r="U586" t="str" cm="1">
        <f t="array" ref="U586">_xlfn.IFS(T586&lt;3, "low", AND(T586&gt;=3, T586&lt;5), "med", T586&gt;=5, "high")</f>
        <v>high</v>
      </c>
      <c r="V586">
        <v>0</v>
      </c>
      <c r="W586" t="str" cm="1">
        <f t="array" ref="W586">_xlfn.IFS(V586&lt;5, "low", AND(V586&gt;=5, V586&lt;10), "med", V586&gt;=10, "high")</f>
        <v>low</v>
      </c>
      <c r="X586">
        <v>10</v>
      </c>
      <c r="Y586">
        <v>11</v>
      </c>
      <c r="Z586">
        <v>11</v>
      </c>
      <c r="AA586">
        <f t="shared" si="46"/>
        <v>0</v>
      </c>
      <c r="AB586">
        <f t="shared" si="47"/>
        <v>0</v>
      </c>
      <c r="AC586">
        <f t="shared" si="48"/>
        <v>0</v>
      </c>
      <c r="AD586" s="1">
        <f t="shared" si="49"/>
        <v>10.666666666666666</v>
      </c>
    </row>
    <row r="587" spans="1:30" x14ac:dyDescent="0.35">
      <c r="A587" t="s">
        <v>34</v>
      </c>
      <c r="B587">
        <v>16</v>
      </c>
      <c r="C587" t="s">
        <v>35</v>
      </c>
      <c r="D587" t="s">
        <v>36</v>
      </c>
      <c r="E587" t="s">
        <v>44</v>
      </c>
      <c r="F587" t="s">
        <v>48</v>
      </c>
      <c r="G587" t="s">
        <v>45</v>
      </c>
      <c r="H587">
        <v>2</v>
      </c>
      <c r="I587">
        <v>0</v>
      </c>
      <c r="J587" t="s">
        <v>43</v>
      </c>
      <c r="K587" t="s">
        <v>43</v>
      </c>
      <c r="L587" t="s">
        <v>43</v>
      </c>
      <c r="M587" t="s">
        <v>42</v>
      </c>
      <c r="N587" t="s">
        <v>43</v>
      </c>
      <c r="O587">
        <v>3</v>
      </c>
      <c r="P587">
        <v>4</v>
      </c>
      <c r="Q587">
        <v>4</v>
      </c>
      <c r="R587">
        <v>1</v>
      </c>
      <c r="S587">
        <v>4</v>
      </c>
      <c r="T587">
        <f t="shared" si="45"/>
        <v>5</v>
      </c>
      <c r="U587" t="str" cm="1">
        <f t="array" ref="U587">_xlfn.IFS(T587&lt;3, "low", AND(T587&gt;=3, T587&lt;5), "med", T587&gt;=5, "high")</f>
        <v>high</v>
      </c>
      <c r="V587">
        <v>0</v>
      </c>
      <c r="W587" t="str" cm="1">
        <f t="array" ref="W587">_xlfn.IFS(V587&lt;5, "low", AND(V587&gt;=5, V587&lt;10), "med", V587&gt;=10, "high")</f>
        <v>low</v>
      </c>
      <c r="X587">
        <v>13</v>
      </c>
      <c r="Y587">
        <v>12</v>
      </c>
      <c r="Z587">
        <v>14</v>
      </c>
      <c r="AA587">
        <f t="shared" si="46"/>
        <v>1</v>
      </c>
      <c r="AB587">
        <f t="shared" si="47"/>
        <v>0</v>
      </c>
      <c r="AC587">
        <f t="shared" si="48"/>
        <v>1</v>
      </c>
      <c r="AD587" s="1">
        <f t="shared" si="49"/>
        <v>13</v>
      </c>
    </row>
    <row r="588" spans="1:30" x14ac:dyDescent="0.35">
      <c r="A588" t="s">
        <v>50</v>
      </c>
      <c r="B588">
        <v>17</v>
      </c>
      <c r="C588" t="s">
        <v>35</v>
      </c>
      <c r="D588" t="s">
        <v>36</v>
      </c>
      <c r="E588" t="s">
        <v>44</v>
      </c>
      <c r="F588" t="s">
        <v>45</v>
      </c>
      <c r="G588" t="s">
        <v>45</v>
      </c>
      <c r="H588">
        <v>2</v>
      </c>
      <c r="I588">
        <v>0</v>
      </c>
      <c r="J588" t="s">
        <v>43</v>
      </c>
      <c r="K588" t="s">
        <v>43</v>
      </c>
      <c r="L588" t="s">
        <v>43</v>
      </c>
      <c r="M588" t="s">
        <v>42</v>
      </c>
      <c r="N588" t="s">
        <v>43</v>
      </c>
      <c r="O588">
        <v>4</v>
      </c>
      <c r="P588">
        <v>3</v>
      </c>
      <c r="Q588">
        <v>4</v>
      </c>
      <c r="R588">
        <v>1</v>
      </c>
      <c r="S588">
        <v>4</v>
      </c>
      <c r="T588">
        <f t="shared" si="45"/>
        <v>5</v>
      </c>
      <c r="U588" t="str" cm="1">
        <f t="array" ref="U588">_xlfn.IFS(T588&lt;3, "low", AND(T588&gt;=3, T588&lt;5), "med", T588&gt;=5, "high")</f>
        <v>high</v>
      </c>
      <c r="V588">
        <v>4</v>
      </c>
      <c r="W588" t="str" cm="1">
        <f t="array" ref="W588">_xlfn.IFS(V588&lt;5, "low", AND(V588&gt;=5, V588&lt;10), "med", V588&gt;=10, "high")</f>
        <v>low</v>
      </c>
      <c r="X588">
        <v>11</v>
      </c>
      <c r="Y588">
        <v>9</v>
      </c>
      <c r="Z588">
        <v>10</v>
      </c>
      <c r="AA588">
        <f t="shared" si="46"/>
        <v>1</v>
      </c>
      <c r="AB588">
        <f t="shared" si="47"/>
        <v>0</v>
      </c>
      <c r="AC588">
        <f t="shared" si="48"/>
        <v>1</v>
      </c>
      <c r="AD588" s="1">
        <f t="shared" si="49"/>
        <v>10</v>
      </c>
    </row>
    <row r="589" spans="1:30" x14ac:dyDescent="0.35">
      <c r="A589" t="s">
        <v>50</v>
      </c>
      <c r="B589">
        <v>16</v>
      </c>
      <c r="C589" t="s">
        <v>52</v>
      </c>
      <c r="D589" t="s">
        <v>36</v>
      </c>
      <c r="E589" t="s">
        <v>44</v>
      </c>
      <c r="F589" t="s">
        <v>39</v>
      </c>
      <c r="G589" t="s">
        <v>48</v>
      </c>
      <c r="H589">
        <v>1</v>
      </c>
      <c r="I589">
        <v>0</v>
      </c>
      <c r="J589" t="s">
        <v>43</v>
      </c>
      <c r="K589" t="s">
        <v>42</v>
      </c>
      <c r="L589" t="s">
        <v>43</v>
      </c>
      <c r="M589" t="s">
        <v>42</v>
      </c>
      <c r="N589" t="s">
        <v>42</v>
      </c>
      <c r="O589">
        <v>4</v>
      </c>
      <c r="P589">
        <v>3</v>
      </c>
      <c r="Q589">
        <v>3</v>
      </c>
      <c r="R589">
        <v>3</v>
      </c>
      <c r="S589">
        <v>4</v>
      </c>
      <c r="T589">
        <f t="shared" si="45"/>
        <v>7</v>
      </c>
      <c r="U589" t="str" cm="1">
        <f t="array" ref="U589">_xlfn.IFS(T589&lt;3, "low", AND(T589&gt;=3, T589&lt;5), "med", T589&gt;=5, "high")</f>
        <v>high</v>
      </c>
      <c r="V589">
        <v>8</v>
      </c>
      <c r="W589" t="str" cm="1">
        <f t="array" ref="W589">_xlfn.IFS(V589&lt;5, "low", AND(V589&gt;=5, V589&lt;10), "med", V589&gt;=10, "high")</f>
        <v>med</v>
      </c>
      <c r="X589">
        <v>10</v>
      </c>
      <c r="Y589">
        <v>9</v>
      </c>
      <c r="Z589">
        <v>11</v>
      </c>
      <c r="AA589">
        <f t="shared" si="46"/>
        <v>1</v>
      </c>
      <c r="AB589">
        <f t="shared" si="47"/>
        <v>0</v>
      </c>
      <c r="AC589">
        <f t="shared" si="48"/>
        <v>1</v>
      </c>
      <c r="AD589" s="1">
        <f t="shared" si="49"/>
        <v>10</v>
      </c>
    </row>
    <row r="590" spans="1:30" x14ac:dyDescent="0.35">
      <c r="A590" t="s">
        <v>50</v>
      </c>
      <c r="B590">
        <v>17</v>
      </c>
      <c r="C590" t="s">
        <v>35</v>
      </c>
      <c r="D590" t="s">
        <v>36</v>
      </c>
      <c r="E590" t="s">
        <v>44</v>
      </c>
      <c r="F590" t="s">
        <v>45</v>
      </c>
      <c r="G590" t="s">
        <v>45</v>
      </c>
      <c r="H590">
        <v>2</v>
      </c>
      <c r="I590">
        <v>0</v>
      </c>
      <c r="J590" t="s">
        <v>43</v>
      </c>
      <c r="K590" t="s">
        <v>42</v>
      </c>
      <c r="L590" t="s">
        <v>42</v>
      </c>
      <c r="M590" t="s">
        <v>42</v>
      </c>
      <c r="N590" t="s">
        <v>42</v>
      </c>
      <c r="O590">
        <v>5</v>
      </c>
      <c r="P590">
        <v>2</v>
      </c>
      <c r="Q590">
        <v>3</v>
      </c>
      <c r="R590">
        <v>1</v>
      </c>
      <c r="S590">
        <v>1</v>
      </c>
      <c r="T590">
        <f t="shared" si="45"/>
        <v>2</v>
      </c>
      <c r="U590" t="str" cm="1">
        <f t="array" ref="U590">_xlfn.IFS(T590&lt;3, "low", AND(T590&gt;=3, T590&lt;5), "med", T590&gt;=5, "high")</f>
        <v>low</v>
      </c>
      <c r="V590">
        <v>4</v>
      </c>
      <c r="W590" t="str" cm="1">
        <f t="array" ref="W590">_xlfn.IFS(V590&lt;5, "low", AND(V590&gt;=5, V590&lt;10), "med", V590&gt;=10, "high")</f>
        <v>low</v>
      </c>
      <c r="X590">
        <v>11</v>
      </c>
      <c r="Y590">
        <v>11</v>
      </c>
      <c r="Z590">
        <v>13</v>
      </c>
      <c r="AA590">
        <f t="shared" si="46"/>
        <v>0</v>
      </c>
      <c r="AB590">
        <f t="shared" si="47"/>
        <v>0</v>
      </c>
      <c r="AC590">
        <f t="shared" si="48"/>
        <v>0</v>
      </c>
      <c r="AD590" s="1">
        <f t="shared" si="49"/>
        <v>11.666666666666666</v>
      </c>
    </row>
    <row r="591" spans="1:30" x14ac:dyDescent="0.35">
      <c r="A591" t="s">
        <v>50</v>
      </c>
      <c r="B591">
        <v>16</v>
      </c>
      <c r="C591" t="s">
        <v>35</v>
      </c>
      <c r="D591" t="s">
        <v>36</v>
      </c>
      <c r="E591" t="s">
        <v>44</v>
      </c>
      <c r="F591" t="s">
        <v>39</v>
      </c>
      <c r="G591" t="s">
        <v>45</v>
      </c>
      <c r="H591">
        <v>2</v>
      </c>
      <c r="I591">
        <v>0</v>
      </c>
      <c r="J591" t="s">
        <v>43</v>
      </c>
      <c r="K591" t="s">
        <v>42</v>
      </c>
      <c r="L591" t="s">
        <v>42</v>
      </c>
      <c r="M591" t="s">
        <v>42</v>
      </c>
      <c r="N591" t="s">
        <v>43</v>
      </c>
      <c r="O591">
        <v>3</v>
      </c>
      <c r="P591">
        <v>4</v>
      </c>
      <c r="Q591">
        <v>3</v>
      </c>
      <c r="R591">
        <v>2</v>
      </c>
      <c r="S591">
        <v>3</v>
      </c>
      <c r="T591">
        <f t="shared" si="45"/>
        <v>5</v>
      </c>
      <c r="U591" t="str" cm="1">
        <f t="array" ref="U591">_xlfn.IFS(T591&lt;3, "low", AND(T591&gt;=3, T591&lt;5), "med", T591&gt;=5, "high")</f>
        <v>high</v>
      </c>
      <c r="V591">
        <v>4</v>
      </c>
      <c r="W591" t="str" cm="1">
        <f t="array" ref="W591">_xlfn.IFS(V591&lt;5, "low", AND(V591&gt;=5, V591&lt;10), "med", V591&gt;=10, "high")</f>
        <v>low</v>
      </c>
      <c r="X591">
        <v>11</v>
      </c>
      <c r="Y591">
        <v>10</v>
      </c>
      <c r="Z591">
        <v>11</v>
      </c>
      <c r="AA591">
        <f t="shared" si="46"/>
        <v>1</v>
      </c>
      <c r="AB591">
        <f t="shared" si="47"/>
        <v>0</v>
      </c>
      <c r="AC591">
        <f t="shared" si="48"/>
        <v>1</v>
      </c>
      <c r="AD591" s="1">
        <f t="shared" si="49"/>
        <v>10.666666666666666</v>
      </c>
    </row>
    <row r="592" spans="1:30" x14ac:dyDescent="0.35">
      <c r="A592" t="s">
        <v>50</v>
      </c>
      <c r="B592">
        <v>16</v>
      </c>
      <c r="C592" t="s">
        <v>35</v>
      </c>
      <c r="D592" t="s">
        <v>36</v>
      </c>
      <c r="E592" t="s">
        <v>44</v>
      </c>
      <c r="F592" t="s">
        <v>48</v>
      </c>
      <c r="G592" t="s">
        <v>45</v>
      </c>
      <c r="H592">
        <v>2</v>
      </c>
      <c r="I592">
        <v>0</v>
      </c>
      <c r="J592" t="s">
        <v>43</v>
      </c>
      <c r="K592" t="s">
        <v>43</v>
      </c>
      <c r="L592" t="s">
        <v>43</v>
      </c>
      <c r="M592" t="s">
        <v>42</v>
      </c>
      <c r="N592" t="s">
        <v>42</v>
      </c>
      <c r="O592">
        <v>4</v>
      </c>
      <c r="P592">
        <v>2</v>
      </c>
      <c r="Q592">
        <v>3</v>
      </c>
      <c r="R592">
        <v>1</v>
      </c>
      <c r="S592">
        <v>2</v>
      </c>
      <c r="T592">
        <f t="shared" si="45"/>
        <v>3</v>
      </c>
      <c r="U592" t="str" cm="1">
        <f t="array" ref="U592">_xlfn.IFS(T592&lt;3, "low", AND(T592&gt;=3, T592&lt;5), "med", T592&gt;=5, "high")</f>
        <v>med</v>
      </c>
      <c r="V592">
        <v>0</v>
      </c>
      <c r="W592" t="str" cm="1">
        <f t="array" ref="W592">_xlfn.IFS(V592&lt;5, "low", AND(V592&gt;=5, V592&lt;10), "med", V592&gt;=10, "high")</f>
        <v>low</v>
      </c>
      <c r="X592">
        <v>11</v>
      </c>
      <c r="Y592">
        <v>12</v>
      </c>
      <c r="Z592">
        <v>13</v>
      </c>
      <c r="AA592">
        <f t="shared" si="46"/>
        <v>0</v>
      </c>
      <c r="AB592">
        <f t="shared" si="47"/>
        <v>0</v>
      </c>
      <c r="AC592">
        <f t="shared" si="48"/>
        <v>0</v>
      </c>
      <c r="AD592" s="1">
        <f t="shared" si="49"/>
        <v>12</v>
      </c>
    </row>
    <row r="593" spans="1:30" x14ac:dyDescent="0.35">
      <c r="A593" t="s">
        <v>34</v>
      </c>
      <c r="B593">
        <v>17</v>
      </c>
      <c r="C593" t="s">
        <v>35</v>
      </c>
      <c r="D593" t="s">
        <v>36</v>
      </c>
      <c r="E593" t="s">
        <v>44</v>
      </c>
      <c r="F593" t="s">
        <v>48</v>
      </c>
      <c r="G593" t="s">
        <v>48</v>
      </c>
      <c r="H593">
        <v>2</v>
      </c>
      <c r="I593">
        <v>0</v>
      </c>
      <c r="J593" t="s">
        <v>43</v>
      </c>
      <c r="K593" t="s">
        <v>42</v>
      </c>
      <c r="L593" t="s">
        <v>43</v>
      </c>
      <c r="M593" t="s">
        <v>42</v>
      </c>
      <c r="N593" t="s">
        <v>43</v>
      </c>
      <c r="O593">
        <v>5</v>
      </c>
      <c r="P593">
        <v>4</v>
      </c>
      <c r="Q593">
        <v>2</v>
      </c>
      <c r="R593">
        <v>2</v>
      </c>
      <c r="S593">
        <v>3</v>
      </c>
      <c r="T593">
        <f t="shared" si="45"/>
        <v>5</v>
      </c>
      <c r="U593" t="str" cm="1">
        <f t="array" ref="U593">_xlfn.IFS(T593&lt;3, "low", AND(T593&gt;=3, T593&lt;5), "med", T593&gt;=5, "high")</f>
        <v>high</v>
      </c>
      <c r="V593">
        <v>0</v>
      </c>
      <c r="W593" t="str" cm="1">
        <f t="array" ref="W593">_xlfn.IFS(V593&lt;5, "low", AND(V593&gt;=5, V593&lt;10), "med", V593&gt;=10, "high")</f>
        <v>low</v>
      </c>
      <c r="X593">
        <v>17</v>
      </c>
      <c r="Y593">
        <v>18</v>
      </c>
      <c r="Z593">
        <v>17</v>
      </c>
      <c r="AA593">
        <f t="shared" si="46"/>
        <v>0</v>
      </c>
      <c r="AB593">
        <f t="shared" si="47"/>
        <v>1</v>
      </c>
      <c r="AC593">
        <f t="shared" si="48"/>
        <v>1</v>
      </c>
      <c r="AD593" s="1">
        <f t="shared" si="49"/>
        <v>17.333333333333332</v>
      </c>
    </row>
    <row r="594" spans="1:30" x14ac:dyDescent="0.35">
      <c r="A594" t="s">
        <v>34</v>
      </c>
      <c r="B594">
        <v>17</v>
      </c>
      <c r="C594" t="s">
        <v>35</v>
      </c>
      <c r="D594" t="s">
        <v>47</v>
      </c>
      <c r="E594" t="s">
        <v>44</v>
      </c>
      <c r="F594" t="s">
        <v>45</v>
      </c>
      <c r="G594" t="s">
        <v>45</v>
      </c>
      <c r="H594">
        <v>2</v>
      </c>
      <c r="I594">
        <v>0</v>
      </c>
      <c r="J594" t="s">
        <v>43</v>
      </c>
      <c r="K594" t="s">
        <v>42</v>
      </c>
      <c r="L594" t="s">
        <v>43</v>
      </c>
      <c r="M594" t="s">
        <v>42</v>
      </c>
      <c r="N594" t="s">
        <v>42</v>
      </c>
      <c r="O594">
        <v>5</v>
      </c>
      <c r="P594">
        <v>3</v>
      </c>
      <c r="Q594">
        <v>3</v>
      </c>
      <c r="R594">
        <v>2</v>
      </c>
      <c r="S594">
        <v>3</v>
      </c>
      <c r="T594">
        <f t="shared" si="45"/>
        <v>5</v>
      </c>
      <c r="U594" t="str" cm="1">
        <f t="array" ref="U594">_xlfn.IFS(T594&lt;3, "low", AND(T594&gt;=3, T594&lt;5), "med", T594&gt;=5, "high")</f>
        <v>high</v>
      </c>
      <c r="V594">
        <v>32</v>
      </c>
      <c r="W594" t="str" cm="1">
        <f t="array" ref="W594">_xlfn.IFS(V594&lt;5, "low", AND(V594&gt;=5, V594&lt;10), "med", V594&gt;=10, "high")</f>
        <v>high</v>
      </c>
      <c r="X594">
        <v>14</v>
      </c>
      <c r="Y594">
        <v>13</v>
      </c>
      <c r="Z594">
        <v>14</v>
      </c>
      <c r="AA594">
        <f t="shared" si="46"/>
        <v>1</v>
      </c>
      <c r="AB594">
        <f t="shared" si="47"/>
        <v>0</v>
      </c>
      <c r="AC594">
        <f t="shared" si="48"/>
        <v>1</v>
      </c>
      <c r="AD594" s="1">
        <f t="shared" si="49"/>
        <v>13.666666666666666</v>
      </c>
    </row>
    <row r="595" spans="1:30" x14ac:dyDescent="0.35">
      <c r="A595" t="s">
        <v>34</v>
      </c>
      <c r="B595">
        <v>16</v>
      </c>
      <c r="C595" t="s">
        <v>35</v>
      </c>
      <c r="D595" t="s">
        <v>36</v>
      </c>
      <c r="E595" t="s">
        <v>44</v>
      </c>
      <c r="F595" t="s">
        <v>45</v>
      </c>
      <c r="G595" t="s">
        <v>45</v>
      </c>
      <c r="H595">
        <v>2</v>
      </c>
      <c r="I595">
        <v>0</v>
      </c>
      <c r="J595" t="s">
        <v>43</v>
      </c>
      <c r="K595" t="s">
        <v>42</v>
      </c>
      <c r="L595" t="s">
        <v>43</v>
      </c>
      <c r="M595" t="s">
        <v>43</v>
      </c>
      <c r="N595" t="s">
        <v>43</v>
      </c>
      <c r="O595">
        <v>1</v>
      </c>
      <c r="P595">
        <v>2</v>
      </c>
      <c r="Q595">
        <v>2</v>
      </c>
      <c r="R595">
        <v>1</v>
      </c>
      <c r="S595">
        <v>2</v>
      </c>
      <c r="T595">
        <f t="shared" si="45"/>
        <v>3</v>
      </c>
      <c r="U595" t="str" cm="1">
        <f t="array" ref="U595">_xlfn.IFS(T595&lt;3, "low", AND(T595&gt;=3, T595&lt;5), "med", T595&gt;=5, "high")</f>
        <v>med</v>
      </c>
      <c r="V595">
        <v>8</v>
      </c>
      <c r="W595" t="str" cm="1">
        <f t="array" ref="W595">_xlfn.IFS(V595&lt;5, "low", AND(V595&gt;=5, V595&lt;10), "med", V595&gt;=10, "high")</f>
        <v>med</v>
      </c>
      <c r="X595">
        <v>14</v>
      </c>
      <c r="Y595">
        <v>15</v>
      </c>
      <c r="Z595">
        <v>16</v>
      </c>
      <c r="AA595">
        <f t="shared" si="46"/>
        <v>0</v>
      </c>
      <c r="AB595">
        <f t="shared" si="47"/>
        <v>0</v>
      </c>
      <c r="AC595">
        <f t="shared" si="48"/>
        <v>0</v>
      </c>
      <c r="AD595" s="1">
        <f t="shared" si="49"/>
        <v>15</v>
      </c>
    </row>
    <row r="596" spans="1:30" x14ac:dyDescent="0.35">
      <c r="A596" t="s">
        <v>50</v>
      </c>
      <c r="B596">
        <v>17</v>
      </c>
      <c r="C596" t="s">
        <v>35</v>
      </c>
      <c r="D596" t="s">
        <v>36</v>
      </c>
      <c r="E596" t="s">
        <v>44</v>
      </c>
      <c r="F596" t="s">
        <v>48</v>
      </c>
      <c r="G596" t="s">
        <v>48</v>
      </c>
      <c r="H596">
        <v>2</v>
      </c>
      <c r="I596">
        <v>0</v>
      </c>
      <c r="J596" t="s">
        <v>43</v>
      </c>
      <c r="K596" t="s">
        <v>42</v>
      </c>
      <c r="L596" t="s">
        <v>43</v>
      </c>
      <c r="M596" t="s">
        <v>42</v>
      </c>
      <c r="N596" t="s">
        <v>42</v>
      </c>
      <c r="O596">
        <v>4</v>
      </c>
      <c r="P596">
        <v>3</v>
      </c>
      <c r="Q596">
        <v>4</v>
      </c>
      <c r="R596">
        <v>2</v>
      </c>
      <c r="S596">
        <v>3</v>
      </c>
      <c r="T596">
        <f t="shared" si="45"/>
        <v>5</v>
      </c>
      <c r="U596" t="str" cm="1">
        <f t="array" ref="U596">_xlfn.IFS(T596&lt;3, "low", AND(T596&gt;=3, T596&lt;5), "med", T596&gt;=5, "high")</f>
        <v>high</v>
      </c>
      <c r="V596">
        <v>6</v>
      </c>
      <c r="W596" t="str" cm="1">
        <f t="array" ref="W596">_xlfn.IFS(V596&lt;5, "low", AND(V596&gt;=5, V596&lt;10), "med", V596&gt;=10, "high")</f>
        <v>med</v>
      </c>
      <c r="X596">
        <v>11</v>
      </c>
      <c r="Y596">
        <v>13</v>
      </c>
      <c r="Z596">
        <v>14</v>
      </c>
      <c r="AA596">
        <f t="shared" si="46"/>
        <v>0</v>
      </c>
      <c r="AB596">
        <f t="shared" si="47"/>
        <v>0</v>
      </c>
      <c r="AC596">
        <f t="shared" si="48"/>
        <v>0</v>
      </c>
      <c r="AD596" s="1">
        <f t="shared" si="49"/>
        <v>12.666666666666666</v>
      </c>
    </row>
    <row r="597" spans="1:30" x14ac:dyDescent="0.35">
      <c r="A597" t="s">
        <v>50</v>
      </c>
      <c r="B597">
        <v>16</v>
      </c>
      <c r="C597" t="s">
        <v>35</v>
      </c>
      <c r="D597" t="s">
        <v>36</v>
      </c>
      <c r="E597" t="s">
        <v>44</v>
      </c>
      <c r="F597" t="s">
        <v>48</v>
      </c>
      <c r="G597" t="s">
        <v>48</v>
      </c>
      <c r="H597">
        <v>1</v>
      </c>
      <c r="I597">
        <v>0</v>
      </c>
      <c r="J597" t="s">
        <v>43</v>
      </c>
      <c r="K597" t="s">
        <v>42</v>
      </c>
      <c r="L597" t="s">
        <v>43</v>
      </c>
      <c r="M597" t="s">
        <v>42</v>
      </c>
      <c r="N597" t="s">
        <v>42</v>
      </c>
      <c r="O597">
        <v>3</v>
      </c>
      <c r="P597">
        <v>3</v>
      </c>
      <c r="Q597">
        <v>3</v>
      </c>
      <c r="R597">
        <v>1</v>
      </c>
      <c r="S597">
        <v>2</v>
      </c>
      <c r="T597">
        <f t="shared" si="45"/>
        <v>3</v>
      </c>
      <c r="U597" t="str" cm="1">
        <f t="array" ref="U597">_xlfn.IFS(T597&lt;3, "low", AND(T597&gt;=3, T597&lt;5), "med", T597&gt;=5, "high")</f>
        <v>med</v>
      </c>
      <c r="V597">
        <v>0</v>
      </c>
      <c r="W597" t="str" cm="1">
        <f t="array" ref="W597">_xlfn.IFS(V597&lt;5, "low", AND(V597&gt;=5, V597&lt;10), "med", V597&gt;=10, "high")</f>
        <v>low</v>
      </c>
      <c r="X597">
        <v>10</v>
      </c>
      <c r="Y597">
        <v>9</v>
      </c>
      <c r="Z597">
        <v>11</v>
      </c>
      <c r="AA597">
        <f t="shared" si="46"/>
        <v>1</v>
      </c>
      <c r="AB597">
        <f t="shared" si="47"/>
        <v>0</v>
      </c>
      <c r="AC597">
        <f t="shared" si="48"/>
        <v>1</v>
      </c>
      <c r="AD597" s="1">
        <f t="shared" si="49"/>
        <v>10</v>
      </c>
    </row>
    <row r="598" spans="1:30" x14ac:dyDescent="0.35">
      <c r="A598" t="s">
        <v>50</v>
      </c>
      <c r="B598">
        <v>16</v>
      </c>
      <c r="C598" t="s">
        <v>35</v>
      </c>
      <c r="D598" t="s">
        <v>47</v>
      </c>
      <c r="E598" t="s">
        <v>44</v>
      </c>
      <c r="F598" t="s">
        <v>45</v>
      </c>
      <c r="G598" t="s">
        <v>45</v>
      </c>
      <c r="H598">
        <v>2</v>
      </c>
      <c r="I598">
        <v>0</v>
      </c>
      <c r="J598" t="s">
        <v>43</v>
      </c>
      <c r="K598" t="s">
        <v>43</v>
      </c>
      <c r="L598" t="s">
        <v>43</v>
      </c>
      <c r="M598" t="s">
        <v>42</v>
      </c>
      <c r="N598" t="s">
        <v>42</v>
      </c>
      <c r="O598">
        <v>4</v>
      </c>
      <c r="P598">
        <v>2</v>
      </c>
      <c r="Q598">
        <v>3</v>
      </c>
      <c r="R598">
        <v>1</v>
      </c>
      <c r="S598">
        <v>2</v>
      </c>
      <c r="T598">
        <f t="shared" si="45"/>
        <v>3</v>
      </c>
      <c r="U598" t="str" cm="1">
        <f t="array" ref="U598">_xlfn.IFS(T598&lt;3, "low", AND(T598&gt;=3, T598&lt;5), "med", T598&gt;=5, "high")</f>
        <v>med</v>
      </c>
      <c r="V598">
        <v>0</v>
      </c>
      <c r="W598" t="str" cm="1">
        <f t="array" ref="W598">_xlfn.IFS(V598&lt;5, "low", AND(V598&gt;=5, V598&lt;10), "med", V598&gt;=10, "high")</f>
        <v>low</v>
      </c>
      <c r="X598">
        <v>13</v>
      </c>
      <c r="Y598">
        <v>14</v>
      </c>
      <c r="Z598">
        <v>16</v>
      </c>
      <c r="AA598">
        <f t="shared" si="46"/>
        <v>0</v>
      </c>
      <c r="AB598">
        <f t="shared" si="47"/>
        <v>0</v>
      </c>
      <c r="AC598">
        <f t="shared" si="48"/>
        <v>0</v>
      </c>
      <c r="AD598" s="1">
        <f t="shared" si="49"/>
        <v>14.333333333333334</v>
      </c>
    </row>
    <row r="599" spans="1:30" x14ac:dyDescent="0.35">
      <c r="A599" t="s">
        <v>34</v>
      </c>
      <c r="B599">
        <v>17</v>
      </c>
      <c r="C599" t="s">
        <v>35</v>
      </c>
      <c r="D599" t="s">
        <v>36</v>
      </c>
      <c r="E599" t="s">
        <v>37</v>
      </c>
      <c r="F599" t="s">
        <v>28</v>
      </c>
      <c r="G599" t="s">
        <v>45</v>
      </c>
      <c r="H599">
        <v>2</v>
      </c>
      <c r="I599">
        <v>0</v>
      </c>
      <c r="J599" t="s">
        <v>43</v>
      </c>
      <c r="K599" t="s">
        <v>42</v>
      </c>
      <c r="L599" t="s">
        <v>43</v>
      </c>
      <c r="M599" t="s">
        <v>43</v>
      </c>
      <c r="N599" t="s">
        <v>42</v>
      </c>
      <c r="O599">
        <v>3</v>
      </c>
      <c r="P599">
        <v>3</v>
      </c>
      <c r="Q599">
        <v>3</v>
      </c>
      <c r="R599">
        <v>1</v>
      </c>
      <c r="S599">
        <v>3</v>
      </c>
      <c r="T599">
        <f t="shared" si="45"/>
        <v>4</v>
      </c>
      <c r="U599" t="str" cm="1">
        <f t="array" ref="U599">_xlfn.IFS(T599&lt;3, "low", AND(T599&gt;=3, T599&lt;5), "med", T599&gt;=5, "high")</f>
        <v>med</v>
      </c>
      <c r="V599">
        <v>10</v>
      </c>
      <c r="W599" t="str" cm="1">
        <f t="array" ref="W599">_xlfn.IFS(V599&lt;5, "low", AND(V599&gt;=5, V599&lt;10), "med", V599&gt;=10, "high")</f>
        <v>high</v>
      </c>
      <c r="X599">
        <v>12</v>
      </c>
      <c r="Y599">
        <v>13</v>
      </c>
      <c r="Z599">
        <v>14</v>
      </c>
      <c r="AA599">
        <f t="shared" si="46"/>
        <v>0</v>
      </c>
      <c r="AB599">
        <f t="shared" si="47"/>
        <v>0</v>
      </c>
      <c r="AC599">
        <f t="shared" si="48"/>
        <v>0</v>
      </c>
      <c r="AD599" s="1">
        <f t="shared" si="49"/>
        <v>13</v>
      </c>
    </row>
    <row r="600" spans="1:30" x14ac:dyDescent="0.35">
      <c r="A600" t="s">
        <v>50</v>
      </c>
      <c r="B600">
        <v>17</v>
      </c>
      <c r="C600" t="s">
        <v>52</v>
      </c>
      <c r="D600" t="s">
        <v>36</v>
      </c>
      <c r="E600" t="s">
        <v>44</v>
      </c>
      <c r="F600" t="s">
        <v>38</v>
      </c>
      <c r="G600" t="s">
        <v>45</v>
      </c>
      <c r="H600">
        <v>2</v>
      </c>
      <c r="I600">
        <v>0</v>
      </c>
      <c r="J600" t="s">
        <v>43</v>
      </c>
      <c r="K600" t="s">
        <v>43</v>
      </c>
      <c r="L600" t="s">
        <v>43</v>
      </c>
      <c r="M600" t="s">
        <v>43</v>
      </c>
      <c r="N600" t="s">
        <v>43</v>
      </c>
      <c r="O600">
        <v>3</v>
      </c>
      <c r="P600">
        <v>1</v>
      </c>
      <c r="Q600">
        <v>3</v>
      </c>
      <c r="R600">
        <v>1</v>
      </c>
      <c r="S600">
        <v>5</v>
      </c>
      <c r="T600">
        <f t="shared" si="45"/>
        <v>6</v>
      </c>
      <c r="U600" t="str" cm="1">
        <f t="array" ref="U600">_xlfn.IFS(T600&lt;3, "low", AND(T600&gt;=3, T600&lt;5), "med", T600&gt;=5, "high")</f>
        <v>high</v>
      </c>
      <c r="V600">
        <v>6</v>
      </c>
      <c r="W600" t="str" cm="1">
        <f t="array" ref="W600">_xlfn.IFS(V600&lt;5, "low", AND(V600&gt;=5, V600&lt;10), "med", V600&gt;=10, "high")</f>
        <v>med</v>
      </c>
      <c r="X600">
        <v>9</v>
      </c>
      <c r="Y600">
        <v>9</v>
      </c>
      <c r="Z600">
        <v>10</v>
      </c>
      <c r="AA600">
        <f t="shared" si="46"/>
        <v>0</v>
      </c>
      <c r="AB600">
        <f t="shared" si="47"/>
        <v>0</v>
      </c>
      <c r="AC600">
        <f t="shared" si="48"/>
        <v>0</v>
      </c>
      <c r="AD600" s="1">
        <f t="shared" si="49"/>
        <v>9.3333333333333339</v>
      </c>
    </row>
    <row r="601" spans="1:30" x14ac:dyDescent="0.35">
      <c r="A601" t="s">
        <v>34</v>
      </c>
      <c r="B601">
        <v>16</v>
      </c>
      <c r="C601" t="s">
        <v>35</v>
      </c>
      <c r="D601" t="s">
        <v>36</v>
      </c>
      <c r="E601" t="s">
        <v>44</v>
      </c>
      <c r="F601" t="s">
        <v>48</v>
      </c>
      <c r="G601" t="s">
        <v>48</v>
      </c>
      <c r="H601">
        <v>2</v>
      </c>
      <c r="I601">
        <v>0</v>
      </c>
      <c r="J601" t="s">
        <v>43</v>
      </c>
      <c r="K601" t="s">
        <v>43</v>
      </c>
      <c r="L601" t="s">
        <v>43</v>
      </c>
      <c r="M601" t="s">
        <v>43</v>
      </c>
      <c r="N601" t="s">
        <v>43</v>
      </c>
      <c r="O601">
        <v>4</v>
      </c>
      <c r="P601">
        <v>3</v>
      </c>
      <c r="Q601">
        <v>3</v>
      </c>
      <c r="R601">
        <v>1</v>
      </c>
      <c r="S601">
        <v>1</v>
      </c>
      <c r="T601">
        <f t="shared" si="45"/>
        <v>2</v>
      </c>
      <c r="U601" t="str" cm="1">
        <f t="array" ref="U601">_xlfn.IFS(T601&lt;3, "low", AND(T601&gt;=3, T601&lt;5), "med", T601&gt;=5, "high")</f>
        <v>low</v>
      </c>
      <c r="V601">
        <v>6</v>
      </c>
      <c r="W601" t="str" cm="1">
        <f t="array" ref="W601">_xlfn.IFS(V601&lt;5, "low", AND(V601&gt;=5, V601&lt;10), "med", V601&gt;=10, "high")</f>
        <v>med</v>
      </c>
      <c r="X601">
        <v>12</v>
      </c>
      <c r="Y601">
        <v>12</v>
      </c>
      <c r="Z601">
        <v>13</v>
      </c>
      <c r="AA601">
        <f t="shared" si="46"/>
        <v>0</v>
      </c>
      <c r="AB601">
        <f t="shared" si="47"/>
        <v>0</v>
      </c>
      <c r="AC601">
        <f t="shared" si="48"/>
        <v>0</v>
      </c>
      <c r="AD601" s="1">
        <f t="shared" si="49"/>
        <v>12.333333333333334</v>
      </c>
    </row>
    <row r="602" spans="1:30" x14ac:dyDescent="0.35">
      <c r="A602" t="s">
        <v>34</v>
      </c>
      <c r="B602">
        <v>17</v>
      </c>
      <c r="C602" t="s">
        <v>35</v>
      </c>
      <c r="D602" t="s">
        <v>36</v>
      </c>
      <c r="E602" t="s">
        <v>44</v>
      </c>
      <c r="F602" t="s">
        <v>38</v>
      </c>
      <c r="G602" t="s">
        <v>48</v>
      </c>
      <c r="H602">
        <v>2</v>
      </c>
      <c r="I602">
        <v>0</v>
      </c>
      <c r="J602" t="s">
        <v>43</v>
      </c>
      <c r="K602" t="s">
        <v>43</v>
      </c>
      <c r="L602" t="s">
        <v>43</v>
      </c>
      <c r="M602" t="s">
        <v>42</v>
      </c>
      <c r="N602" t="s">
        <v>43</v>
      </c>
      <c r="O602">
        <v>5</v>
      </c>
      <c r="P602">
        <v>3</v>
      </c>
      <c r="Q602">
        <v>3</v>
      </c>
      <c r="R602">
        <v>1</v>
      </c>
      <c r="S602">
        <v>1</v>
      </c>
      <c r="T602">
        <f t="shared" si="45"/>
        <v>2</v>
      </c>
      <c r="U602" t="str" cm="1">
        <f t="array" ref="U602">_xlfn.IFS(T602&lt;3, "low", AND(T602&gt;=3, T602&lt;5), "med", T602&gt;=5, "high")</f>
        <v>low</v>
      </c>
      <c r="V602">
        <v>0</v>
      </c>
      <c r="W602" t="str" cm="1">
        <f t="array" ref="W602">_xlfn.IFS(V602&lt;5, "low", AND(V602&gt;=5, V602&lt;10), "med", V602&gt;=10, "high")</f>
        <v>low</v>
      </c>
      <c r="X602">
        <v>12</v>
      </c>
      <c r="Y602">
        <v>11</v>
      </c>
      <c r="Z602">
        <v>12</v>
      </c>
      <c r="AA602">
        <f t="shared" si="46"/>
        <v>1</v>
      </c>
      <c r="AB602">
        <f t="shared" si="47"/>
        <v>0</v>
      </c>
      <c r="AC602">
        <f t="shared" si="48"/>
        <v>1</v>
      </c>
      <c r="AD602" s="1">
        <f t="shared" si="49"/>
        <v>11.666666666666666</v>
      </c>
    </row>
    <row r="603" spans="1:30" x14ac:dyDescent="0.35">
      <c r="A603" t="s">
        <v>50</v>
      </c>
      <c r="B603">
        <v>17</v>
      </c>
      <c r="C603" t="s">
        <v>35</v>
      </c>
      <c r="D603" t="s">
        <v>36</v>
      </c>
      <c r="E603" t="s">
        <v>44</v>
      </c>
      <c r="F603" t="s">
        <v>38</v>
      </c>
      <c r="G603" t="s">
        <v>48</v>
      </c>
      <c r="H603">
        <v>2</v>
      </c>
      <c r="I603">
        <v>0</v>
      </c>
      <c r="J603" t="s">
        <v>43</v>
      </c>
      <c r="K603" t="s">
        <v>43</v>
      </c>
      <c r="L603" t="s">
        <v>43</v>
      </c>
      <c r="M603" t="s">
        <v>42</v>
      </c>
      <c r="N603" t="s">
        <v>43</v>
      </c>
      <c r="O603">
        <v>4</v>
      </c>
      <c r="P603">
        <v>4</v>
      </c>
      <c r="Q603">
        <v>4</v>
      </c>
      <c r="R603">
        <v>4</v>
      </c>
      <c r="S603">
        <v>5</v>
      </c>
      <c r="T603">
        <f t="shared" si="45"/>
        <v>9</v>
      </c>
      <c r="U603" t="str" cm="1">
        <f t="array" ref="U603">_xlfn.IFS(T603&lt;3, "low", AND(T603&gt;=3, T603&lt;5), "med", T603&gt;=5, "high")</f>
        <v>high</v>
      </c>
      <c r="V603">
        <v>16</v>
      </c>
      <c r="W603" t="str" cm="1">
        <f t="array" ref="W603">_xlfn.IFS(V603&lt;5, "low", AND(V603&gt;=5, V603&lt;10), "med", V603&gt;=10, "high")</f>
        <v>high</v>
      </c>
      <c r="X603">
        <v>10</v>
      </c>
      <c r="Y603">
        <v>11</v>
      </c>
      <c r="Z603">
        <v>12</v>
      </c>
      <c r="AA603">
        <f t="shared" si="46"/>
        <v>0</v>
      </c>
      <c r="AB603">
        <f t="shared" si="47"/>
        <v>0</v>
      </c>
      <c r="AC603">
        <f t="shared" si="48"/>
        <v>0</v>
      </c>
      <c r="AD603" s="1">
        <f t="shared" si="49"/>
        <v>11</v>
      </c>
    </row>
    <row r="604" spans="1:30" x14ac:dyDescent="0.35">
      <c r="A604" t="s">
        <v>50</v>
      </c>
      <c r="B604">
        <v>16</v>
      </c>
      <c r="C604" t="s">
        <v>52</v>
      </c>
      <c r="D604" t="s">
        <v>36</v>
      </c>
      <c r="E604" t="s">
        <v>44</v>
      </c>
      <c r="F604" t="s">
        <v>48</v>
      </c>
      <c r="G604" t="s">
        <v>48</v>
      </c>
      <c r="H604">
        <v>1</v>
      </c>
      <c r="I604">
        <v>0</v>
      </c>
      <c r="J604" t="s">
        <v>43</v>
      </c>
      <c r="K604" t="s">
        <v>42</v>
      </c>
      <c r="L604" t="s">
        <v>43</v>
      </c>
      <c r="M604" t="s">
        <v>42</v>
      </c>
      <c r="N604" t="s">
        <v>43</v>
      </c>
      <c r="O604">
        <v>4</v>
      </c>
      <c r="P604">
        <v>3</v>
      </c>
      <c r="Q604">
        <v>2</v>
      </c>
      <c r="R604">
        <v>3</v>
      </c>
      <c r="S604">
        <v>4</v>
      </c>
      <c r="T604">
        <f t="shared" si="45"/>
        <v>7</v>
      </c>
      <c r="U604" t="str" cm="1">
        <f t="array" ref="U604">_xlfn.IFS(T604&lt;3, "low", AND(T604&gt;=3, T604&lt;5), "med", T604&gt;=5, "high")</f>
        <v>high</v>
      </c>
      <c r="V604">
        <v>0</v>
      </c>
      <c r="W604" t="str" cm="1">
        <f t="array" ref="W604">_xlfn.IFS(V604&lt;5, "low", AND(V604&gt;=5, V604&lt;10), "med", V604&gt;=10, "high")</f>
        <v>low</v>
      </c>
      <c r="X604">
        <v>11</v>
      </c>
      <c r="Y604">
        <v>10</v>
      </c>
      <c r="Z604">
        <v>10</v>
      </c>
      <c r="AA604">
        <f t="shared" si="46"/>
        <v>1</v>
      </c>
      <c r="AB604">
        <f t="shared" si="47"/>
        <v>0</v>
      </c>
      <c r="AC604">
        <f t="shared" si="48"/>
        <v>1</v>
      </c>
      <c r="AD604" s="1">
        <f t="shared" si="49"/>
        <v>10.333333333333334</v>
      </c>
    </row>
    <row r="605" spans="1:30" x14ac:dyDescent="0.35">
      <c r="A605" t="s">
        <v>50</v>
      </c>
      <c r="B605">
        <v>16</v>
      </c>
      <c r="C605" t="s">
        <v>35</v>
      </c>
      <c r="D605" t="s">
        <v>36</v>
      </c>
      <c r="E605" t="s">
        <v>44</v>
      </c>
      <c r="F605" t="s">
        <v>45</v>
      </c>
      <c r="G605" t="s">
        <v>45</v>
      </c>
      <c r="H605">
        <v>1</v>
      </c>
      <c r="I605">
        <v>0</v>
      </c>
      <c r="J605" t="s">
        <v>43</v>
      </c>
      <c r="K605" t="s">
        <v>43</v>
      </c>
      <c r="L605" t="s">
        <v>43</v>
      </c>
      <c r="M605" t="s">
        <v>43</v>
      </c>
      <c r="N605" t="s">
        <v>43</v>
      </c>
      <c r="O605">
        <v>5</v>
      </c>
      <c r="P605">
        <v>3</v>
      </c>
      <c r="Q605">
        <v>3</v>
      </c>
      <c r="R605">
        <v>1</v>
      </c>
      <c r="S605">
        <v>1</v>
      </c>
      <c r="T605">
        <f t="shared" si="45"/>
        <v>2</v>
      </c>
      <c r="U605" t="str" cm="1">
        <f t="array" ref="U605">_xlfn.IFS(T605&lt;3, "low", AND(T605&gt;=3, T605&lt;5), "med", T605&gt;=5, "high")</f>
        <v>low</v>
      </c>
      <c r="V605">
        <v>0</v>
      </c>
      <c r="W605" t="str" cm="1">
        <f t="array" ref="W605">_xlfn.IFS(V605&lt;5, "low", AND(V605&gt;=5, V605&lt;10), "med", V605&gt;=10, "high")</f>
        <v>low</v>
      </c>
      <c r="X605">
        <v>13</v>
      </c>
      <c r="Y605">
        <v>12</v>
      </c>
      <c r="Z605">
        <v>12</v>
      </c>
      <c r="AA605">
        <f t="shared" si="46"/>
        <v>1</v>
      </c>
      <c r="AB605">
        <f t="shared" si="47"/>
        <v>0</v>
      </c>
      <c r="AC605">
        <f t="shared" si="48"/>
        <v>1</v>
      </c>
      <c r="AD605" s="1">
        <f t="shared" si="49"/>
        <v>12.333333333333334</v>
      </c>
    </row>
    <row r="606" spans="1:30" x14ac:dyDescent="0.35">
      <c r="A606" t="s">
        <v>34</v>
      </c>
      <c r="B606">
        <v>17</v>
      </c>
      <c r="C606" t="s">
        <v>35</v>
      </c>
      <c r="D606" t="s">
        <v>47</v>
      </c>
      <c r="E606" t="s">
        <v>44</v>
      </c>
      <c r="F606" t="s">
        <v>48</v>
      </c>
      <c r="G606" t="s">
        <v>48</v>
      </c>
      <c r="H606">
        <v>2</v>
      </c>
      <c r="I606">
        <v>0</v>
      </c>
      <c r="J606" t="s">
        <v>43</v>
      </c>
      <c r="K606" t="s">
        <v>43</v>
      </c>
      <c r="L606" t="s">
        <v>43</v>
      </c>
      <c r="M606" t="s">
        <v>42</v>
      </c>
      <c r="N606" t="s">
        <v>42</v>
      </c>
      <c r="O606">
        <v>4</v>
      </c>
      <c r="P606">
        <v>3</v>
      </c>
      <c r="Q606">
        <v>2</v>
      </c>
      <c r="R606">
        <v>1</v>
      </c>
      <c r="S606">
        <v>1</v>
      </c>
      <c r="T606">
        <f t="shared" si="45"/>
        <v>2</v>
      </c>
      <c r="U606" t="str" cm="1">
        <f t="array" ref="U606">_xlfn.IFS(T606&lt;3, "low", AND(T606&gt;=3, T606&lt;5), "med", T606&gt;=5, "high")</f>
        <v>low</v>
      </c>
      <c r="V606">
        <v>8</v>
      </c>
      <c r="W606" t="str" cm="1">
        <f t="array" ref="W606">_xlfn.IFS(V606&lt;5, "low", AND(V606&gt;=5, V606&lt;10), "med", V606&gt;=10, "high")</f>
        <v>med</v>
      </c>
      <c r="X606">
        <v>14</v>
      </c>
      <c r="Y606">
        <v>15</v>
      </c>
      <c r="Z606">
        <v>16</v>
      </c>
      <c r="AA606">
        <f t="shared" si="46"/>
        <v>0</v>
      </c>
      <c r="AB606">
        <f t="shared" si="47"/>
        <v>0</v>
      </c>
      <c r="AC606">
        <f t="shared" si="48"/>
        <v>0</v>
      </c>
      <c r="AD606" s="1">
        <f t="shared" si="49"/>
        <v>15</v>
      </c>
    </row>
    <row r="607" spans="1:30" x14ac:dyDescent="0.35">
      <c r="A607" t="s">
        <v>50</v>
      </c>
      <c r="B607">
        <v>17</v>
      </c>
      <c r="C607" t="s">
        <v>35</v>
      </c>
      <c r="D607" t="s">
        <v>36</v>
      </c>
      <c r="E607" t="s">
        <v>44</v>
      </c>
      <c r="F607" t="s">
        <v>48</v>
      </c>
      <c r="G607" t="s">
        <v>39</v>
      </c>
      <c r="H607">
        <v>1</v>
      </c>
      <c r="I607">
        <v>0</v>
      </c>
      <c r="J607" t="s">
        <v>43</v>
      </c>
      <c r="K607" t="s">
        <v>43</v>
      </c>
      <c r="L607" t="s">
        <v>43</v>
      </c>
      <c r="M607" t="s">
        <v>43</v>
      </c>
      <c r="N607" t="s">
        <v>43</v>
      </c>
      <c r="O607">
        <v>5</v>
      </c>
      <c r="P607">
        <v>2</v>
      </c>
      <c r="Q607">
        <v>3</v>
      </c>
      <c r="R607">
        <v>1</v>
      </c>
      <c r="S607">
        <v>2</v>
      </c>
      <c r="T607">
        <f t="shared" si="45"/>
        <v>3</v>
      </c>
      <c r="U607" t="str" cm="1">
        <f t="array" ref="U607">_xlfn.IFS(T607&lt;3, "low", AND(T607&gt;=3, T607&lt;5), "med", T607&gt;=5, "high")</f>
        <v>med</v>
      </c>
      <c r="V607">
        <v>4</v>
      </c>
      <c r="W607" t="str" cm="1">
        <f t="array" ref="W607">_xlfn.IFS(V607&lt;5, "low", AND(V607&gt;=5, V607&lt;10), "med", V607&gt;=10, "high")</f>
        <v>low</v>
      </c>
      <c r="X607">
        <v>13</v>
      </c>
      <c r="Y607">
        <v>13</v>
      </c>
      <c r="Z607">
        <v>14</v>
      </c>
      <c r="AA607">
        <f t="shared" si="46"/>
        <v>0</v>
      </c>
      <c r="AB607">
        <f t="shared" si="47"/>
        <v>0</v>
      </c>
      <c r="AC607">
        <f t="shared" si="48"/>
        <v>0</v>
      </c>
      <c r="AD607" s="1">
        <f t="shared" si="49"/>
        <v>13.333333333333334</v>
      </c>
    </row>
    <row r="608" spans="1:30" x14ac:dyDescent="0.35">
      <c r="A608" t="s">
        <v>50</v>
      </c>
      <c r="B608">
        <v>16</v>
      </c>
      <c r="C608" t="s">
        <v>52</v>
      </c>
      <c r="D608" t="s">
        <v>47</v>
      </c>
      <c r="E608" t="s">
        <v>44</v>
      </c>
      <c r="F608" t="s">
        <v>39</v>
      </c>
      <c r="G608" t="s">
        <v>45</v>
      </c>
      <c r="H608">
        <v>1</v>
      </c>
      <c r="I608">
        <v>0</v>
      </c>
      <c r="J608" t="s">
        <v>43</v>
      </c>
      <c r="K608" t="s">
        <v>42</v>
      </c>
      <c r="L608" t="s">
        <v>43</v>
      </c>
      <c r="M608" t="s">
        <v>42</v>
      </c>
      <c r="N608" t="s">
        <v>43</v>
      </c>
      <c r="O608">
        <v>3</v>
      </c>
      <c r="P608">
        <v>3</v>
      </c>
      <c r="Q608">
        <v>4</v>
      </c>
      <c r="R608">
        <v>3</v>
      </c>
      <c r="S608">
        <v>5</v>
      </c>
      <c r="T608">
        <f t="shared" si="45"/>
        <v>8</v>
      </c>
      <c r="U608" t="str" cm="1">
        <f t="array" ref="U608">_xlfn.IFS(T608&lt;3, "low", AND(T608&gt;=3, T608&lt;5), "med", T608&gt;=5, "high")</f>
        <v>high</v>
      </c>
      <c r="V608">
        <v>16</v>
      </c>
      <c r="W608" t="str" cm="1">
        <f t="array" ref="W608">_xlfn.IFS(V608&lt;5, "low", AND(V608&gt;=5, V608&lt;10), "med", V608&gt;=10, "high")</f>
        <v>high</v>
      </c>
      <c r="X608">
        <v>10</v>
      </c>
      <c r="Y608">
        <v>11</v>
      </c>
      <c r="Z608">
        <v>12</v>
      </c>
      <c r="AA608">
        <f t="shared" si="46"/>
        <v>0</v>
      </c>
      <c r="AB608">
        <f t="shared" si="47"/>
        <v>0</v>
      </c>
      <c r="AC608">
        <f t="shared" si="48"/>
        <v>0</v>
      </c>
      <c r="AD608" s="1">
        <f t="shared" si="49"/>
        <v>11</v>
      </c>
    </row>
    <row r="609" spans="1:30" x14ac:dyDescent="0.35">
      <c r="A609" t="s">
        <v>34</v>
      </c>
      <c r="B609">
        <v>17</v>
      </c>
      <c r="C609" t="s">
        <v>35</v>
      </c>
      <c r="D609" t="s">
        <v>36</v>
      </c>
      <c r="E609" t="s">
        <v>44</v>
      </c>
      <c r="F609" t="s">
        <v>48</v>
      </c>
      <c r="G609" t="s">
        <v>39</v>
      </c>
      <c r="H609">
        <v>1</v>
      </c>
      <c r="I609">
        <v>1</v>
      </c>
      <c r="J609" t="s">
        <v>43</v>
      </c>
      <c r="K609" t="s">
        <v>42</v>
      </c>
      <c r="L609" t="s">
        <v>43</v>
      </c>
      <c r="M609" t="s">
        <v>43</v>
      </c>
      <c r="N609" t="s">
        <v>43</v>
      </c>
      <c r="O609">
        <v>4</v>
      </c>
      <c r="P609">
        <v>2</v>
      </c>
      <c r="Q609">
        <v>4</v>
      </c>
      <c r="R609">
        <v>2</v>
      </c>
      <c r="S609">
        <v>3</v>
      </c>
      <c r="T609">
        <f t="shared" si="45"/>
        <v>5</v>
      </c>
      <c r="U609" t="str" cm="1">
        <f t="array" ref="U609">_xlfn.IFS(T609&lt;3, "low", AND(T609&gt;=3, T609&lt;5), "med", T609&gt;=5, "high")</f>
        <v>high</v>
      </c>
      <c r="V609">
        <v>30</v>
      </c>
      <c r="W609" t="str" cm="1">
        <f t="array" ref="W609">_xlfn.IFS(V609&lt;5, "low", AND(V609&gt;=5, V609&lt;10), "med", V609&gt;=10, "high")</f>
        <v>high</v>
      </c>
      <c r="X609">
        <v>14</v>
      </c>
      <c r="Y609">
        <v>15</v>
      </c>
      <c r="Z609">
        <v>16</v>
      </c>
      <c r="AA609">
        <f t="shared" si="46"/>
        <v>0</v>
      </c>
      <c r="AB609">
        <f t="shared" si="47"/>
        <v>0</v>
      </c>
      <c r="AC609">
        <f t="shared" si="48"/>
        <v>0</v>
      </c>
      <c r="AD609" s="1">
        <f t="shared" si="49"/>
        <v>15</v>
      </c>
    </row>
    <row r="610" spans="1:30" x14ac:dyDescent="0.35">
      <c r="A610" t="s">
        <v>34</v>
      </c>
      <c r="B610">
        <v>16</v>
      </c>
      <c r="C610" t="s">
        <v>35</v>
      </c>
      <c r="D610" t="s">
        <v>47</v>
      </c>
      <c r="E610" t="s">
        <v>44</v>
      </c>
      <c r="F610" t="s">
        <v>39</v>
      </c>
      <c r="G610" t="s">
        <v>39</v>
      </c>
      <c r="H610">
        <v>2</v>
      </c>
      <c r="I610">
        <v>0</v>
      </c>
      <c r="J610" t="s">
        <v>43</v>
      </c>
      <c r="K610" t="s">
        <v>42</v>
      </c>
      <c r="L610" t="s">
        <v>43</v>
      </c>
      <c r="M610" t="s">
        <v>43</v>
      </c>
      <c r="N610" t="s">
        <v>43</v>
      </c>
      <c r="O610">
        <v>4</v>
      </c>
      <c r="P610">
        <v>5</v>
      </c>
      <c r="Q610">
        <v>2</v>
      </c>
      <c r="R610">
        <v>1</v>
      </c>
      <c r="S610">
        <v>2</v>
      </c>
      <c r="T610">
        <f t="shared" si="45"/>
        <v>3</v>
      </c>
      <c r="U610" t="str" cm="1">
        <f t="array" ref="U610">_xlfn.IFS(T610&lt;3, "low", AND(T610&gt;=3, T610&lt;5), "med", T610&gt;=5, "high")</f>
        <v>med</v>
      </c>
      <c r="V610">
        <v>0</v>
      </c>
      <c r="W610" t="str" cm="1">
        <f t="array" ref="W610">_xlfn.IFS(V610&lt;5, "low", AND(V610&gt;=5, V610&lt;10), "med", V610&gt;=10, "high")</f>
        <v>low</v>
      </c>
      <c r="X610">
        <v>11</v>
      </c>
      <c r="Y610">
        <v>10</v>
      </c>
      <c r="Z610">
        <v>11</v>
      </c>
      <c r="AA610">
        <f t="shared" si="46"/>
        <v>1</v>
      </c>
      <c r="AB610">
        <f t="shared" si="47"/>
        <v>0</v>
      </c>
      <c r="AC610">
        <f t="shared" si="48"/>
        <v>1</v>
      </c>
      <c r="AD610" s="1">
        <f t="shared" si="49"/>
        <v>10.666666666666666</v>
      </c>
    </row>
    <row r="611" spans="1:30" x14ac:dyDescent="0.35">
      <c r="A611" t="s">
        <v>34</v>
      </c>
      <c r="B611">
        <v>16</v>
      </c>
      <c r="C611" t="s">
        <v>35</v>
      </c>
      <c r="D611" t="s">
        <v>36</v>
      </c>
      <c r="E611" t="s">
        <v>44</v>
      </c>
      <c r="F611" t="s">
        <v>28</v>
      </c>
      <c r="G611" t="s">
        <v>45</v>
      </c>
      <c r="H611">
        <v>2</v>
      </c>
      <c r="I611">
        <v>0</v>
      </c>
      <c r="J611" t="s">
        <v>43</v>
      </c>
      <c r="K611" t="s">
        <v>42</v>
      </c>
      <c r="L611" t="s">
        <v>43</v>
      </c>
      <c r="M611" t="s">
        <v>42</v>
      </c>
      <c r="N611" t="s">
        <v>43</v>
      </c>
      <c r="O611">
        <v>4</v>
      </c>
      <c r="P611">
        <v>3</v>
      </c>
      <c r="Q611">
        <v>5</v>
      </c>
      <c r="R611">
        <v>1</v>
      </c>
      <c r="S611">
        <v>5</v>
      </c>
      <c r="T611">
        <f t="shared" si="45"/>
        <v>6</v>
      </c>
      <c r="U611" t="str" cm="1">
        <f t="array" ref="U611">_xlfn.IFS(T611&lt;3, "low", AND(T611&gt;=3, T611&lt;5), "med", T611&gt;=5, "high")</f>
        <v>high</v>
      </c>
      <c r="V611">
        <v>2</v>
      </c>
      <c r="W611" t="str" cm="1">
        <f t="array" ref="W611">_xlfn.IFS(V611&lt;5, "low", AND(V611&gt;=5, V611&lt;10), "med", V611&gt;=10, "high")</f>
        <v>low</v>
      </c>
      <c r="X611">
        <v>14</v>
      </c>
      <c r="Y611">
        <v>14</v>
      </c>
      <c r="Z611">
        <v>15</v>
      </c>
      <c r="AA611">
        <f t="shared" si="46"/>
        <v>0</v>
      </c>
      <c r="AB611">
        <f t="shared" si="47"/>
        <v>0</v>
      </c>
      <c r="AC611">
        <f t="shared" si="48"/>
        <v>0</v>
      </c>
      <c r="AD611" s="1">
        <f t="shared" si="49"/>
        <v>14.333333333333334</v>
      </c>
    </row>
    <row r="612" spans="1:30" x14ac:dyDescent="0.35">
      <c r="A612" t="s">
        <v>34</v>
      </c>
      <c r="B612">
        <v>16</v>
      </c>
      <c r="C612" t="s">
        <v>35</v>
      </c>
      <c r="D612" t="s">
        <v>36</v>
      </c>
      <c r="E612" t="s">
        <v>44</v>
      </c>
      <c r="F612" t="s">
        <v>45</v>
      </c>
      <c r="G612" t="s">
        <v>45</v>
      </c>
      <c r="H612">
        <v>2</v>
      </c>
      <c r="I612">
        <v>0</v>
      </c>
      <c r="J612" t="s">
        <v>42</v>
      </c>
      <c r="K612" t="s">
        <v>42</v>
      </c>
      <c r="L612" t="s">
        <v>43</v>
      </c>
      <c r="M612" t="s">
        <v>42</v>
      </c>
      <c r="N612" t="s">
        <v>43</v>
      </c>
      <c r="O612">
        <v>4</v>
      </c>
      <c r="P612">
        <v>4</v>
      </c>
      <c r="Q612">
        <v>3</v>
      </c>
      <c r="R612">
        <v>1</v>
      </c>
      <c r="S612">
        <v>3</v>
      </c>
      <c r="T612">
        <f t="shared" si="45"/>
        <v>4</v>
      </c>
      <c r="U612" t="str" cm="1">
        <f t="array" ref="U612">_xlfn.IFS(T612&lt;3, "low", AND(T612&gt;=3, T612&lt;5), "med", T612&gt;=5, "high")</f>
        <v>med</v>
      </c>
      <c r="V612">
        <v>4</v>
      </c>
      <c r="W612" t="str" cm="1">
        <f t="array" ref="W612">_xlfn.IFS(V612&lt;5, "low", AND(V612&gt;=5, V612&lt;10), "med", V612&gt;=10, "high")</f>
        <v>low</v>
      </c>
      <c r="X612">
        <v>11</v>
      </c>
      <c r="Y612">
        <v>12</v>
      </c>
      <c r="Z612">
        <v>12</v>
      </c>
      <c r="AA612">
        <f t="shared" si="46"/>
        <v>0</v>
      </c>
      <c r="AB612">
        <f t="shared" si="47"/>
        <v>0</v>
      </c>
      <c r="AC612">
        <f t="shared" si="48"/>
        <v>0</v>
      </c>
      <c r="AD612" s="1">
        <f t="shared" si="49"/>
        <v>11.666666666666666</v>
      </c>
    </row>
    <row r="613" spans="1:30" x14ac:dyDescent="0.35">
      <c r="A613" t="s">
        <v>34</v>
      </c>
      <c r="B613">
        <v>17</v>
      </c>
      <c r="C613" t="s">
        <v>35</v>
      </c>
      <c r="D613" t="s">
        <v>36</v>
      </c>
      <c r="E613" t="s">
        <v>44</v>
      </c>
      <c r="F613" t="s">
        <v>45</v>
      </c>
      <c r="G613" t="s">
        <v>45</v>
      </c>
      <c r="H613">
        <v>2</v>
      </c>
      <c r="I613">
        <v>0</v>
      </c>
      <c r="J613" t="s">
        <v>43</v>
      </c>
      <c r="K613" t="s">
        <v>42</v>
      </c>
      <c r="L613" t="s">
        <v>43</v>
      </c>
      <c r="M613" t="s">
        <v>43</v>
      </c>
      <c r="N613" t="s">
        <v>43</v>
      </c>
      <c r="O613">
        <v>4</v>
      </c>
      <c r="P613">
        <v>4</v>
      </c>
      <c r="Q613">
        <v>4</v>
      </c>
      <c r="R613">
        <v>1</v>
      </c>
      <c r="S613">
        <v>3</v>
      </c>
      <c r="T613">
        <f t="shared" si="45"/>
        <v>4</v>
      </c>
      <c r="U613" t="str" cm="1">
        <f t="array" ref="U613">_xlfn.IFS(T613&lt;3, "low", AND(T613&gt;=3, T613&lt;5), "med", T613&gt;=5, "high")</f>
        <v>med</v>
      </c>
      <c r="V613">
        <v>0</v>
      </c>
      <c r="W613" t="str" cm="1">
        <f t="array" ref="W613">_xlfn.IFS(V613&lt;5, "low", AND(V613&gt;=5, V613&lt;10), "med", V613&gt;=10, "high")</f>
        <v>low</v>
      </c>
      <c r="X613">
        <v>14</v>
      </c>
      <c r="Y613">
        <v>15</v>
      </c>
      <c r="Z613">
        <v>15</v>
      </c>
      <c r="AA613">
        <f t="shared" si="46"/>
        <v>0</v>
      </c>
      <c r="AB613">
        <f t="shared" si="47"/>
        <v>0</v>
      </c>
      <c r="AC613">
        <f t="shared" si="48"/>
        <v>0</v>
      </c>
      <c r="AD613" s="1">
        <f t="shared" si="49"/>
        <v>14.666666666666666</v>
      </c>
    </row>
    <row r="614" spans="1:30" x14ac:dyDescent="0.35">
      <c r="A614" t="s">
        <v>34</v>
      </c>
      <c r="B614">
        <v>17</v>
      </c>
      <c r="C614" t="s">
        <v>52</v>
      </c>
      <c r="D614" t="s">
        <v>36</v>
      </c>
      <c r="E614" t="s">
        <v>44</v>
      </c>
      <c r="F614" t="s">
        <v>45</v>
      </c>
      <c r="G614" t="s">
        <v>45</v>
      </c>
      <c r="H614">
        <v>1</v>
      </c>
      <c r="I614">
        <v>0</v>
      </c>
      <c r="J614" t="s">
        <v>43</v>
      </c>
      <c r="K614" t="s">
        <v>42</v>
      </c>
      <c r="L614" t="s">
        <v>43</v>
      </c>
      <c r="M614" t="s">
        <v>43</v>
      </c>
      <c r="N614" t="s">
        <v>43</v>
      </c>
      <c r="O614">
        <v>5</v>
      </c>
      <c r="P614">
        <v>3</v>
      </c>
      <c r="Q614">
        <v>2</v>
      </c>
      <c r="R614">
        <v>1</v>
      </c>
      <c r="S614">
        <v>2</v>
      </c>
      <c r="T614">
        <f t="shared" si="45"/>
        <v>3</v>
      </c>
      <c r="U614" t="str" cm="1">
        <f t="array" ref="U614">_xlfn.IFS(T614&lt;3, "low", AND(T614&gt;=3, T614&lt;5), "med", T614&gt;=5, "high")</f>
        <v>med</v>
      </c>
      <c r="V614">
        <v>21</v>
      </c>
      <c r="W614" t="str" cm="1">
        <f t="array" ref="W614">_xlfn.IFS(V614&lt;5, "low", AND(V614&gt;=5, V614&lt;10), "med", V614&gt;=10, "high")</f>
        <v>high</v>
      </c>
      <c r="X614">
        <v>13</v>
      </c>
      <c r="Y614">
        <v>13</v>
      </c>
      <c r="Z614">
        <v>13</v>
      </c>
      <c r="AA614">
        <f t="shared" si="46"/>
        <v>0</v>
      </c>
      <c r="AB614">
        <f t="shared" si="47"/>
        <v>0</v>
      </c>
      <c r="AC614">
        <f t="shared" si="48"/>
        <v>0</v>
      </c>
      <c r="AD614" s="1">
        <f t="shared" si="49"/>
        <v>13</v>
      </c>
    </row>
    <row r="615" spans="1:30" x14ac:dyDescent="0.35">
      <c r="A615" t="s">
        <v>34</v>
      </c>
      <c r="B615">
        <v>16</v>
      </c>
      <c r="C615" t="s">
        <v>52</v>
      </c>
      <c r="D615" t="s">
        <v>36</v>
      </c>
      <c r="E615" t="s">
        <v>44</v>
      </c>
      <c r="F615" t="s">
        <v>48</v>
      </c>
      <c r="G615" t="s">
        <v>48</v>
      </c>
      <c r="H615">
        <v>4</v>
      </c>
      <c r="I615">
        <v>0</v>
      </c>
      <c r="J615" t="s">
        <v>43</v>
      </c>
      <c r="K615" t="s">
        <v>42</v>
      </c>
      <c r="L615" t="s">
        <v>43</v>
      </c>
      <c r="M615" t="s">
        <v>42</v>
      </c>
      <c r="N615" t="s">
        <v>43</v>
      </c>
      <c r="O615">
        <v>5</v>
      </c>
      <c r="P615">
        <v>3</v>
      </c>
      <c r="Q615">
        <v>5</v>
      </c>
      <c r="R615">
        <v>1</v>
      </c>
      <c r="S615">
        <v>1</v>
      </c>
      <c r="T615">
        <f t="shared" si="45"/>
        <v>2</v>
      </c>
      <c r="U615" t="str" cm="1">
        <f t="array" ref="U615">_xlfn.IFS(T615&lt;3, "low", AND(T615&gt;=3, T615&lt;5), "med", T615&gt;=5, "high")</f>
        <v>low</v>
      </c>
      <c r="V615">
        <v>6</v>
      </c>
      <c r="W615" t="str" cm="1">
        <f t="array" ref="W615">_xlfn.IFS(V615&lt;5, "low", AND(V615&gt;=5, V615&lt;10), "med", V615&gt;=10, "high")</f>
        <v>med</v>
      </c>
      <c r="X615">
        <v>13</v>
      </c>
      <c r="Y615">
        <v>13</v>
      </c>
      <c r="Z615">
        <v>13</v>
      </c>
      <c r="AA615">
        <f t="shared" si="46"/>
        <v>0</v>
      </c>
      <c r="AB615">
        <f t="shared" si="47"/>
        <v>0</v>
      </c>
      <c r="AC615">
        <f t="shared" si="48"/>
        <v>0</v>
      </c>
      <c r="AD615" s="1">
        <f t="shared" si="49"/>
        <v>13</v>
      </c>
    </row>
    <row r="616" spans="1:30" x14ac:dyDescent="0.35">
      <c r="A616" t="s">
        <v>34</v>
      </c>
      <c r="B616">
        <v>17</v>
      </c>
      <c r="C616" t="s">
        <v>35</v>
      </c>
      <c r="D616" t="s">
        <v>36</v>
      </c>
      <c r="E616" t="s">
        <v>44</v>
      </c>
      <c r="F616" t="s">
        <v>38</v>
      </c>
      <c r="G616" t="s">
        <v>48</v>
      </c>
      <c r="H616">
        <v>3</v>
      </c>
      <c r="I616">
        <v>1</v>
      </c>
      <c r="J616" t="s">
        <v>43</v>
      </c>
      <c r="K616" t="s">
        <v>42</v>
      </c>
      <c r="L616" t="s">
        <v>42</v>
      </c>
      <c r="M616" t="s">
        <v>43</v>
      </c>
      <c r="N616" t="s">
        <v>42</v>
      </c>
      <c r="O616">
        <v>4</v>
      </c>
      <c r="P616">
        <v>4</v>
      </c>
      <c r="Q616">
        <v>3</v>
      </c>
      <c r="R616">
        <v>3</v>
      </c>
      <c r="S616">
        <v>4</v>
      </c>
      <c r="T616">
        <f t="shared" si="45"/>
        <v>7</v>
      </c>
      <c r="U616" t="str" cm="1">
        <f t="array" ref="U616">_xlfn.IFS(T616&lt;3, "low", AND(T616&gt;=3, T616&lt;5), "med", T616&gt;=5, "high")</f>
        <v>high</v>
      </c>
      <c r="V616">
        <v>14</v>
      </c>
      <c r="W616" t="str" cm="1">
        <f t="array" ref="W616">_xlfn.IFS(V616&lt;5, "low", AND(V616&gt;=5, V616&lt;10), "med", V616&gt;=10, "high")</f>
        <v>high</v>
      </c>
      <c r="X616">
        <v>8</v>
      </c>
      <c r="Y616">
        <v>9</v>
      </c>
      <c r="Z616">
        <v>8</v>
      </c>
      <c r="AA616">
        <f t="shared" si="46"/>
        <v>0</v>
      </c>
      <c r="AB616">
        <f t="shared" si="47"/>
        <v>1</v>
      </c>
      <c r="AC616">
        <f t="shared" si="48"/>
        <v>1</v>
      </c>
      <c r="AD616" s="1">
        <f t="shared" si="49"/>
        <v>8.3333333333333339</v>
      </c>
    </row>
    <row r="617" spans="1:30" x14ac:dyDescent="0.35">
      <c r="A617" t="s">
        <v>34</v>
      </c>
      <c r="B617">
        <v>16</v>
      </c>
      <c r="C617" t="s">
        <v>35</v>
      </c>
      <c r="D617" t="s">
        <v>36</v>
      </c>
      <c r="E617" t="s">
        <v>37</v>
      </c>
      <c r="F617" t="s">
        <v>48</v>
      </c>
      <c r="G617" t="s">
        <v>45</v>
      </c>
      <c r="H617">
        <v>2</v>
      </c>
      <c r="I617">
        <v>0</v>
      </c>
      <c r="J617" t="s">
        <v>43</v>
      </c>
      <c r="K617" t="s">
        <v>42</v>
      </c>
      <c r="L617" t="s">
        <v>43</v>
      </c>
      <c r="M617" t="s">
        <v>43</v>
      </c>
      <c r="N617" t="s">
        <v>43</v>
      </c>
      <c r="O617">
        <v>2</v>
      </c>
      <c r="P617">
        <v>3</v>
      </c>
      <c r="Q617">
        <v>3</v>
      </c>
      <c r="R617">
        <v>2</v>
      </c>
      <c r="S617">
        <v>2</v>
      </c>
      <c r="T617">
        <f t="shared" si="45"/>
        <v>4</v>
      </c>
      <c r="U617" t="str" cm="1">
        <f t="array" ref="U617">_xlfn.IFS(T617&lt;3, "low", AND(T617&gt;=3, T617&lt;5), "med", T617&gt;=5, "high")</f>
        <v>med</v>
      </c>
      <c r="V617">
        <v>2</v>
      </c>
      <c r="W617" t="str" cm="1">
        <f t="array" ref="W617">_xlfn.IFS(V617&lt;5, "low", AND(V617&gt;=5, V617&lt;10), "med", V617&gt;=10, "high")</f>
        <v>low</v>
      </c>
      <c r="X617">
        <v>11</v>
      </c>
      <c r="Y617">
        <v>11</v>
      </c>
      <c r="Z617">
        <v>12</v>
      </c>
      <c r="AA617">
        <f t="shared" si="46"/>
        <v>0</v>
      </c>
      <c r="AB617">
        <f t="shared" si="47"/>
        <v>0</v>
      </c>
      <c r="AC617">
        <f t="shared" si="48"/>
        <v>0</v>
      </c>
      <c r="AD617" s="1">
        <f t="shared" si="49"/>
        <v>11.333333333333334</v>
      </c>
    </row>
    <row r="618" spans="1:30" x14ac:dyDescent="0.35">
      <c r="A618" t="s">
        <v>34</v>
      </c>
      <c r="B618">
        <v>16</v>
      </c>
      <c r="C618" t="s">
        <v>35</v>
      </c>
      <c r="D618" t="s">
        <v>36</v>
      </c>
      <c r="E618" t="s">
        <v>44</v>
      </c>
      <c r="F618" t="s">
        <v>39</v>
      </c>
      <c r="G618" t="s">
        <v>45</v>
      </c>
      <c r="H618">
        <v>2</v>
      </c>
      <c r="I618">
        <v>0</v>
      </c>
      <c r="J618" t="s">
        <v>43</v>
      </c>
      <c r="K618" t="s">
        <v>43</v>
      </c>
      <c r="L618" t="s">
        <v>43</v>
      </c>
      <c r="M618" t="s">
        <v>42</v>
      </c>
      <c r="N618" t="s">
        <v>42</v>
      </c>
      <c r="O618">
        <v>1</v>
      </c>
      <c r="P618">
        <v>3</v>
      </c>
      <c r="Q618">
        <v>2</v>
      </c>
      <c r="R618">
        <v>1</v>
      </c>
      <c r="S618">
        <v>1</v>
      </c>
      <c r="T618">
        <f t="shared" si="45"/>
        <v>2</v>
      </c>
      <c r="U618" t="str" cm="1">
        <f t="array" ref="U618">_xlfn.IFS(T618&lt;3, "low", AND(T618&gt;=3, T618&lt;5), "med", T618&gt;=5, "high")</f>
        <v>low</v>
      </c>
      <c r="V618">
        <v>4</v>
      </c>
      <c r="W618" t="str" cm="1">
        <f t="array" ref="W618">_xlfn.IFS(V618&lt;5, "low", AND(V618&gt;=5, V618&lt;10), "med", V618&gt;=10, "high")</f>
        <v>low</v>
      </c>
      <c r="X618">
        <v>14</v>
      </c>
      <c r="Y618">
        <v>15</v>
      </c>
      <c r="Z618">
        <v>15</v>
      </c>
      <c r="AA618">
        <f t="shared" si="46"/>
        <v>0</v>
      </c>
      <c r="AB618">
        <f t="shared" si="47"/>
        <v>0</v>
      </c>
      <c r="AC618">
        <f t="shared" si="48"/>
        <v>0</v>
      </c>
      <c r="AD618" s="1">
        <f t="shared" si="49"/>
        <v>14.666666666666666</v>
      </c>
    </row>
    <row r="619" spans="1:30" x14ac:dyDescent="0.35">
      <c r="A619" t="s">
        <v>34</v>
      </c>
      <c r="B619">
        <v>16</v>
      </c>
      <c r="C619" t="s">
        <v>35</v>
      </c>
      <c r="D619" t="s">
        <v>36</v>
      </c>
      <c r="E619" t="s">
        <v>44</v>
      </c>
      <c r="F619" t="s">
        <v>38</v>
      </c>
      <c r="G619" t="s">
        <v>45</v>
      </c>
      <c r="H619">
        <v>1</v>
      </c>
      <c r="I619">
        <v>0</v>
      </c>
      <c r="J619" t="s">
        <v>43</v>
      </c>
      <c r="K619" t="s">
        <v>42</v>
      </c>
      <c r="L619" t="s">
        <v>43</v>
      </c>
      <c r="M619" t="s">
        <v>43</v>
      </c>
      <c r="N619" t="s">
        <v>43</v>
      </c>
      <c r="O619">
        <v>4</v>
      </c>
      <c r="P619">
        <v>3</v>
      </c>
      <c r="Q619">
        <v>2</v>
      </c>
      <c r="R619">
        <v>1</v>
      </c>
      <c r="S619">
        <v>4</v>
      </c>
      <c r="T619">
        <f t="shared" si="45"/>
        <v>5</v>
      </c>
      <c r="U619" t="str" cm="1">
        <f t="array" ref="U619">_xlfn.IFS(T619&lt;3, "low", AND(T619&gt;=3, T619&lt;5), "med", T619&gt;=5, "high")</f>
        <v>high</v>
      </c>
      <c r="V619">
        <v>2</v>
      </c>
      <c r="W619" t="str" cm="1">
        <f t="array" ref="W619">_xlfn.IFS(V619&lt;5, "low", AND(V619&gt;=5, V619&lt;10), "med", V619&gt;=10, "high")</f>
        <v>low</v>
      </c>
      <c r="X619">
        <v>12</v>
      </c>
      <c r="Y619">
        <v>13</v>
      </c>
      <c r="Z619">
        <v>13</v>
      </c>
      <c r="AA619">
        <f t="shared" si="46"/>
        <v>0</v>
      </c>
      <c r="AB619">
        <f t="shared" si="47"/>
        <v>0</v>
      </c>
      <c r="AC619">
        <f t="shared" si="48"/>
        <v>0</v>
      </c>
      <c r="AD619" s="1">
        <f t="shared" si="49"/>
        <v>12.666666666666666</v>
      </c>
    </row>
    <row r="620" spans="1:30" x14ac:dyDescent="0.35">
      <c r="A620" t="s">
        <v>34</v>
      </c>
      <c r="B620">
        <v>17</v>
      </c>
      <c r="C620" t="s">
        <v>52</v>
      </c>
      <c r="D620" t="s">
        <v>36</v>
      </c>
      <c r="E620" t="s">
        <v>44</v>
      </c>
      <c r="F620" t="s">
        <v>39</v>
      </c>
      <c r="G620" t="s">
        <v>45</v>
      </c>
      <c r="H620">
        <v>3</v>
      </c>
      <c r="I620">
        <v>0</v>
      </c>
      <c r="J620" t="s">
        <v>43</v>
      </c>
      <c r="K620" t="s">
        <v>42</v>
      </c>
      <c r="L620" t="s">
        <v>43</v>
      </c>
      <c r="M620" t="s">
        <v>42</v>
      </c>
      <c r="N620" t="s">
        <v>42</v>
      </c>
      <c r="O620">
        <v>4</v>
      </c>
      <c r="P620">
        <v>4</v>
      </c>
      <c r="Q620">
        <v>2</v>
      </c>
      <c r="R620">
        <v>1</v>
      </c>
      <c r="S620">
        <v>1</v>
      </c>
      <c r="T620">
        <f t="shared" si="45"/>
        <v>2</v>
      </c>
      <c r="U620" t="str" cm="1">
        <f t="array" ref="U620">_xlfn.IFS(T620&lt;3, "low", AND(T620&gt;=3, T620&lt;5), "med", T620&gt;=5, "high")</f>
        <v>low</v>
      </c>
      <c r="V620">
        <v>0</v>
      </c>
      <c r="W620" t="str" cm="1">
        <f t="array" ref="W620">_xlfn.IFS(V620&lt;5, "low", AND(V620&gt;=5, V620&lt;10), "med", V620&gt;=10, "high")</f>
        <v>low</v>
      </c>
      <c r="X620">
        <v>11</v>
      </c>
      <c r="Y620">
        <v>12</v>
      </c>
      <c r="Z620">
        <v>12</v>
      </c>
      <c r="AA620">
        <f t="shared" si="46"/>
        <v>0</v>
      </c>
      <c r="AB620">
        <f t="shared" si="47"/>
        <v>0</v>
      </c>
      <c r="AC620">
        <f t="shared" si="48"/>
        <v>0</v>
      </c>
      <c r="AD620" s="1">
        <f t="shared" si="49"/>
        <v>11.666666666666666</v>
      </c>
    </row>
    <row r="621" spans="1:30" x14ac:dyDescent="0.35">
      <c r="A621" t="s">
        <v>34</v>
      </c>
      <c r="B621">
        <v>19</v>
      </c>
      <c r="C621" t="s">
        <v>35</v>
      </c>
      <c r="D621" t="s">
        <v>36</v>
      </c>
      <c r="E621" t="s">
        <v>44</v>
      </c>
      <c r="F621" t="s">
        <v>45</v>
      </c>
      <c r="G621" t="s">
        <v>45</v>
      </c>
      <c r="H621">
        <v>4</v>
      </c>
      <c r="I621">
        <v>0</v>
      </c>
      <c r="J621" t="s">
        <v>43</v>
      </c>
      <c r="K621" t="s">
        <v>42</v>
      </c>
      <c r="L621" t="s">
        <v>43</v>
      </c>
      <c r="M621" t="s">
        <v>42</v>
      </c>
      <c r="N621" t="s">
        <v>43</v>
      </c>
      <c r="O621">
        <v>4</v>
      </c>
      <c r="P621">
        <v>3</v>
      </c>
      <c r="Q621">
        <v>3</v>
      </c>
      <c r="R621">
        <v>1</v>
      </c>
      <c r="S621">
        <v>2</v>
      </c>
      <c r="T621">
        <f t="shared" si="45"/>
        <v>3</v>
      </c>
      <c r="U621" t="str" cm="1">
        <f t="array" ref="U621">_xlfn.IFS(T621&lt;3, "low", AND(T621&gt;=3, T621&lt;5), "med", T621&gt;=5, "high")</f>
        <v>med</v>
      </c>
      <c r="V621">
        <v>4</v>
      </c>
      <c r="W621" t="str" cm="1">
        <f t="array" ref="W621">_xlfn.IFS(V621&lt;5, "low", AND(V621&gt;=5, V621&lt;10), "med", V621&gt;=10, "high")</f>
        <v>low</v>
      </c>
      <c r="X621">
        <v>12</v>
      </c>
      <c r="Y621">
        <v>12</v>
      </c>
      <c r="Z621">
        <v>12</v>
      </c>
      <c r="AA621">
        <f t="shared" si="46"/>
        <v>0</v>
      </c>
      <c r="AB621">
        <f t="shared" si="47"/>
        <v>0</v>
      </c>
      <c r="AC621">
        <f t="shared" si="48"/>
        <v>0</v>
      </c>
      <c r="AD621" s="1">
        <f t="shared" si="49"/>
        <v>12</v>
      </c>
    </row>
    <row r="622" spans="1:30" x14ac:dyDescent="0.35">
      <c r="A622" t="s">
        <v>50</v>
      </c>
      <c r="B622">
        <v>17</v>
      </c>
      <c r="C622" t="s">
        <v>35</v>
      </c>
      <c r="D622" t="s">
        <v>47</v>
      </c>
      <c r="E622" t="s">
        <v>44</v>
      </c>
      <c r="F622" t="s">
        <v>48</v>
      </c>
      <c r="G622" t="s">
        <v>45</v>
      </c>
      <c r="H622">
        <v>2</v>
      </c>
      <c r="I622">
        <v>0</v>
      </c>
      <c r="J622" t="s">
        <v>43</v>
      </c>
      <c r="K622" t="s">
        <v>42</v>
      </c>
      <c r="L622" t="s">
        <v>43</v>
      </c>
      <c r="M622" t="s">
        <v>43</v>
      </c>
      <c r="N622" t="s">
        <v>42</v>
      </c>
      <c r="O622">
        <v>5</v>
      </c>
      <c r="P622">
        <v>3</v>
      </c>
      <c r="Q622">
        <v>5</v>
      </c>
      <c r="R622">
        <v>4</v>
      </c>
      <c r="S622">
        <v>5</v>
      </c>
      <c r="T622">
        <f t="shared" si="45"/>
        <v>9</v>
      </c>
      <c r="U622" t="str" cm="1">
        <f t="array" ref="U622">_xlfn.IFS(T622&lt;3, "low", AND(T622&gt;=3, T622&lt;5), "med", T622&gt;=5, "high")</f>
        <v>high</v>
      </c>
      <c r="V622">
        <v>15</v>
      </c>
      <c r="W622" t="str" cm="1">
        <f t="array" ref="W622">_xlfn.IFS(V622&lt;5, "low", AND(V622&gt;=5, V622&lt;10), "med", V622&gt;=10, "high")</f>
        <v>high</v>
      </c>
      <c r="X622">
        <v>13</v>
      </c>
      <c r="Y622">
        <v>12</v>
      </c>
      <c r="Z622">
        <v>12</v>
      </c>
      <c r="AA622">
        <f t="shared" si="46"/>
        <v>1</v>
      </c>
      <c r="AB622">
        <f t="shared" si="47"/>
        <v>0</v>
      </c>
      <c r="AC622">
        <f t="shared" si="48"/>
        <v>1</v>
      </c>
      <c r="AD622" s="1">
        <f t="shared" si="49"/>
        <v>12.333333333333334</v>
      </c>
    </row>
    <row r="623" spans="1:30" x14ac:dyDescent="0.35">
      <c r="A623" t="s">
        <v>34</v>
      </c>
      <c r="B623">
        <v>16</v>
      </c>
      <c r="C623" t="s">
        <v>35</v>
      </c>
      <c r="D623" t="s">
        <v>36</v>
      </c>
      <c r="E623" t="s">
        <v>37</v>
      </c>
      <c r="F623" t="s">
        <v>45</v>
      </c>
      <c r="G623" t="s">
        <v>45</v>
      </c>
      <c r="H623">
        <v>2</v>
      </c>
      <c r="I623">
        <v>0</v>
      </c>
      <c r="J623" t="s">
        <v>42</v>
      </c>
      <c r="K623" t="s">
        <v>42</v>
      </c>
      <c r="L623" t="s">
        <v>43</v>
      </c>
      <c r="M623" t="s">
        <v>43</v>
      </c>
      <c r="N623" t="s">
        <v>43</v>
      </c>
      <c r="O623">
        <v>3</v>
      </c>
      <c r="P623">
        <v>3</v>
      </c>
      <c r="Q623">
        <v>4</v>
      </c>
      <c r="R623">
        <v>1</v>
      </c>
      <c r="S623">
        <v>1</v>
      </c>
      <c r="T623">
        <f t="shared" si="45"/>
        <v>2</v>
      </c>
      <c r="U623" t="str" cm="1">
        <f t="array" ref="U623">_xlfn.IFS(T623&lt;3, "low", AND(T623&gt;=3, T623&lt;5), "med", T623&gt;=5, "high")</f>
        <v>low</v>
      </c>
      <c r="V623">
        <v>0</v>
      </c>
      <c r="W623" t="str" cm="1">
        <f t="array" ref="W623">_xlfn.IFS(V623&lt;5, "low", AND(V623&gt;=5, V623&lt;10), "med", V623&gt;=10, "high")</f>
        <v>low</v>
      </c>
      <c r="X623">
        <v>13</v>
      </c>
      <c r="Y623">
        <v>13</v>
      </c>
      <c r="Z623">
        <v>13</v>
      </c>
      <c r="AA623">
        <f t="shared" si="46"/>
        <v>0</v>
      </c>
      <c r="AB623">
        <f t="shared" si="47"/>
        <v>0</v>
      </c>
      <c r="AC623">
        <f t="shared" si="48"/>
        <v>0</v>
      </c>
      <c r="AD623" s="1">
        <f t="shared" si="49"/>
        <v>13</v>
      </c>
    </row>
    <row r="624" spans="1:30" x14ac:dyDescent="0.35">
      <c r="A624" t="s">
        <v>50</v>
      </c>
      <c r="B624">
        <v>18</v>
      </c>
      <c r="C624" t="s">
        <v>35</v>
      </c>
      <c r="D624" t="s">
        <v>36</v>
      </c>
      <c r="E624" t="s">
        <v>44</v>
      </c>
      <c r="F624" t="s">
        <v>48</v>
      </c>
      <c r="G624" t="s">
        <v>45</v>
      </c>
      <c r="H624">
        <v>2</v>
      </c>
      <c r="I624">
        <v>0</v>
      </c>
      <c r="J624" t="s">
        <v>43</v>
      </c>
      <c r="K624" t="s">
        <v>42</v>
      </c>
      <c r="L624" t="s">
        <v>43</v>
      </c>
      <c r="M624" t="s">
        <v>42</v>
      </c>
      <c r="N624" t="s">
        <v>43</v>
      </c>
      <c r="O624">
        <v>4</v>
      </c>
      <c r="P624">
        <v>4</v>
      </c>
      <c r="Q624">
        <v>4</v>
      </c>
      <c r="R624">
        <v>2</v>
      </c>
      <c r="S624">
        <v>4</v>
      </c>
      <c r="T624">
        <f t="shared" si="45"/>
        <v>6</v>
      </c>
      <c r="U624" t="str" cm="1">
        <f t="array" ref="U624">_xlfn.IFS(T624&lt;3, "low", AND(T624&gt;=3, T624&lt;5), "med", T624&gt;=5, "high")</f>
        <v>high</v>
      </c>
      <c r="V624">
        <v>10</v>
      </c>
      <c r="W624" t="str" cm="1">
        <f t="array" ref="W624">_xlfn.IFS(V624&lt;5, "low", AND(V624&gt;=5, V624&lt;10), "med", V624&gt;=10, "high")</f>
        <v>high</v>
      </c>
      <c r="X624">
        <v>12</v>
      </c>
      <c r="Y624">
        <v>11</v>
      </c>
      <c r="Z624">
        <v>11</v>
      </c>
      <c r="AA624">
        <f t="shared" si="46"/>
        <v>1</v>
      </c>
      <c r="AB624">
        <f t="shared" si="47"/>
        <v>0</v>
      </c>
      <c r="AC624">
        <f t="shared" si="48"/>
        <v>1</v>
      </c>
      <c r="AD624" s="1">
        <f t="shared" si="49"/>
        <v>11.333333333333334</v>
      </c>
    </row>
    <row r="625" spans="1:30" x14ac:dyDescent="0.35">
      <c r="A625" t="s">
        <v>34</v>
      </c>
      <c r="B625">
        <v>17</v>
      </c>
      <c r="C625" t="s">
        <v>52</v>
      </c>
      <c r="D625" t="s">
        <v>47</v>
      </c>
      <c r="E625" t="s">
        <v>44</v>
      </c>
      <c r="F625" t="s">
        <v>48</v>
      </c>
      <c r="G625" t="s">
        <v>45</v>
      </c>
      <c r="H625">
        <v>1</v>
      </c>
      <c r="I625">
        <v>0</v>
      </c>
      <c r="J625" t="s">
        <v>43</v>
      </c>
      <c r="K625" t="s">
        <v>42</v>
      </c>
      <c r="L625" t="s">
        <v>43</v>
      </c>
      <c r="M625" t="s">
        <v>43</v>
      </c>
      <c r="N625" t="s">
        <v>43</v>
      </c>
      <c r="O625">
        <v>5</v>
      </c>
      <c r="P625">
        <v>2</v>
      </c>
      <c r="Q625">
        <v>1</v>
      </c>
      <c r="R625">
        <v>1</v>
      </c>
      <c r="S625">
        <v>2</v>
      </c>
      <c r="T625">
        <f t="shared" si="45"/>
        <v>3</v>
      </c>
      <c r="U625" t="str" cm="1">
        <f t="array" ref="U625">_xlfn.IFS(T625&lt;3, "low", AND(T625&gt;=3, T625&lt;5), "med", T625&gt;=5, "high")</f>
        <v>med</v>
      </c>
      <c r="V625">
        <v>6</v>
      </c>
      <c r="W625" t="str" cm="1">
        <f t="array" ref="W625">_xlfn.IFS(V625&lt;5, "low", AND(V625&gt;=5, V625&lt;10), "med", V625&gt;=10, "high")</f>
        <v>med</v>
      </c>
      <c r="X625">
        <v>12</v>
      </c>
      <c r="Y625">
        <v>11</v>
      </c>
      <c r="Z625">
        <v>11</v>
      </c>
      <c r="AA625">
        <f t="shared" si="46"/>
        <v>1</v>
      </c>
      <c r="AB625">
        <f t="shared" si="47"/>
        <v>0</v>
      </c>
      <c r="AC625">
        <f t="shared" si="48"/>
        <v>1</v>
      </c>
      <c r="AD625" s="1">
        <f t="shared" si="49"/>
        <v>11.333333333333334</v>
      </c>
    </row>
    <row r="626" spans="1:30" x14ac:dyDescent="0.35">
      <c r="A626" t="s">
        <v>34</v>
      </c>
      <c r="B626">
        <v>17</v>
      </c>
      <c r="C626" t="s">
        <v>35</v>
      </c>
      <c r="D626" t="s">
        <v>47</v>
      </c>
      <c r="E626" t="s">
        <v>44</v>
      </c>
      <c r="F626" t="s">
        <v>45</v>
      </c>
      <c r="G626" t="s">
        <v>45</v>
      </c>
      <c r="H626">
        <v>2</v>
      </c>
      <c r="I626">
        <v>0</v>
      </c>
      <c r="J626" t="s">
        <v>43</v>
      </c>
      <c r="K626" t="s">
        <v>43</v>
      </c>
      <c r="L626" t="s">
        <v>43</v>
      </c>
      <c r="M626" t="s">
        <v>43</v>
      </c>
      <c r="N626" t="s">
        <v>43</v>
      </c>
      <c r="O626">
        <v>4</v>
      </c>
      <c r="P626">
        <v>4</v>
      </c>
      <c r="Q626">
        <v>4</v>
      </c>
      <c r="R626">
        <v>1</v>
      </c>
      <c r="S626">
        <v>3</v>
      </c>
      <c r="T626">
        <f t="shared" si="45"/>
        <v>4</v>
      </c>
      <c r="U626" t="str" cm="1">
        <f t="array" ref="U626">_xlfn.IFS(T626&lt;3, "low", AND(T626&gt;=3, T626&lt;5), "med", T626&gt;=5, "high")</f>
        <v>med</v>
      </c>
      <c r="V626">
        <v>2</v>
      </c>
      <c r="W626" t="str" cm="1">
        <f t="array" ref="W626">_xlfn.IFS(V626&lt;5, "low", AND(V626&gt;=5, V626&lt;10), "med", V626&gt;=10, "high")</f>
        <v>low</v>
      </c>
      <c r="X626">
        <v>14</v>
      </c>
      <c r="Y626">
        <v>16</v>
      </c>
      <c r="Z626">
        <v>15</v>
      </c>
      <c r="AA626">
        <f t="shared" si="46"/>
        <v>0</v>
      </c>
      <c r="AB626">
        <f t="shared" si="47"/>
        <v>1</v>
      </c>
      <c r="AC626">
        <f t="shared" si="48"/>
        <v>1</v>
      </c>
      <c r="AD626" s="1">
        <f t="shared" si="49"/>
        <v>15</v>
      </c>
    </row>
    <row r="627" spans="1:30" x14ac:dyDescent="0.35">
      <c r="A627" t="s">
        <v>34</v>
      </c>
      <c r="B627">
        <v>17</v>
      </c>
      <c r="C627" t="s">
        <v>35</v>
      </c>
      <c r="D627" t="s">
        <v>36</v>
      </c>
      <c r="E627" t="s">
        <v>44</v>
      </c>
      <c r="F627" t="s">
        <v>45</v>
      </c>
      <c r="G627" t="s">
        <v>45</v>
      </c>
      <c r="H627">
        <v>2</v>
      </c>
      <c r="I627">
        <v>0</v>
      </c>
      <c r="J627" t="s">
        <v>43</v>
      </c>
      <c r="K627" t="s">
        <v>43</v>
      </c>
      <c r="L627" t="s">
        <v>43</v>
      </c>
      <c r="M627" t="s">
        <v>43</v>
      </c>
      <c r="N627" t="s">
        <v>42</v>
      </c>
      <c r="O627">
        <v>3</v>
      </c>
      <c r="P627">
        <v>4</v>
      </c>
      <c r="Q627">
        <v>5</v>
      </c>
      <c r="R627">
        <v>2</v>
      </c>
      <c r="S627">
        <v>4</v>
      </c>
      <c r="T627">
        <f t="shared" si="45"/>
        <v>6</v>
      </c>
      <c r="U627" t="str" cm="1">
        <f t="array" ref="U627">_xlfn.IFS(T627&lt;3, "low", AND(T627&gt;=3, T627&lt;5), "med", T627&gt;=5, "high")</f>
        <v>high</v>
      </c>
      <c r="V627">
        <v>16</v>
      </c>
      <c r="W627" t="str" cm="1">
        <f t="array" ref="W627">_xlfn.IFS(V627&lt;5, "low", AND(V627&gt;=5, V627&lt;10), "med", V627&gt;=10, "high")</f>
        <v>high</v>
      </c>
      <c r="X627">
        <v>11</v>
      </c>
      <c r="Y627">
        <v>9</v>
      </c>
      <c r="Z627">
        <v>10</v>
      </c>
      <c r="AA627">
        <f t="shared" si="46"/>
        <v>1</v>
      </c>
      <c r="AB627">
        <f t="shared" si="47"/>
        <v>0</v>
      </c>
      <c r="AC627">
        <f t="shared" si="48"/>
        <v>1</v>
      </c>
      <c r="AD627" s="1">
        <f t="shared" si="49"/>
        <v>10</v>
      </c>
    </row>
    <row r="628" spans="1:30" x14ac:dyDescent="0.35">
      <c r="A628" t="s">
        <v>50</v>
      </c>
      <c r="B628">
        <v>18</v>
      </c>
      <c r="C628" t="s">
        <v>35</v>
      </c>
      <c r="D628" t="s">
        <v>47</v>
      </c>
      <c r="E628" t="s">
        <v>44</v>
      </c>
      <c r="F628" t="s">
        <v>48</v>
      </c>
      <c r="G628" t="s">
        <v>28</v>
      </c>
      <c r="H628">
        <v>2</v>
      </c>
      <c r="I628">
        <v>0</v>
      </c>
      <c r="J628" t="s">
        <v>43</v>
      </c>
      <c r="K628" t="s">
        <v>42</v>
      </c>
      <c r="L628" t="s">
        <v>43</v>
      </c>
      <c r="M628" t="s">
        <v>43</v>
      </c>
      <c r="N628" t="s">
        <v>43</v>
      </c>
      <c r="O628">
        <v>3</v>
      </c>
      <c r="P628">
        <v>2</v>
      </c>
      <c r="Q628">
        <v>4</v>
      </c>
      <c r="R628">
        <v>2</v>
      </c>
      <c r="S628">
        <v>4</v>
      </c>
      <c r="T628">
        <f t="shared" si="45"/>
        <v>6</v>
      </c>
      <c r="U628" t="str" cm="1">
        <f t="array" ref="U628">_xlfn.IFS(T628&lt;3, "low", AND(T628&gt;=3, T628&lt;5), "med", T628&gt;=5, "high")</f>
        <v>high</v>
      </c>
      <c r="V628">
        <v>10</v>
      </c>
      <c r="W628" t="str" cm="1">
        <f t="array" ref="W628">_xlfn.IFS(V628&lt;5, "low", AND(V628&gt;=5, V628&lt;10), "med", V628&gt;=10, "high")</f>
        <v>high</v>
      </c>
      <c r="X628">
        <v>10</v>
      </c>
      <c r="Y628">
        <v>10</v>
      </c>
      <c r="Z628">
        <v>10</v>
      </c>
      <c r="AA628">
        <f t="shared" si="46"/>
        <v>0</v>
      </c>
      <c r="AB628">
        <f t="shared" si="47"/>
        <v>0</v>
      </c>
      <c r="AC628">
        <f t="shared" si="48"/>
        <v>0</v>
      </c>
      <c r="AD628" s="1">
        <f t="shared" si="49"/>
        <v>10</v>
      </c>
    </row>
    <row r="629" spans="1:30" x14ac:dyDescent="0.35">
      <c r="A629" t="s">
        <v>34</v>
      </c>
      <c r="B629">
        <v>17</v>
      </c>
      <c r="C629" t="s">
        <v>35</v>
      </c>
      <c r="D629" t="s">
        <v>36</v>
      </c>
      <c r="E629" t="s">
        <v>44</v>
      </c>
      <c r="F629" t="s">
        <v>38</v>
      </c>
      <c r="G629" t="s">
        <v>45</v>
      </c>
      <c r="H629">
        <v>1</v>
      </c>
      <c r="I629">
        <v>0</v>
      </c>
      <c r="J629" t="s">
        <v>43</v>
      </c>
      <c r="K629" t="s">
        <v>42</v>
      </c>
      <c r="L629" t="s">
        <v>43</v>
      </c>
      <c r="M629" t="s">
        <v>43</v>
      </c>
      <c r="N629" t="s">
        <v>43</v>
      </c>
      <c r="O629">
        <v>3</v>
      </c>
      <c r="P629">
        <v>3</v>
      </c>
      <c r="Q629">
        <v>3</v>
      </c>
      <c r="R629">
        <v>1</v>
      </c>
      <c r="S629">
        <v>4</v>
      </c>
      <c r="T629">
        <f t="shared" si="45"/>
        <v>5</v>
      </c>
      <c r="U629" t="str" cm="1">
        <f t="array" ref="U629">_xlfn.IFS(T629&lt;3, "low", AND(T629&gt;=3, T629&lt;5), "med", T629&gt;=5, "high")</f>
        <v>high</v>
      </c>
      <c r="V629">
        <v>4</v>
      </c>
      <c r="W629" t="str" cm="1">
        <f t="array" ref="W629">_xlfn.IFS(V629&lt;5, "low", AND(V629&gt;=5, V629&lt;10), "med", V629&gt;=10, "high")</f>
        <v>low</v>
      </c>
      <c r="X629">
        <v>12</v>
      </c>
      <c r="Y629">
        <v>13</v>
      </c>
      <c r="Z629">
        <v>13</v>
      </c>
      <c r="AA629">
        <f t="shared" si="46"/>
        <v>0</v>
      </c>
      <c r="AB629">
        <f t="shared" si="47"/>
        <v>0</v>
      </c>
      <c r="AC629">
        <f t="shared" si="48"/>
        <v>0</v>
      </c>
      <c r="AD629" s="1">
        <f t="shared" si="49"/>
        <v>12.666666666666666</v>
      </c>
    </row>
    <row r="630" spans="1:30" x14ac:dyDescent="0.35">
      <c r="A630" t="s">
        <v>34</v>
      </c>
      <c r="B630">
        <v>17</v>
      </c>
      <c r="C630" t="s">
        <v>35</v>
      </c>
      <c r="D630" t="s">
        <v>36</v>
      </c>
      <c r="E630" t="s">
        <v>44</v>
      </c>
      <c r="F630" t="s">
        <v>38</v>
      </c>
      <c r="G630" t="s">
        <v>38</v>
      </c>
      <c r="H630">
        <v>3</v>
      </c>
      <c r="I630">
        <v>0</v>
      </c>
      <c r="J630" t="s">
        <v>43</v>
      </c>
      <c r="K630" t="s">
        <v>42</v>
      </c>
      <c r="L630" t="s">
        <v>43</v>
      </c>
      <c r="M630" t="s">
        <v>42</v>
      </c>
      <c r="N630" t="s">
        <v>43</v>
      </c>
      <c r="O630">
        <v>4</v>
      </c>
      <c r="P630">
        <v>3</v>
      </c>
      <c r="Q630">
        <v>3</v>
      </c>
      <c r="R630">
        <v>1</v>
      </c>
      <c r="S630">
        <v>1</v>
      </c>
      <c r="T630">
        <f t="shared" si="45"/>
        <v>2</v>
      </c>
      <c r="U630" t="str" cm="1">
        <f t="array" ref="U630">_xlfn.IFS(T630&lt;3, "low", AND(T630&gt;=3, T630&lt;5), "med", T630&gt;=5, "high")</f>
        <v>low</v>
      </c>
      <c r="V630">
        <v>0</v>
      </c>
      <c r="W630" t="str" cm="1">
        <f t="array" ref="W630">_xlfn.IFS(V630&lt;5, "low", AND(V630&gt;=5, V630&lt;10), "med", V630&gt;=10, "high")</f>
        <v>low</v>
      </c>
      <c r="X630">
        <v>12</v>
      </c>
      <c r="Y630">
        <v>12</v>
      </c>
      <c r="Z630">
        <v>13</v>
      </c>
      <c r="AA630">
        <f t="shared" si="46"/>
        <v>0</v>
      </c>
      <c r="AB630">
        <f t="shared" si="47"/>
        <v>0</v>
      </c>
      <c r="AC630">
        <f t="shared" si="48"/>
        <v>0</v>
      </c>
      <c r="AD630" s="1">
        <f t="shared" si="49"/>
        <v>12.333333333333334</v>
      </c>
    </row>
    <row r="631" spans="1:30" x14ac:dyDescent="0.35">
      <c r="A631" t="s">
        <v>34</v>
      </c>
      <c r="B631">
        <v>17</v>
      </c>
      <c r="C631" t="s">
        <v>52</v>
      </c>
      <c r="D631" t="s">
        <v>36</v>
      </c>
      <c r="E631" t="s">
        <v>44</v>
      </c>
      <c r="F631" t="s">
        <v>38</v>
      </c>
      <c r="G631" t="s">
        <v>48</v>
      </c>
      <c r="H631">
        <v>2</v>
      </c>
      <c r="I631">
        <v>0</v>
      </c>
      <c r="J631" t="s">
        <v>43</v>
      </c>
      <c r="K631" t="s">
        <v>42</v>
      </c>
      <c r="L631" t="s">
        <v>43</v>
      </c>
      <c r="M631" t="s">
        <v>42</v>
      </c>
      <c r="N631" t="s">
        <v>43</v>
      </c>
      <c r="O631">
        <v>4</v>
      </c>
      <c r="P631">
        <v>2</v>
      </c>
      <c r="Q631">
        <v>5</v>
      </c>
      <c r="R631">
        <v>1</v>
      </c>
      <c r="S631">
        <v>2</v>
      </c>
      <c r="T631">
        <f t="shared" si="45"/>
        <v>3</v>
      </c>
      <c r="U631" t="str" cm="1">
        <f t="array" ref="U631">_xlfn.IFS(T631&lt;3, "low", AND(T631&gt;=3, T631&lt;5), "med", T631&gt;=5, "high")</f>
        <v>med</v>
      </c>
      <c r="V631">
        <v>0</v>
      </c>
      <c r="W631" t="str" cm="1">
        <f t="array" ref="W631">_xlfn.IFS(V631&lt;5, "low", AND(V631&gt;=5, V631&lt;10), "med", V631&gt;=10, "high")</f>
        <v>low</v>
      </c>
      <c r="X631">
        <v>11</v>
      </c>
      <c r="Y631">
        <v>10</v>
      </c>
      <c r="Z631">
        <v>11</v>
      </c>
      <c r="AA631">
        <f t="shared" si="46"/>
        <v>1</v>
      </c>
      <c r="AB631">
        <f t="shared" si="47"/>
        <v>0</v>
      </c>
      <c r="AC631">
        <f t="shared" si="48"/>
        <v>1</v>
      </c>
      <c r="AD631" s="1">
        <f t="shared" si="49"/>
        <v>10.666666666666666</v>
      </c>
    </row>
    <row r="632" spans="1:30" x14ac:dyDescent="0.35">
      <c r="A632" t="s">
        <v>34</v>
      </c>
      <c r="B632">
        <v>17</v>
      </c>
      <c r="C632" t="s">
        <v>35</v>
      </c>
      <c r="D632" t="s">
        <v>36</v>
      </c>
      <c r="E632" t="s">
        <v>44</v>
      </c>
      <c r="F632" t="s">
        <v>38</v>
      </c>
      <c r="G632" t="s">
        <v>45</v>
      </c>
      <c r="H632">
        <v>3</v>
      </c>
      <c r="I632">
        <v>0</v>
      </c>
      <c r="J632" t="s">
        <v>43</v>
      </c>
      <c r="K632" t="s">
        <v>42</v>
      </c>
      <c r="L632" t="s">
        <v>43</v>
      </c>
      <c r="M632" t="s">
        <v>42</v>
      </c>
      <c r="N632" t="s">
        <v>42</v>
      </c>
      <c r="O632">
        <v>4</v>
      </c>
      <c r="P632">
        <v>3</v>
      </c>
      <c r="Q632">
        <v>4</v>
      </c>
      <c r="R632">
        <v>1</v>
      </c>
      <c r="S632">
        <v>1</v>
      </c>
      <c r="T632">
        <f t="shared" si="45"/>
        <v>2</v>
      </c>
      <c r="U632" t="str" cm="1">
        <f t="array" ref="U632">_xlfn.IFS(T632&lt;3, "low", AND(T632&gt;=3, T632&lt;5), "med", T632&gt;=5, "high")</f>
        <v>low</v>
      </c>
      <c r="V632">
        <v>12</v>
      </c>
      <c r="W632" t="str" cm="1">
        <f t="array" ref="W632">_xlfn.IFS(V632&lt;5, "low", AND(V632&gt;=5, V632&lt;10), "med", V632&gt;=10, "high")</f>
        <v>high</v>
      </c>
      <c r="X632">
        <v>12</v>
      </c>
      <c r="Y632">
        <v>12</v>
      </c>
      <c r="Z632">
        <v>12</v>
      </c>
      <c r="AA632">
        <f t="shared" si="46"/>
        <v>0</v>
      </c>
      <c r="AB632">
        <f t="shared" si="47"/>
        <v>0</v>
      </c>
      <c r="AC632">
        <f t="shared" si="48"/>
        <v>0</v>
      </c>
      <c r="AD632" s="1">
        <f t="shared" si="49"/>
        <v>12</v>
      </c>
    </row>
    <row r="633" spans="1:30" x14ac:dyDescent="0.35">
      <c r="A633" t="s">
        <v>34</v>
      </c>
      <c r="B633">
        <v>16</v>
      </c>
      <c r="C633" t="s">
        <v>35</v>
      </c>
      <c r="D633" t="s">
        <v>36</v>
      </c>
      <c r="E633" t="s">
        <v>44</v>
      </c>
      <c r="F633" t="s">
        <v>48</v>
      </c>
      <c r="G633" t="s">
        <v>39</v>
      </c>
      <c r="H633">
        <v>2</v>
      </c>
      <c r="I633">
        <v>0</v>
      </c>
      <c r="J633" t="s">
        <v>42</v>
      </c>
      <c r="K633" t="s">
        <v>43</v>
      </c>
      <c r="L633" t="s">
        <v>43</v>
      </c>
      <c r="M633" t="s">
        <v>43</v>
      </c>
      <c r="N633" t="s">
        <v>43</v>
      </c>
      <c r="O633">
        <v>2</v>
      </c>
      <c r="P633">
        <v>3</v>
      </c>
      <c r="Q633">
        <v>1</v>
      </c>
      <c r="R633">
        <v>1</v>
      </c>
      <c r="S633">
        <v>1</v>
      </c>
      <c r="T633">
        <f t="shared" si="45"/>
        <v>2</v>
      </c>
      <c r="U633" t="str" cm="1">
        <f t="array" ref="U633">_xlfn.IFS(T633&lt;3, "low", AND(T633&gt;=3, T633&lt;5), "med", T633&gt;=5, "high")</f>
        <v>low</v>
      </c>
      <c r="V633">
        <v>0</v>
      </c>
      <c r="W633" t="str" cm="1">
        <f t="array" ref="W633">_xlfn.IFS(V633&lt;5, "low", AND(V633&gt;=5, V633&lt;10), "med", V633&gt;=10, "high")</f>
        <v>low</v>
      </c>
      <c r="X633">
        <v>13</v>
      </c>
      <c r="Y633">
        <v>13</v>
      </c>
      <c r="Z633">
        <v>14</v>
      </c>
      <c r="AA633">
        <f t="shared" si="46"/>
        <v>0</v>
      </c>
      <c r="AB633">
        <f t="shared" si="47"/>
        <v>0</v>
      </c>
      <c r="AC633">
        <f t="shared" si="48"/>
        <v>0</v>
      </c>
      <c r="AD633" s="1">
        <f t="shared" si="49"/>
        <v>13.333333333333334</v>
      </c>
    </row>
    <row r="634" spans="1:30" x14ac:dyDescent="0.35">
      <c r="A634" t="s">
        <v>50</v>
      </c>
      <c r="B634">
        <v>18</v>
      </c>
      <c r="C634" t="s">
        <v>35</v>
      </c>
      <c r="D634" t="s">
        <v>36</v>
      </c>
      <c r="E634" t="s">
        <v>44</v>
      </c>
      <c r="F634" t="s">
        <v>45</v>
      </c>
      <c r="G634" t="s">
        <v>45</v>
      </c>
      <c r="H634">
        <v>2</v>
      </c>
      <c r="I634">
        <v>3</v>
      </c>
      <c r="J634" t="s">
        <v>43</v>
      </c>
      <c r="K634" t="s">
        <v>42</v>
      </c>
      <c r="L634" t="s">
        <v>42</v>
      </c>
      <c r="M634" t="s">
        <v>43</v>
      </c>
      <c r="N634" t="s">
        <v>43</v>
      </c>
      <c r="O634">
        <v>3</v>
      </c>
      <c r="P634">
        <v>3</v>
      </c>
      <c r="Q634">
        <v>3</v>
      </c>
      <c r="R634">
        <v>5</v>
      </c>
      <c r="S634">
        <v>5</v>
      </c>
      <c r="T634">
        <f t="shared" si="45"/>
        <v>10</v>
      </c>
      <c r="U634" t="str" cm="1">
        <f t="array" ref="U634">_xlfn.IFS(T634&lt;3, "low", AND(T634&gt;=3, T634&lt;5), "med", T634&gt;=5, "high")</f>
        <v>high</v>
      </c>
      <c r="V634">
        <v>9</v>
      </c>
      <c r="W634" t="str" cm="1">
        <f t="array" ref="W634">_xlfn.IFS(V634&lt;5, "low", AND(V634&gt;=5, V634&lt;10), "med", V634&gt;=10, "high")</f>
        <v>med</v>
      </c>
      <c r="X634">
        <v>10</v>
      </c>
      <c r="Y634">
        <v>9</v>
      </c>
      <c r="Z634">
        <v>10</v>
      </c>
      <c r="AA634">
        <f t="shared" si="46"/>
        <v>1</v>
      </c>
      <c r="AB634">
        <f t="shared" si="47"/>
        <v>0</v>
      </c>
      <c r="AC634">
        <f t="shared" si="48"/>
        <v>1</v>
      </c>
      <c r="AD634" s="1">
        <f t="shared" si="49"/>
        <v>9.6666666666666661</v>
      </c>
    </row>
    <row r="635" spans="1:30" x14ac:dyDescent="0.35">
      <c r="A635" t="s">
        <v>34</v>
      </c>
      <c r="B635">
        <v>16</v>
      </c>
      <c r="C635" t="s">
        <v>35</v>
      </c>
      <c r="D635" t="s">
        <v>36</v>
      </c>
      <c r="E635" t="s">
        <v>44</v>
      </c>
      <c r="F635" t="s">
        <v>39</v>
      </c>
      <c r="G635" t="s">
        <v>48</v>
      </c>
      <c r="H635">
        <v>3</v>
      </c>
      <c r="I635">
        <v>0</v>
      </c>
      <c r="J635" t="s">
        <v>43</v>
      </c>
      <c r="K635" t="s">
        <v>42</v>
      </c>
      <c r="L635" t="s">
        <v>43</v>
      </c>
      <c r="M635" t="s">
        <v>42</v>
      </c>
      <c r="N635" t="s">
        <v>43</v>
      </c>
      <c r="O635">
        <v>5</v>
      </c>
      <c r="P635">
        <v>3</v>
      </c>
      <c r="Q635">
        <v>2</v>
      </c>
      <c r="R635">
        <v>1</v>
      </c>
      <c r="S635">
        <v>1</v>
      </c>
      <c r="T635">
        <f t="shared" si="45"/>
        <v>2</v>
      </c>
      <c r="U635" t="str" cm="1">
        <f t="array" ref="U635">_xlfn.IFS(T635&lt;3, "low", AND(T635&gt;=3, T635&lt;5), "med", T635&gt;=5, "high")</f>
        <v>low</v>
      </c>
      <c r="V635">
        <v>4</v>
      </c>
      <c r="W635" t="str" cm="1">
        <f t="array" ref="W635">_xlfn.IFS(V635&lt;5, "low", AND(V635&gt;=5, V635&lt;10), "med", V635&gt;=10, "high")</f>
        <v>low</v>
      </c>
      <c r="X635">
        <v>15</v>
      </c>
      <c r="Y635">
        <v>16</v>
      </c>
      <c r="Z635">
        <v>16</v>
      </c>
      <c r="AA635">
        <f t="shared" si="46"/>
        <v>0</v>
      </c>
      <c r="AB635">
        <f t="shared" si="47"/>
        <v>0</v>
      </c>
      <c r="AC635">
        <f t="shared" si="48"/>
        <v>0</v>
      </c>
      <c r="AD635" s="1">
        <f t="shared" si="49"/>
        <v>15.666666666666666</v>
      </c>
    </row>
    <row r="636" spans="1:30" x14ac:dyDescent="0.35">
      <c r="A636" t="s">
        <v>34</v>
      </c>
      <c r="B636">
        <v>18</v>
      </c>
      <c r="C636" t="s">
        <v>52</v>
      </c>
      <c r="D636" t="s">
        <v>36</v>
      </c>
      <c r="E636" t="s">
        <v>44</v>
      </c>
      <c r="F636" t="s">
        <v>45</v>
      </c>
      <c r="G636" t="s">
        <v>45</v>
      </c>
      <c r="H636">
        <v>2</v>
      </c>
      <c r="I636">
        <v>0</v>
      </c>
      <c r="J636" t="s">
        <v>43</v>
      </c>
      <c r="K636" t="s">
        <v>43</v>
      </c>
      <c r="L636" t="s">
        <v>43</v>
      </c>
      <c r="M636" t="s">
        <v>42</v>
      </c>
      <c r="N636" t="s">
        <v>42</v>
      </c>
      <c r="O636">
        <v>5</v>
      </c>
      <c r="P636">
        <v>3</v>
      </c>
      <c r="Q636">
        <v>3</v>
      </c>
      <c r="R636">
        <v>1</v>
      </c>
      <c r="S636">
        <v>1</v>
      </c>
      <c r="T636">
        <f t="shared" si="45"/>
        <v>2</v>
      </c>
      <c r="U636" t="str" cm="1">
        <f t="array" ref="U636">_xlfn.IFS(T636&lt;3, "low", AND(T636&gt;=3, T636&lt;5), "med", T636&gt;=5, "high")</f>
        <v>low</v>
      </c>
      <c r="V636">
        <v>4</v>
      </c>
      <c r="W636" t="str" cm="1">
        <f t="array" ref="W636">_xlfn.IFS(V636&lt;5, "low", AND(V636&gt;=5, V636&lt;10), "med", V636&gt;=10, "high")</f>
        <v>low</v>
      </c>
      <c r="X636">
        <v>8</v>
      </c>
      <c r="Y636">
        <v>8</v>
      </c>
      <c r="Z636">
        <v>8</v>
      </c>
      <c r="AA636">
        <f t="shared" si="46"/>
        <v>0</v>
      </c>
      <c r="AB636">
        <f t="shared" si="47"/>
        <v>0</v>
      </c>
      <c r="AC636">
        <f t="shared" si="48"/>
        <v>0</v>
      </c>
      <c r="AD636" s="1">
        <f t="shared" si="49"/>
        <v>8</v>
      </c>
    </row>
    <row r="637" spans="1:30" x14ac:dyDescent="0.35">
      <c r="A637" t="s">
        <v>34</v>
      </c>
      <c r="B637">
        <v>17</v>
      </c>
      <c r="C637" t="s">
        <v>35</v>
      </c>
      <c r="D637" t="s">
        <v>36</v>
      </c>
      <c r="E637" t="s">
        <v>44</v>
      </c>
      <c r="F637" t="s">
        <v>45</v>
      </c>
      <c r="G637" t="s">
        <v>45</v>
      </c>
      <c r="H637">
        <v>2</v>
      </c>
      <c r="I637">
        <v>0</v>
      </c>
      <c r="J637" t="s">
        <v>43</v>
      </c>
      <c r="K637" t="s">
        <v>43</v>
      </c>
      <c r="L637" t="s">
        <v>43</v>
      </c>
      <c r="M637" t="s">
        <v>42</v>
      </c>
      <c r="N637" t="s">
        <v>43</v>
      </c>
      <c r="O637">
        <v>5</v>
      </c>
      <c r="P637">
        <v>3</v>
      </c>
      <c r="Q637">
        <v>4</v>
      </c>
      <c r="R637">
        <v>1</v>
      </c>
      <c r="S637">
        <v>3</v>
      </c>
      <c r="T637">
        <f t="shared" si="45"/>
        <v>4</v>
      </c>
      <c r="U637" t="str" cm="1">
        <f t="array" ref="U637">_xlfn.IFS(T637&lt;3, "low", AND(T637&gt;=3, T637&lt;5), "med", T637&gt;=5, "high")</f>
        <v>med</v>
      </c>
      <c r="V637">
        <v>2</v>
      </c>
      <c r="W637" t="str" cm="1">
        <f t="array" ref="W637">_xlfn.IFS(V637&lt;5, "low", AND(V637&gt;=5, V637&lt;10), "med", V637&gt;=10, "high")</f>
        <v>low</v>
      </c>
      <c r="X637">
        <v>17</v>
      </c>
      <c r="Y637">
        <v>18</v>
      </c>
      <c r="Z637">
        <v>17</v>
      </c>
      <c r="AA637">
        <f t="shared" si="46"/>
        <v>0</v>
      </c>
      <c r="AB637">
        <f t="shared" si="47"/>
        <v>1</v>
      </c>
      <c r="AC637">
        <f t="shared" si="48"/>
        <v>1</v>
      </c>
      <c r="AD637" s="1">
        <f t="shared" si="49"/>
        <v>17.333333333333332</v>
      </c>
    </row>
    <row r="638" spans="1:30" x14ac:dyDescent="0.35">
      <c r="A638" t="s">
        <v>50</v>
      </c>
      <c r="B638">
        <v>17</v>
      </c>
      <c r="C638" t="s">
        <v>35</v>
      </c>
      <c r="D638" t="s">
        <v>47</v>
      </c>
      <c r="E638" t="s">
        <v>44</v>
      </c>
      <c r="F638" t="s">
        <v>48</v>
      </c>
      <c r="G638" t="s">
        <v>48</v>
      </c>
      <c r="H638">
        <v>2</v>
      </c>
      <c r="I638">
        <v>0</v>
      </c>
      <c r="J638" t="s">
        <v>43</v>
      </c>
      <c r="K638" t="s">
        <v>42</v>
      </c>
      <c r="L638" t="s">
        <v>43</v>
      </c>
      <c r="M638" t="s">
        <v>43</v>
      </c>
      <c r="N638" t="s">
        <v>43</v>
      </c>
      <c r="O638">
        <v>5</v>
      </c>
      <c r="P638">
        <v>3</v>
      </c>
      <c r="Q638">
        <v>3</v>
      </c>
      <c r="R638">
        <v>1</v>
      </c>
      <c r="S638">
        <v>3</v>
      </c>
      <c r="T638">
        <f t="shared" si="45"/>
        <v>4</v>
      </c>
      <c r="U638" t="str" cm="1">
        <f t="array" ref="U638">_xlfn.IFS(T638&lt;3, "low", AND(T638&gt;=3, T638&lt;5), "med", T638&gt;=5, "high")</f>
        <v>med</v>
      </c>
      <c r="V638">
        <v>0</v>
      </c>
      <c r="W638" t="str" cm="1">
        <f t="array" ref="W638">_xlfn.IFS(V638&lt;5, "low", AND(V638&gt;=5, V638&lt;10), "med", V638&gt;=10, "high")</f>
        <v>low</v>
      </c>
      <c r="X638">
        <v>10</v>
      </c>
      <c r="Y638">
        <v>11</v>
      </c>
      <c r="Z638">
        <v>11</v>
      </c>
      <c r="AA638">
        <f t="shared" si="46"/>
        <v>0</v>
      </c>
      <c r="AB638">
        <f t="shared" si="47"/>
        <v>0</v>
      </c>
      <c r="AC638">
        <f t="shared" si="48"/>
        <v>0</v>
      </c>
      <c r="AD638" s="1">
        <f t="shared" si="49"/>
        <v>10.666666666666666</v>
      </c>
    </row>
    <row r="639" spans="1:30" x14ac:dyDescent="0.35">
      <c r="A639" t="s">
        <v>50</v>
      </c>
      <c r="B639">
        <v>18</v>
      </c>
      <c r="C639" t="s">
        <v>35</v>
      </c>
      <c r="D639" t="s">
        <v>47</v>
      </c>
      <c r="E639" t="s">
        <v>44</v>
      </c>
      <c r="F639" t="s">
        <v>38</v>
      </c>
      <c r="G639" t="s">
        <v>45</v>
      </c>
      <c r="H639">
        <v>2</v>
      </c>
      <c r="I639">
        <v>0</v>
      </c>
      <c r="J639" t="s">
        <v>42</v>
      </c>
      <c r="K639" t="s">
        <v>42</v>
      </c>
      <c r="L639" t="s">
        <v>43</v>
      </c>
      <c r="M639" t="s">
        <v>42</v>
      </c>
      <c r="N639" t="s">
        <v>42</v>
      </c>
      <c r="O639">
        <v>4</v>
      </c>
      <c r="P639">
        <v>3</v>
      </c>
      <c r="Q639">
        <v>2</v>
      </c>
      <c r="R639">
        <v>4</v>
      </c>
      <c r="S639">
        <v>5</v>
      </c>
      <c r="T639">
        <f t="shared" si="45"/>
        <v>9</v>
      </c>
      <c r="U639" t="str" cm="1">
        <f t="array" ref="U639">_xlfn.IFS(T639&lt;3, "low", AND(T639&gt;=3, T639&lt;5), "med", T639&gt;=5, "high")</f>
        <v>high</v>
      </c>
      <c r="V639">
        <v>2</v>
      </c>
      <c r="W639" t="str" cm="1">
        <f t="array" ref="W639">_xlfn.IFS(V639&lt;5, "low", AND(V639&gt;=5, V639&lt;10), "med", V639&gt;=10, "high")</f>
        <v>low</v>
      </c>
      <c r="X639">
        <v>9</v>
      </c>
      <c r="Y639">
        <v>10</v>
      </c>
      <c r="Z639">
        <v>11</v>
      </c>
      <c r="AA639">
        <f t="shared" si="46"/>
        <v>0</v>
      </c>
      <c r="AB639">
        <f t="shared" si="47"/>
        <v>0</v>
      </c>
      <c r="AC639">
        <f t="shared" si="48"/>
        <v>0</v>
      </c>
      <c r="AD639" s="1">
        <f t="shared" si="49"/>
        <v>10</v>
      </c>
    </row>
    <row r="640" spans="1:30" x14ac:dyDescent="0.35">
      <c r="A640" t="s">
        <v>34</v>
      </c>
      <c r="B640">
        <v>17</v>
      </c>
      <c r="C640" t="s">
        <v>35</v>
      </c>
      <c r="D640" t="s">
        <v>36</v>
      </c>
      <c r="E640" t="s">
        <v>37</v>
      </c>
      <c r="F640" t="s">
        <v>45</v>
      </c>
      <c r="G640" t="s">
        <v>45</v>
      </c>
      <c r="H640">
        <v>3</v>
      </c>
      <c r="I640">
        <v>0</v>
      </c>
      <c r="J640" t="s">
        <v>43</v>
      </c>
      <c r="K640" t="s">
        <v>43</v>
      </c>
      <c r="L640" t="s">
        <v>43</v>
      </c>
      <c r="M640" t="s">
        <v>42</v>
      </c>
      <c r="N640" t="s">
        <v>42</v>
      </c>
      <c r="O640">
        <v>3</v>
      </c>
      <c r="P640">
        <v>2</v>
      </c>
      <c r="Q640">
        <v>3</v>
      </c>
      <c r="R640">
        <v>1</v>
      </c>
      <c r="S640">
        <v>2</v>
      </c>
      <c r="T640">
        <f t="shared" si="45"/>
        <v>3</v>
      </c>
      <c r="U640" t="str" cm="1">
        <f t="array" ref="U640">_xlfn.IFS(T640&lt;3, "low", AND(T640&gt;=3, T640&lt;5), "med", T640&gt;=5, "high")</f>
        <v>med</v>
      </c>
      <c r="V640">
        <v>0</v>
      </c>
      <c r="W640" t="str" cm="1">
        <f t="array" ref="W640">_xlfn.IFS(V640&lt;5, "low", AND(V640&gt;=5, V640&lt;10), "med", V640&gt;=10, "high")</f>
        <v>low</v>
      </c>
      <c r="X640">
        <v>15</v>
      </c>
      <c r="Y640">
        <v>15</v>
      </c>
      <c r="Z640">
        <v>16</v>
      </c>
      <c r="AA640">
        <f t="shared" si="46"/>
        <v>0</v>
      </c>
      <c r="AB640">
        <f t="shared" si="47"/>
        <v>0</v>
      </c>
      <c r="AC640">
        <f t="shared" si="48"/>
        <v>0</v>
      </c>
      <c r="AD640" s="1">
        <f t="shared" si="49"/>
        <v>15.333333333333334</v>
      </c>
    </row>
    <row r="641" spans="1:30" x14ac:dyDescent="0.35">
      <c r="A641" t="s">
        <v>34</v>
      </c>
      <c r="B641">
        <v>17</v>
      </c>
      <c r="C641" t="s">
        <v>35</v>
      </c>
      <c r="D641" t="s">
        <v>47</v>
      </c>
      <c r="E641" t="s">
        <v>44</v>
      </c>
      <c r="F641" t="s">
        <v>28</v>
      </c>
      <c r="G641" t="s">
        <v>45</v>
      </c>
      <c r="H641">
        <v>2</v>
      </c>
      <c r="I641">
        <v>0</v>
      </c>
      <c r="J641" t="s">
        <v>43</v>
      </c>
      <c r="K641" t="s">
        <v>43</v>
      </c>
      <c r="L641" t="s">
        <v>43</v>
      </c>
      <c r="M641" t="s">
        <v>42</v>
      </c>
      <c r="N641" t="s">
        <v>42</v>
      </c>
      <c r="O641">
        <v>3</v>
      </c>
      <c r="P641">
        <v>2</v>
      </c>
      <c r="Q641">
        <v>3</v>
      </c>
      <c r="R641">
        <v>1</v>
      </c>
      <c r="S641">
        <v>2</v>
      </c>
      <c r="T641">
        <f t="shared" si="45"/>
        <v>3</v>
      </c>
      <c r="U641" t="str" cm="1">
        <f t="array" ref="U641">_xlfn.IFS(T641&lt;3, "low", AND(T641&gt;=3, T641&lt;5), "med", T641&gt;=5, "high")</f>
        <v>med</v>
      </c>
      <c r="V641">
        <v>0</v>
      </c>
      <c r="W641" t="str" cm="1">
        <f t="array" ref="W641">_xlfn.IFS(V641&lt;5, "low", AND(V641&gt;=5, V641&lt;10), "med", V641&gt;=10, "high")</f>
        <v>low</v>
      </c>
      <c r="X641">
        <v>14</v>
      </c>
      <c r="Y641">
        <v>12</v>
      </c>
      <c r="Z641">
        <v>12</v>
      </c>
      <c r="AA641">
        <f t="shared" si="46"/>
        <v>1</v>
      </c>
      <c r="AB641">
        <f t="shared" si="47"/>
        <v>0</v>
      </c>
      <c r="AC641">
        <f t="shared" si="48"/>
        <v>1</v>
      </c>
      <c r="AD641" s="1">
        <f t="shared" si="49"/>
        <v>12.666666666666666</v>
      </c>
    </row>
    <row r="642" spans="1:30" x14ac:dyDescent="0.35">
      <c r="A642" t="s">
        <v>50</v>
      </c>
      <c r="B642">
        <v>17</v>
      </c>
      <c r="C642" t="s">
        <v>52</v>
      </c>
      <c r="D642" t="s">
        <v>36</v>
      </c>
      <c r="E642" t="s">
        <v>44</v>
      </c>
      <c r="F642" t="s">
        <v>45</v>
      </c>
      <c r="G642" t="s">
        <v>45</v>
      </c>
      <c r="H642">
        <v>2</v>
      </c>
      <c r="I642">
        <v>0</v>
      </c>
      <c r="J642" t="s">
        <v>43</v>
      </c>
      <c r="K642" t="s">
        <v>42</v>
      </c>
      <c r="L642" t="s">
        <v>43</v>
      </c>
      <c r="M642" t="s">
        <v>42</v>
      </c>
      <c r="N642" t="s">
        <v>43</v>
      </c>
      <c r="O642">
        <v>4</v>
      </c>
      <c r="P642">
        <v>5</v>
      </c>
      <c r="Q642">
        <v>2</v>
      </c>
      <c r="R642">
        <v>1</v>
      </c>
      <c r="S642">
        <v>1</v>
      </c>
      <c r="T642">
        <f t="shared" si="45"/>
        <v>2</v>
      </c>
      <c r="U642" t="str" cm="1">
        <f t="array" ref="U642">_xlfn.IFS(T642&lt;3, "low", AND(T642&gt;=3, T642&lt;5), "med", T642&gt;=5, "high")</f>
        <v>low</v>
      </c>
      <c r="V642">
        <v>0</v>
      </c>
      <c r="W642" t="str" cm="1">
        <f t="array" ref="W642">_xlfn.IFS(V642&lt;5, "low", AND(V642&gt;=5, V642&lt;10), "med", V642&gt;=10, "high")</f>
        <v>low</v>
      </c>
      <c r="X642">
        <v>12</v>
      </c>
      <c r="Y642">
        <v>13</v>
      </c>
      <c r="Z642">
        <v>13</v>
      </c>
      <c r="AA642">
        <f t="shared" si="46"/>
        <v>0</v>
      </c>
      <c r="AB642">
        <f t="shared" si="47"/>
        <v>0</v>
      </c>
      <c r="AC642">
        <f t="shared" si="48"/>
        <v>0</v>
      </c>
      <c r="AD642" s="1">
        <f t="shared" si="49"/>
        <v>12.666666666666666</v>
      </c>
    </row>
    <row r="643" spans="1:30" x14ac:dyDescent="0.35">
      <c r="A643" t="s">
        <v>50</v>
      </c>
      <c r="B643">
        <v>17</v>
      </c>
      <c r="C643" t="s">
        <v>35</v>
      </c>
      <c r="D643" t="s">
        <v>36</v>
      </c>
      <c r="E643" t="s">
        <v>44</v>
      </c>
      <c r="F643" t="s">
        <v>39</v>
      </c>
      <c r="G643" t="s">
        <v>39</v>
      </c>
      <c r="H643">
        <v>2</v>
      </c>
      <c r="I643">
        <v>0</v>
      </c>
      <c r="J643" t="s">
        <v>42</v>
      </c>
      <c r="K643" t="s">
        <v>42</v>
      </c>
      <c r="L643" t="s">
        <v>43</v>
      </c>
      <c r="M643" t="s">
        <v>42</v>
      </c>
      <c r="N643" t="s">
        <v>42</v>
      </c>
      <c r="O643">
        <v>4</v>
      </c>
      <c r="P643">
        <v>5</v>
      </c>
      <c r="Q643">
        <v>5</v>
      </c>
      <c r="R643">
        <v>1</v>
      </c>
      <c r="S643">
        <v>3</v>
      </c>
      <c r="T643">
        <f t="shared" ref="T643:T706" si="50">R643+S643</f>
        <v>4</v>
      </c>
      <c r="U643" t="str" cm="1">
        <f t="array" ref="U643">_xlfn.IFS(T643&lt;3, "low", AND(T643&gt;=3, T643&lt;5), "med", T643&gt;=5, "high")</f>
        <v>med</v>
      </c>
      <c r="V643">
        <v>0</v>
      </c>
      <c r="W643" t="str" cm="1">
        <f t="array" ref="W643">_xlfn.IFS(V643&lt;5, "low", AND(V643&gt;=5, V643&lt;10), "med", V643&gt;=10, "high")</f>
        <v>low</v>
      </c>
      <c r="X643">
        <v>13</v>
      </c>
      <c r="Y643">
        <v>13</v>
      </c>
      <c r="Z643">
        <v>13</v>
      </c>
      <c r="AA643">
        <f t="shared" ref="AA643:AA706" si="51">IF(Y643&lt;X643,1,0)</f>
        <v>0</v>
      </c>
      <c r="AB643">
        <f t="shared" ref="AB643:AB706" si="52">IF(Z643&lt;Y643,1,0)</f>
        <v>0</v>
      </c>
      <c r="AC643">
        <f t="shared" ref="AC643:AC706" si="53">SUM(AA643:AB643)</f>
        <v>0</v>
      </c>
      <c r="AD643" s="1">
        <f t="shared" ref="AD643:AD706" si="54">AVERAGE(X643:Z643)</f>
        <v>13</v>
      </c>
    </row>
    <row r="644" spans="1:30" x14ac:dyDescent="0.35">
      <c r="A644" t="s">
        <v>50</v>
      </c>
      <c r="B644">
        <v>16</v>
      </c>
      <c r="C644" t="s">
        <v>35</v>
      </c>
      <c r="D644" t="s">
        <v>36</v>
      </c>
      <c r="E644" t="s">
        <v>44</v>
      </c>
      <c r="F644" t="s">
        <v>28</v>
      </c>
      <c r="G644" t="s">
        <v>45</v>
      </c>
      <c r="H644">
        <v>2</v>
      </c>
      <c r="I644">
        <v>0</v>
      </c>
      <c r="J644" t="s">
        <v>43</v>
      </c>
      <c r="K644" t="s">
        <v>42</v>
      </c>
      <c r="L644" t="s">
        <v>43</v>
      </c>
      <c r="M644" t="s">
        <v>42</v>
      </c>
      <c r="N644" t="s">
        <v>43</v>
      </c>
      <c r="O644">
        <v>4</v>
      </c>
      <c r="P644">
        <v>2</v>
      </c>
      <c r="Q644">
        <v>4</v>
      </c>
      <c r="R644">
        <v>2</v>
      </c>
      <c r="S644">
        <v>4</v>
      </c>
      <c r="T644">
        <f t="shared" si="50"/>
        <v>6</v>
      </c>
      <c r="U644" t="str" cm="1">
        <f t="array" ref="U644">_xlfn.IFS(T644&lt;3, "low", AND(T644&gt;=3, T644&lt;5), "med", T644&gt;=5, "high")</f>
        <v>high</v>
      </c>
      <c r="V644">
        <v>0</v>
      </c>
      <c r="W644" t="str" cm="1">
        <f t="array" ref="W644">_xlfn.IFS(V644&lt;5, "low", AND(V644&gt;=5, V644&lt;10), "med", V644&gt;=10, "high")</f>
        <v>low</v>
      </c>
      <c r="X644">
        <v>13</v>
      </c>
      <c r="Y644">
        <v>13</v>
      </c>
      <c r="Z644">
        <v>14</v>
      </c>
      <c r="AA644">
        <f t="shared" si="51"/>
        <v>0</v>
      </c>
      <c r="AB644">
        <f t="shared" si="52"/>
        <v>0</v>
      </c>
      <c r="AC644">
        <f t="shared" si="53"/>
        <v>0</v>
      </c>
      <c r="AD644" s="1">
        <f t="shared" si="54"/>
        <v>13.333333333333334</v>
      </c>
    </row>
    <row r="645" spans="1:30" x14ac:dyDescent="0.35">
      <c r="A645" t="s">
        <v>50</v>
      </c>
      <c r="B645">
        <v>16</v>
      </c>
      <c r="C645" t="s">
        <v>35</v>
      </c>
      <c r="D645" t="s">
        <v>47</v>
      </c>
      <c r="E645" t="s">
        <v>44</v>
      </c>
      <c r="F645" t="s">
        <v>45</v>
      </c>
      <c r="G645" t="s">
        <v>45</v>
      </c>
      <c r="H645">
        <v>2</v>
      </c>
      <c r="I645">
        <v>0</v>
      </c>
      <c r="J645" t="s">
        <v>43</v>
      </c>
      <c r="K645" t="s">
        <v>42</v>
      </c>
      <c r="L645" t="s">
        <v>43</v>
      </c>
      <c r="M645" t="s">
        <v>43</v>
      </c>
      <c r="N645" t="s">
        <v>43</v>
      </c>
      <c r="O645">
        <v>3</v>
      </c>
      <c r="P645">
        <v>4</v>
      </c>
      <c r="Q645">
        <v>2</v>
      </c>
      <c r="R645">
        <v>1</v>
      </c>
      <c r="S645">
        <v>1</v>
      </c>
      <c r="T645">
        <f t="shared" si="50"/>
        <v>2</v>
      </c>
      <c r="U645" t="str" cm="1">
        <f t="array" ref="U645">_xlfn.IFS(T645&lt;3, "low", AND(T645&gt;=3, T645&lt;5), "med", T645&gt;=5, "high")</f>
        <v>low</v>
      </c>
      <c r="V645">
        <v>2</v>
      </c>
      <c r="W645" t="str" cm="1">
        <f t="array" ref="W645">_xlfn.IFS(V645&lt;5, "low", AND(V645&gt;=5, V645&lt;10), "med", V645&gt;=10, "high")</f>
        <v>low</v>
      </c>
      <c r="X645">
        <v>9</v>
      </c>
      <c r="Y645">
        <v>9</v>
      </c>
      <c r="Z645">
        <v>9</v>
      </c>
      <c r="AA645">
        <f t="shared" si="51"/>
        <v>0</v>
      </c>
      <c r="AB645">
        <f t="shared" si="52"/>
        <v>0</v>
      </c>
      <c r="AC645">
        <f t="shared" si="53"/>
        <v>0</v>
      </c>
      <c r="AD645" s="1">
        <f t="shared" si="54"/>
        <v>9</v>
      </c>
    </row>
    <row r="646" spans="1:30" x14ac:dyDescent="0.35">
      <c r="A646" t="s">
        <v>50</v>
      </c>
      <c r="B646">
        <v>16</v>
      </c>
      <c r="C646" t="s">
        <v>35</v>
      </c>
      <c r="D646" t="s">
        <v>36</v>
      </c>
      <c r="E646" t="s">
        <v>44</v>
      </c>
      <c r="F646" t="s">
        <v>38</v>
      </c>
      <c r="G646" t="s">
        <v>45</v>
      </c>
      <c r="H646">
        <v>3</v>
      </c>
      <c r="I646">
        <v>0</v>
      </c>
      <c r="J646" t="s">
        <v>43</v>
      </c>
      <c r="K646" t="s">
        <v>43</v>
      </c>
      <c r="L646" t="s">
        <v>43</v>
      </c>
      <c r="M646" t="s">
        <v>42</v>
      </c>
      <c r="N646" t="s">
        <v>42</v>
      </c>
      <c r="O646">
        <v>5</v>
      </c>
      <c r="P646">
        <v>3</v>
      </c>
      <c r="Q646">
        <v>3</v>
      </c>
      <c r="R646">
        <v>1</v>
      </c>
      <c r="S646">
        <v>3</v>
      </c>
      <c r="T646">
        <f t="shared" si="50"/>
        <v>4</v>
      </c>
      <c r="U646" t="str" cm="1">
        <f t="array" ref="U646">_xlfn.IFS(T646&lt;3, "low", AND(T646&gt;=3, T646&lt;5), "med", T646&gt;=5, "high")</f>
        <v>med</v>
      </c>
      <c r="V646">
        <v>0</v>
      </c>
      <c r="W646" t="str" cm="1">
        <f t="array" ref="W646">_xlfn.IFS(V646&lt;5, "low", AND(V646&gt;=5, V646&lt;10), "med", V646&gt;=10, "high")</f>
        <v>low</v>
      </c>
      <c r="X646">
        <v>12</v>
      </c>
      <c r="Y646">
        <v>12</v>
      </c>
      <c r="Z646">
        <v>12</v>
      </c>
      <c r="AA646">
        <f t="shared" si="51"/>
        <v>0</v>
      </c>
      <c r="AB646">
        <f t="shared" si="52"/>
        <v>0</v>
      </c>
      <c r="AC646">
        <f t="shared" si="53"/>
        <v>0</v>
      </c>
      <c r="AD646" s="1">
        <f t="shared" si="54"/>
        <v>12</v>
      </c>
    </row>
    <row r="647" spans="1:30" x14ac:dyDescent="0.35">
      <c r="A647" t="s">
        <v>50</v>
      </c>
      <c r="B647">
        <v>17</v>
      </c>
      <c r="C647" t="s">
        <v>35</v>
      </c>
      <c r="D647" t="s">
        <v>47</v>
      </c>
      <c r="E647" t="s">
        <v>44</v>
      </c>
      <c r="F647" t="s">
        <v>45</v>
      </c>
      <c r="G647" t="s">
        <v>45</v>
      </c>
      <c r="H647">
        <v>2</v>
      </c>
      <c r="I647">
        <v>0</v>
      </c>
      <c r="J647" t="s">
        <v>43</v>
      </c>
      <c r="K647" t="s">
        <v>43</v>
      </c>
      <c r="L647" t="s">
        <v>43</v>
      </c>
      <c r="M647" t="s">
        <v>42</v>
      </c>
      <c r="N647" t="s">
        <v>42</v>
      </c>
      <c r="O647">
        <v>4</v>
      </c>
      <c r="P647">
        <v>4</v>
      </c>
      <c r="Q647">
        <v>2</v>
      </c>
      <c r="R647">
        <v>5</v>
      </c>
      <c r="S647">
        <v>5</v>
      </c>
      <c r="T647">
        <f t="shared" si="50"/>
        <v>10</v>
      </c>
      <c r="U647" t="str" cm="1">
        <f t="array" ref="U647">_xlfn.IFS(T647&lt;3, "low", AND(T647&gt;=3, T647&lt;5), "med", T647&gt;=5, "high")</f>
        <v>high</v>
      </c>
      <c r="V647">
        <v>0</v>
      </c>
      <c r="W647" t="str" cm="1">
        <f t="array" ref="W647">_xlfn.IFS(V647&lt;5, "low", AND(V647&gt;=5, V647&lt;10), "med", V647&gt;=10, "high")</f>
        <v>low</v>
      </c>
      <c r="X647">
        <v>16</v>
      </c>
      <c r="Y647">
        <v>16</v>
      </c>
      <c r="Z647">
        <v>16</v>
      </c>
      <c r="AA647">
        <f t="shared" si="51"/>
        <v>0</v>
      </c>
      <c r="AB647">
        <f t="shared" si="52"/>
        <v>0</v>
      </c>
      <c r="AC647">
        <f t="shared" si="53"/>
        <v>0</v>
      </c>
      <c r="AD647" s="1">
        <f t="shared" si="54"/>
        <v>16</v>
      </c>
    </row>
    <row r="648" spans="1:30" x14ac:dyDescent="0.35">
      <c r="A648" t="s">
        <v>34</v>
      </c>
      <c r="B648">
        <v>16</v>
      </c>
      <c r="C648" t="s">
        <v>35</v>
      </c>
      <c r="D648" t="s">
        <v>36</v>
      </c>
      <c r="E648" t="s">
        <v>44</v>
      </c>
      <c r="F648" t="s">
        <v>45</v>
      </c>
      <c r="G648" t="s">
        <v>45</v>
      </c>
      <c r="H648">
        <v>1</v>
      </c>
      <c r="I648">
        <v>0</v>
      </c>
      <c r="J648" t="s">
        <v>43</v>
      </c>
      <c r="K648" t="s">
        <v>43</v>
      </c>
      <c r="L648" t="s">
        <v>43</v>
      </c>
      <c r="M648" t="s">
        <v>43</v>
      </c>
      <c r="N648" t="s">
        <v>42</v>
      </c>
      <c r="O648">
        <v>4</v>
      </c>
      <c r="P648">
        <v>5</v>
      </c>
      <c r="Q648">
        <v>2</v>
      </c>
      <c r="R648">
        <v>1</v>
      </c>
      <c r="S648">
        <v>1</v>
      </c>
      <c r="T648">
        <f t="shared" si="50"/>
        <v>2</v>
      </c>
      <c r="U648" t="str" cm="1">
        <f t="array" ref="U648">_xlfn.IFS(T648&lt;3, "low", AND(T648&gt;=3, T648&lt;5), "med", T648&gt;=5, "high")</f>
        <v>low</v>
      </c>
      <c r="V648">
        <v>4</v>
      </c>
      <c r="W648" t="str" cm="1">
        <f t="array" ref="W648">_xlfn.IFS(V648&lt;5, "low", AND(V648&gt;=5, V648&lt;10), "med", V648&gt;=10, "high")</f>
        <v>low</v>
      </c>
      <c r="X648">
        <v>9</v>
      </c>
      <c r="Y648">
        <v>10</v>
      </c>
      <c r="Z648">
        <v>10</v>
      </c>
      <c r="AA648">
        <f t="shared" si="51"/>
        <v>0</v>
      </c>
      <c r="AB648">
        <f t="shared" si="52"/>
        <v>0</v>
      </c>
      <c r="AC648">
        <f t="shared" si="53"/>
        <v>0</v>
      </c>
      <c r="AD648" s="1">
        <f t="shared" si="54"/>
        <v>9.6666666666666661</v>
      </c>
    </row>
    <row r="649" spans="1:30" x14ac:dyDescent="0.35">
      <c r="A649" t="s">
        <v>34</v>
      </c>
      <c r="B649">
        <v>16</v>
      </c>
      <c r="C649" t="s">
        <v>35</v>
      </c>
      <c r="D649" t="s">
        <v>36</v>
      </c>
      <c r="E649" t="s">
        <v>37</v>
      </c>
      <c r="F649" t="s">
        <v>45</v>
      </c>
      <c r="G649" t="s">
        <v>45</v>
      </c>
      <c r="H649">
        <v>2</v>
      </c>
      <c r="I649">
        <v>0</v>
      </c>
      <c r="J649" t="s">
        <v>43</v>
      </c>
      <c r="K649" t="s">
        <v>43</v>
      </c>
      <c r="L649" t="s">
        <v>43</v>
      </c>
      <c r="M649" t="s">
        <v>42</v>
      </c>
      <c r="N649" t="s">
        <v>42</v>
      </c>
      <c r="O649">
        <v>5</v>
      </c>
      <c r="P649">
        <v>3</v>
      </c>
      <c r="Q649">
        <v>3</v>
      </c>
      <c r="R649">
        <v>1</v>
      </c>
      <c r="S649">
        <v>2</v>
      </c>
      <c r="T649">
        <f t="shared" si="50"/>
        <v>3</v>
      </c>
      <c r="U649" t="str" cm="1">
        <f t="array" ref="U649">_xlfn.IFS(T649&lt;3, "low", AND(T649&gt;=3, T649&lt;5), "med", T649&gt;=5, "high")</f>
        <v>med</v>
      </c>
      <c r="V649">
        <v>0</v>
      </c>
      <c r="W649" t="str" cm="1">
        <f t="array" ref="W649">_xlfn.IFS(V649&lt;5, "low", AND(V649&gt;=5, V649&lt;10), "med", V649&gt;=10, "high")</f>
        <v>low</v>
      </c>
      <c r="X649">
        <v>14</v>
      </c>
      <c r="Y649">
        <v>13</v>
      </c>
      <c r="Z649">
        <v>13</v>
      </c>
      <c r="AA649">
        <f t="shared" si="51"/>
        <v>1</v>
      </c>
      <c r="AB649">
        <f t="shared" si="52"/>
        <v>0</v>
      </c>
      <c r="AC649">
        <f t="shared" si="53"/>
        <v>1</v>
      </c>
      <c r="AD649" s="1">
        <f t="shared" si="54"/>
        <v>13.333333333333334</v>
      </c>
    </row>
    <row r="650" spans="1:30" x14ac:dyDescent="0.35">
      <c r="A650" t="s">
        <v>34</v>
      </c>
      <c r="B650">
        <v>18</v>
      </c>
      <c r="C650" t="s">
        <v>35</v>
      </c>
      <c r="D650" t="s">
        <v>47</v>
      </c>
      <c r="E650" t="s">
        <v>37</v>
      </c>
      <c r="F650" t="s">
        <v>48</v>
      </c>
      <c r="G650" t="s">
        <v>45</v>
      </c>
      <c r="H650">
        <v>2</v>
      </c>
      <c r="I650">
        <v>1</v>
      </c>
      <c r="J650" t="s">
        <v>43</v>
      </c>
      <c r="K650" t="s">
        <v>42</v>
      </c>
      <c r="L650" t="s">
        <v>43</v>
      </c>
      <c r="M650" t="s">
        <v>43</v>
      </c>
      <c r="N650" t="s">
        <v>43</v>
      </c>
      <c r="O650">
        <v>4</v>
      </c>
      <c r="P650">
        <v>3</v>
      </c>
      <c r="Q650">
        <v>3</v>
      </c>
      <c r="R650">
        <v>1</v>
      </c>
      <c r="S650">
        <v>1</v>
      </c>
      <c r="T650">
        <f t="shared" si="50"/>
        <v>2</v>
      </c>
      <c r="U650" t="str" cm="1">
        <f t="array" ref="U650">_xlfn.IFS(T650&lt;3, "low", AND(T650&gt;=3, T650&lt;5), "med", T650&gt;=5, "high")</f>
        <v>low</v>
      </c>
      <c r="V650">
        <v>18</v>
      </c>
      <c r="W650" t="str" cm="1">
        <f t="array" ref="W650">_xlfn.IFS(V650&lt;5, "low", AND(V650&gt;=5, V650&lt;10), "med", V650&gt;=10, "high")</f>
        <v>high</v>
      </c>
      <c r="X650">
        <v>10</v>
      </c>
      <c r="Y650">
        <v>10</v>
      </c>
      <c r="Z650">
        <v>10</v>
      </c>
      <c r="AA650">
        <f t="shared" si="51"/>
        <v>0</v>
      </c>
      <c r="AB650">
        <f t="shared" si="52"/>
        <v>0</v>
      </c>
      <c r="AC650">
        <f t="shared" si="53"/>
        <v>0</v>
      </c>
      <c r="AD650" s="1">
        <f t="shared" si="54"/>
        <v>10</v>
      </c>
    </row>
    <row r="651" spans="1:30" x14ac:dyDescent="0.35">
      <c r="A651" t="s">
        <v>34</v>
      </c>
      <c r="B651">
        <v>18</v>
      </c>
      <c r="C651" t="s">
        <v>35</v>
      </c>
      <c r="D651" t="s">
        <v>47</v>
      </c>
      <c r="E651" t="s">
        <v>44</v>
      </c>
      <c r="F651" t="s">
        <v>38</v>
      </c>
      <c r="G651" t="s">
        <v>48</v>
      </c>
      <c r="H651">
        <v>2</v>
      </c>
      <c r="I651">
        <v>1</v>
      </c>
      <c r="J651" t="s">
        <v>43</v>
      </c>
      <c r="K651" t="s">
        <v>42</v>
      </c>
      <c r="L651" t="s">
        <v>43</v>
      </c>
      <c r="M651" t="s">
        <v>43</v>
      </c>
      <c r="N651" t="s">
        <v>42</v>
      </c>
      <c r="O651">
        <v>5</v>
      </c>
      <c r="P651">
        <v>3</v>
      </c>
      <c r="Q651">
        <v>1</v>
      </c>
      <c r="R651">
        <v>1</v>
      </c>
      <c r="S651">
        <v>1</v>
      </c>
      <c r="T651">
        <f t="shared" si="50"/>
        <v>2</v>
      </c>
      <c r="U651" t="str" cm="1">
        <f t="array" ref="U651">_xlfn.IFS(T651&lt;3, "low", AND(T651&gt;=3, T651&lt;5), "med", T651&gt;=5, "high")</f>
        <v>low</v>
      </c>
      <c r="V651">
        <v>16</v>
      </c>
      <c r="W651" t="str" cm="1">
        <f t="array" ref="W651">_xlfn.IFS(V651&lt;5, "low", AND(V651&gt;=5, V651&lt;10), "med", V651&gt;=10, "high")</f>
        <v>high</v>
      </c>
      <c r="X651">
        <v>9</v>
      </c>
      <c r="Y651">
        <v>8</v>
      </c>
      <c r="Z651">
        <v>10</v>
      </c>
      <c r="AA651">
        <f t="shared" si="51"/>
        <v>1</v>
      </c>
      <c r="AB651">
        <f t="shared" si="52"/>
        <v>0</v>
      </c>
      <c r="AC651">
        <f t="shared" si="53"/>
        <v>1</v>
      </c>
      <c r="AD651" s="1">
        <f t="shared" si="54"/>
        <v>9</v>
      </c>
    </row>
    <row r="652" spans="1:30" x14ac:dyDescent="0.35">
      <c r="A652" t="s">
        <v>34</v>
      </c>
      <c r="B652">
        <v>18</v>
      </c>
      <c r="C652" t="s">
        <v>35</v>
      </c>
      <c r="D652" t="s">
        <v>36</v>
      </c>
      <c r="E652" t="s">
        <v>44</v>
      </c>
      <c r="F652" t="s">
        <v>45</v>
      </c>
      <c r="G652" t="s">
        <v>45</v>
      </c>
      <c r="H652">
        <v>1</v>
      </c>
      <c r="I652">
        <v>1</v>
      </c>
      <c r="J652" t="s">
        <v>43</v>
      </c>
      <c r="K652" t="s">
        <v>43</v>
      </c>
      <c r="L652" t="s">
        <v>43</v>
      </c>
      <c r="M652" t="s">
        <v>43</v>
      </c>
      <c r="N652" t="s">
        <v>43</v>
      </c>
      <c r="O652">
        <v>4</v>
      </c>
      <c r="P652">
        <v>1</v>
      </c>
      <c r="Q652">
        <v>1</v>
      </c>
      <c r="R652">
        <v>1</v>
      </c>
      <c r="S652">
        <v>1</v>
      </c>
      <c r="T652">
        <f t="shared" si="50"/>
        <v>2</v>
      </c>
      <c r="U652" t="str" cm="1">
        <f t="array" ref="U652">_xlfn.IFS(T652&lt;3, "low", AND(T652&gt;=3, T652&lt;5), "med", T652&gt;=5, "high")</f>
        <v>low</v>
      </c>
      <c r="V652">
        <v>14</v>
      </c>
      <c r="W652" t="str" cm="1">
        <f t="array" ref="W652">_xlfn.IFS(V652&lt;5, "low", AND(V652&gt;=5, V652&lt;10), "med", V652&gt;=10, "high")</f>
        <v>high</v>
      </c>
      <c r="X652">
        <v>8</v>
      </c>
      <c r="Y652">
        <v>7</v>
      </c>
      <c r="Z652">
        <v>7</v>
      </c>
      <c r="AA652">
        <f t="shared" si="51"/>
        <v>1</v>
      </c>
      <c r="AB652">
        <f t="shared" si="52"/>
        <v>0</v>
      </c>
      <c r="AC652">
        <f t="shared" si="53"/>
        <v>1</v>
      </c>
      <c r="AD652" s="1">
        <f t="shared" si="54"/>
        <v>7.333333333333333</v>
      </c>
    </row>
    <row r="653" spans="1:30" x14ac:dyDescent="0.35">
      <c r="A653" t="s">
        <v>50</v>
      </c>
      <c r="B653">
        <v>18</v>
      </c>
      <c r="C653" t="s">
        <v>35</v>
      </c>
      <c r="D653" t="s">
        <v>36</v>
      </c>
      <c r="E653" t="s">
        <v>44</v>
      </c>
      <c r="F653" t="s">
        <v>45</v>
      </c>
      <c r="G653" t="s">
        <v>38</v>
      </c>
      <c r="H653">
        <v>1</v>
      </c>
      <c r="I653">
        <v>1</v>
      </c>
      <c r="J653" t="s">
        <v>43</v>
      </c>
      <c r="K653" t="s">
        <v>42</v>
      </c>
      <c r="L653" t="s">
        <v>43</v>
      </c>
      <c r="M653" t="s">
        <v>42</v>
      </c>
      <c r="N653" t="s">
        <v>42</v>
      </c>
      <c r="O653">
        <v>4</v>
      </c>
      <c r="P653">
        <v>4</v>
      </c>
      <c r="Q653">
        <v>3</v>
      </c>
      <c r="R653">
        <v>2</v>
      </c>
      <c r="S653">
        <v>2</v>
      </c>
      <c r="T653">
        <f t="shared" si="50"/>
        <v>4</v>
      </c>
      <c r="U653" t="str" cm="1">
        <f t="array" ref="U653">_xlfn.IFS(T653&lt;3, "low", AND(T653&gt;=3, T653&lt;5), "med", T653&gt;=5, "high")</f>
        <v>med</v>
      </c>
      <c r="V653">
        <v>26</v>
      </c>
      <c r="W653" t="str" cm="1">
        <f t="array" ref="W653">_xlfn.IFS(V653&lt;5, "low", AND(V653&gt;=5, V653&lt;10), "med", V653&gt;=10, "high")</f>
        <v>high</v>
      </c>
      <c r="X653">
        <v>7</v>
      </c>
      <c r="Y653">
        <v>8</v>
      </c>
      <c r="Z653">
        <v>8</v>
      </c>
      <c r="AA653">
        <f t="shared" si="51"/>
        <v>0</v>
      </c>
      <c r="AB653">
        <f t="shared" si="52"/>
        <v>0</v>
      </c>
      <c r="AC653">
        <f t="shared" si="53"/>
        <v>0</v>
      </c>
      <c r="AD653" s="1">
        <f t="shared" si="54"/>
        <v>7.666666666666667</v>
      </c>
    </row>
    <row r="654" spans="1:30" x14ac:dyDescent="0.35">
      <c r="A654" t="s">
        <v>50</v>
      </c>
      <c r="B654">
        <v>17</v>
      </c>
      <c r="C654" t="s">
        <v>35</v>
      </c>
      <c r="D654" t="s">
        <v>36</v>
      </c>
      <c r="E654" t="s">
        <v>44</v>
      </c>
      <c r="F654" t="s">
        <v>39</v>
      </c>
      <c r="G654" t="s">
        <v>39</v>
      </c>
      <c r="H654">
        <v>1</v>
      </c>
      <c r="I654">
        <v>0</v>
      </c>
      <c r="J654" t="s">
        <v>43</v>
      </c>
      <c r="K654" t="s">
        <v>42</v>
      </c>
      <c r="L654" t="s">
        <v>43</v>
      </c>
      <c r="M654" t="s">
        <v>42</v>
      </c>
      <c r="N654" t="s">
        <v>43</v>
      </c>
      <c r="O654">
        <v>4</v>
      </c>
      <c r="P654">
        <v>2</v>
      </c>
      <c r="Q654">
        <v>1</v>
      </c>
      <c r="R654">
        <v>1</v>
      </c>
      <c r="S654">
        <v>2</v>
      </c>
      <c r="T654">
        <f t="shared" si="50"/>
        <v>3</v>
      </c>
      <c r="U654" t="str" cm="1">
        <f t="array" ref="U654">_xlfn.IFS(T654&lt;3, "low", AND(T654&gt;=3, T654&lt;5), "med", T654&gt;=5, "high")</f>
        <v>med</v>
      </c>
      <c r="V654">
        <v>6</v>
      </c>
      <c r="W654" t="str" cm="1">
        <f t="array" ref="W654">_xlfn.IFS(V654&lt;5, "low", AND(V654&gt;=5, V654&lt;10), "med", V654&gt;=10, "high")</f>
        <v>med</v>
      </c>
      <c r="X654">
        <v>10</v>
      </c>
      <c r="Y654">
        <v>8</v>
      </c>
      <c r="Z654">
        <v>9</v>
      </c>
      <c r="AA654">
        <f t="shared" si="51"/>
        <v>1</v>
      </c>
      <c r="AB654">
        <f t="shared" si="52"/>
        <v>0</v>
      </c>
      <c r="AC654">
        <f t="shared" si="53"/>
        <v>1</v>
      </c>
      <c r="AD654" s="1">
        <f t="shared" si="54"/>
        <v>9</v>
      </c>
    </row>
    <row r="655" spans="1:30" x14ac:dyDescent="0.35">
      <c r="A655" t="s">
        <v>34</v>
      </c>
      <c r="B655">
        <v>17</v>
      </c>
      <c r="C655" t="s">
        <v>35</v>
      </c>
      <c r="D655" t="s">
        <v>36</v>
      </c>
      <c r="E655" t="s">
        <v>44</v>
      </c>
      <c r="F655" t="s">
        <v>45</v>
      </c>
      <c r="G655" t="s">
        <v>45</v>
      </c>
      <c r="H655">
        <v>2</v>
      </c>
      <c r="I655">
        <v>0</v>
      </c>
      <c r="J655" t="s">
        <v>43</v>
      </c>
      <c r="K655" t="s">
        <v>43</v>
      </c>
      <c r="L655" t="s">
        <v>43</v>
      </c>
      <c r="M655" t="s">
        <v>42</v>
      </c>
      <c r="N655" t="s">
        <v>43</v>
      </c>
      <c r="O655">
        <v>5</v>
      </c>
      <c r="P655">
        <v>4</v>
      </c>
      <c r="Q655">
        <v>2</v>
      </c>
      <c r="R655">
        <v>1</v>
      </c>
      <c r="S655">
        <v>1</v>
      </c>
      <c r="T655">
        <f t="shared" si="50"/>
        <v>2</v>
      </c>
      <c r="U655" t="str" cm="1">
        <f t="array" ref="U655">_xlfn.IFS(T655&lt;3, "low", AND(T655&gt;=3, T655&lt;5), "med", T655&gt;=5, "high")</f>
        <v>low</v>
      </c>
      <c r="V655">
        <v>4</v>
      </c>
      <c r="W655" t="str" cm="1">
        <f t="array" ref="W655">_xlfn.IFS(V655&lt;5, "low", AND(V655&gt;=5, V655&lt;10), "med", V655&gt;=10, "high")</f>
        <v>low</v>
      </c>
      <c r="X655">
        <v>14</v>
      </c>
      <c r="Y655">
        <v>14</v>
      </c>
      <c r="Z655">
        <v>15</v>
      </c>
      <c r="AA655">
        <f t="shared" si="51"/>
        <v>0</v>
      </c>
      <c r="AB655">
        <f t="shared" si="52"/>
        <v>0</v>
      </c>
      <c r="AC655">
        <f t="shared" si="53"/>
        <v>0</v>
      </c>
      <c r="AD655" s="1">
        <f t="shared" si="54"/>
        <v>14.333333333333334</v>
      </c>
    </row>
    <row r="656" spans="1:30" x14ac:dyDescent="0.35">
      <c r="A656" t="s">
        <v>34</v>
      </c>
      <c r="B656">
        <v>17</v>
      </c>
      <c r="C656" t="s">
        <v>35</v>
      </c>
      <c r="D656" t="s">
        <v>47</v>
      </c>
      <c r="E656" t="s">
        <v>44</v>
      </c>
      <c r="F656" t="s">
        <v>38</v>
      </c>
      <c r="G656" t="s">
        <v>38</v>
      </c>
      <c r="H656">
        <v>3</v>
      </c>
      <c r="I656">
        <v>0</v>
      </c>
      <c r="J656" t="s">
        <v>43</v>
      </c>
      <c r="K656" t="s">
        <v>42</v>
      </c>
      <c r="L656" t="s">
        <v>43</v>
      </c>
      <c r="M656" t="s">
        <v>42</v>
      </c>
      <c r="N656" t="s">
        <v>42</v>
      </c>
      <c r="O656">
        <v>4</v>
      </c>
      <c r="P656">
        <v>3</v>
      </c>
      <c r="Q656">
        <v>2</v>
      </c>
      <c r="R656">
        <v>1</v>
      </c>
      <c r="S656">
        <v>2</v>
      </c>
      <c r="T656">
        <f t="shared" si="50"/>
        <v>3</v>
      </c>
      <c r="U656" t="str" cm="1">
        <f t="array" ref="U656">_xlfn.IFS(T656&lt;3, "low", AND(T656&gt;=3, T656&lt;5), "med", T656&gt;=5, "high")</f>
        <v>med</v>
      </c>
      <c r="V656">
        <v>10</v>
      </c>
      <c r="W656" t="str" cm="1">
        <f t="array" ref="W656">_xlfn.IFS(V656&lt;5, "low", AND(V656&gt;=5, V656&lt;10), "med", V656&gt;=10, "high")</f>
        <v>high</v>
      </c>
      <c r="X656">
        <v>11</v>
      </c>
      <c r="Y656">
        <v>10</v>
      </c>
      <c r="Z656">
        <v>10</v>
      </c>
      <c r="AA656">
        <f t="shared" si="51"/>
        <v>1</v>
      </c>
      <c r="AB656">
        <f t="shared" si="52"/>
        <v>0</v>
      </c>
      <c r="AC656">
        <f t="shared" si="53"/>
        <v>1</v>
      </c>
      <c r="AD656" s="1">
        <f t="shared" si="54"/>
        <v>10.333333333333334</v>
      </c>
    </row>
    <row r="657" spans="1:30" x14ac:dyDescent="0.35">
      <c r="A657" t="s">
        <v>34</v>
      </c>
      <c r="B657">
        <v>16</v>
      </c>
      <c r="C657" t="s">
        <v>35</v>
      </c>
      <c r="D657" t="s">
        <v>36</v>
      </c>
      <c r="E657" t="s">
        <v>44</v>
      </c>
      <c r="F657" t="s">
        <v>45</v>
      </c>
      <c r="G657" t="s">
        <v>45</v>
      </c>
      <c r="H657">
        <v>1</v>
      </c>
      <c r="I657">
        <v>0</v>
      </c>
      <c r="J657" t="s">
        <v>43</v>
      </c>
      <c r="K657" t="s">
        <v>43</v>
      </c>
      <c r="L657" t="s">
        <v>43</v>
      </c>
      <c r="M657" t="s">
        <v>43</v>
      </c>
      <c r="N657" t="s">
        <v>43</v>
      </c>
      <c r="O657">
        <v>5</v>
      </c>
      <c r="P657">
        <v>3</v>
      </c>
      <c r="Q657">
        <v>5</v>
      </c>
      <c r="R657">
        <v>1</v>
      </c>
      <c r="S657">
        <v>2</v>
      </c>
      <c r="T657">
        <f t="shared" si="50"/>
        <v>3</v>
      </c>
      <c r="U657" t="str" cm="1">
        <f t="array" ref="U657">_xlfn.IFS(T657&lt;3, "low", AND(T657&gt;=3, T657&lt;5), "med", T657&gt;=5, "high")</f>
        <v>med</v>
      </c>
      <c r="V657">
        <v>4</v>
      </c>
      <c r="W657" t="str" cm="1">
        <f t="array" ref="W657">_xlfn.IFS(V657&lt;5, "low", AND(V657&gt;=5, V657&lt;10), "med", V657&gt;=10, "high")</f>
        <v>low</v>
      </c>
      <c r="X657">
        <v>12</v>
      </c>
      <c r="Y657">
        <v>11</v>
      </c>
      <c r="Z657">
        <v>11</v>
      </c>
      <c r="AA657">
        <f t="shared" si="51"/>
        <v>1</v>
      </c>
      <c r="AB657">
        <f t="shared" si="52"/>
        <v>0</v>
      </c>
      <c r="AC657">
        <f t="shared" si="53"/>
        <v>1</v>
      </c>
      <c r="AD657" s="1">
        <f t="shared" si="54"/>
        <v>11.333333333333334</v>
      </c>
    </row>
    <row r="658" spans="1:30" x14ac:dyDescent="0.35">
      <c r="A658" t="s">
        <v>34</v>
      </c>
      <c r="B658">
        <v>17</v>
      </c>
      <c r="C658" t="s">
        <v>52</v>
      </c>
      <c r="D658" t="s">
        <v>36</v>
      </c>
      <c r="E658" t="s">
        <v>44</v>
      </c>
      <c r="F658" t="s">
        <v>38</v>
      </c>
      <c r="G658" t="s">
        <v>48</v>
      </c>
      <c r="H658">
        <v>2</v>
      </c>
      <c r="I658">
        <v>0</v>
      </c>
      <c r="J658" t="s">
        <v>43</v>
      </c>
      <c r="K658" t="s">
        <v>43</v>
      </c>
      <c r="L658" t="s">
        <v>43</v>
      </c>
      <c r="M658" t="s">
        <v>42</v>
      </c>
      <c r="N658" t="s">
        <v>43</v>
      </c>
      <c r="O658">
        <v>2</v>
      </c>
      <c r="P658">
        <v>1</v>
      </c>
      <c r="Q658">
        <v>1</v>
      </c>
      <c r="R658">
        <v>1</v>
      </c>
      <c r="S658">
        <v>1</v>
      </c>
      <c r="T658">
        <f t="shared" si="50"/>
        <v>2</v>
      </c>
      <c r="U658" t="str" cm="1">
        <f t="array" ref="U658">_xlfn.IFS(T658&lt;3, "low", AND(T658&gt;=3, T658&lt;5), "med", T658&gt;=5, "high")</f>
        <v>low</v>
      </c>
      <c r="V658">
        <v>2</v>
      </c>
      <c r="W658" t="str" cm="1">
        <f t="array" ref="W658">_xlfn.IFS(V658&lt;5, "low", AND(V658&gt;=5, V658&lt;10), "med", V658&gt;=10, "high")</f>
        <v>low</v>
      </c>
      <c r="X658">
        <v>13</v>
      </c>
      <c r="Y658">
        <v>13</v>
      </c>
      <c r="Z658">
        <v>13</v>
      </c>
      <c r="AA658">
        <f t="shared" si="51"/>
        <v>0</v>
      </c>
      <c r="AB658">
        <f t="shared" si="52"/>
        <v>0</v>
      </c>
      <c r="AC658">
        <f t="shared" si="53"/>
        <v>0</v>
      </c>
      <c r="AD658" s="1">
        <f t="shared" si="54"/>
        <v>13</v>
      </c>
    </row>
    <row r="659" spans="1:30" x14ac:dyDescent="0.35">
      <c r="A659" t="s">
        <v>34</v>
      </c>
      <c r="B659">
        <v>17</v>
      </c>
      <c r="C659" t="s">
        <v>52</v>
      </c>
      <c r="D659" t="s">
        <v>47</v>
      </c>
      <c r="E659" t="s">
        <v>37</v>
      </c>
      <c r="F659" t="s">
        <v>45</v>
      </c>
      <c r="G659" t="s">
        <v>45</v>
      </c>
      <c r="H659">
        <v>1</v>
      </c>
      <c r="I659">
        <v>1</v>
      </c>
      <c r="J659" t="s">
        <v>43</v>
      </c>
      <c r="K659" t="s">
        <v>42</v>
      </c>
      <c r="L659" t="s">
        <v>43</v>
      </c>
      <c r="M659" t="s">
        <v>43</v>
      </c>
      <c r="N659" t="s">
        <v>43</v>
      </c>
      <c r="O659">
        <v>5</v>
      </c>
      <c r="P659">
        <v>5</v>
      </c>
      <c r="Q659">
        <v>4</v>
      </c>
      <c r="R659">
        <v>1</v>
      </c>
      <c r="S659">
        <v>1</v>
      </c>
      <c r="T659">
        <f t="shared" si="50"/>
        <v>2</v>
      </c>
      <c r="U659" t="str" cm="1">
        <f t="array" ref="U659">_xlfn.IFS(T659&lt;3, "low", AND(T659&gt;=3, T659&lt;5), "med", T659&gt;=5, "high")</f>
        <v>low</v>
      </c>
      <c r="V659">
        <v>14</v>
      </c>
      <c r="W659" t="str" cm="1">
        <f t="array" ref="W659">_xlfn.IFS(V659&lt;5, "low", AND(V659&gt;=5, V659&lt;10), "med", V659&gt;=10, "high")</f>
        <v>high</v>
      </c>
      <c r="X659">
        <v>9</v>
      </c>
      <c r="Y659">
        <v>9</v>
      </c>
      <c r="Z659">
        <v>8</v>
      </c>
      <c r="AA659">
        <f t="shared" si="51"/>
        <v>0</v>
      </c>
      <c r="AB659">
        <f t="shared" si="52"/>
        <v>1</v>
      </c>
      <c r="AC659">
        <f t="shared" si="53"/>
        <v>1</v>
      </c>
      <c r="AD659" s="1">
        <f t="shared" si="54"/>
        <v>8.6666666666666661</v>
      </c>
    </row>
    <row r="660" spans="1:30" x14ac:dyDescent="0.35">
      <c r="A660" t="s">
        <v>50</v>
      </c>
      <c r="B660">
        <v>18</v>
      </c>
      <c r="C660" t="s">
        <v>35</v>
      </c>
      <c r="D660" t="s">
        <v>36</v>
      </c>
      <c r="E660" t="s">
        <v>44</v>
      </c>
      <c r="F660" t="s">
        <v>45</v>
      </c>
      <c r="G660" t="s">
        <v>48</v>
      </c>
      <c r="H660">
        <v>2</v>
      </c>
      <c r="I660">
        <v>0</v>
      </c>
      <c r="J660" t="s">
        <v>43</v>
      </c>
      <c r="K660" t="s">
        <v>43</v>
      </c>
      <c r="L660" t="s">
        <v>43</v>
      </c>
      <c r="M660" t="s">
        <v>43</v>
      </c>
      <c r="N660" t="s">
        <v>43</v>
      </c>
      <c r="O660">
        <v>5</v>
      </c>
      <c r="P660">
        <v>5</v>
      </c>
      <c r="Q660">
        <v>4</v>
      </c>
      <c r="R660">
        <v>3</v>
      </c>
      <c r="S660">
        <v>5</v>
      </c>
      <c r="T660">
        <f t="shared" si="50"/>
        <v>8</v>
      </c>
      <c r="U660" t="str" cm="1">
        <f t="array" ref="U660">_xlfn.IFS(T660&lt;3, "low", AND(T660&gt;=3, T660&lt;5), "med", T660&gt;=5, "high")</f>
        <v>high</v>
      </c>
      <c r="V660">
        <v>16</v>
      </c>
      <c r="W660" t="str" cm="1">
        <f t="array" ref="W660">_xlfn.IFS(V660&lt;5, "low", AND(V660&gt;=5, V660&lt;10), "med", V660&gt;=10, "high")</f>
        <v>high</v>
      </c>
      <c r="X660">
        <v>8</v>
      </c>
      <c r="Y660">
        <v>7</v>
      </c>
      <c r="Z660">
        <v>8</v>
      </c>
      <c r="AA660">
        <f t="shared" si="51"/>
        <v>1</v>
      </c>
      <c r="AB660">
        <f t="shared" si="52"/>
        <v>0</v>
      </c>
      <c r="AC660">
        <f t="shared" si="53"/>
        <v>1</v>
      </c>
      <c r="AD660" s="1">
        <f t="shared" si="54"/>
        <v>7.666666666666667</v>
      </c>
    </row>
    <row r="661" spans="1:30" x14ac:dyDescent="0.35">
      <c r="A661" t="s">
        <v>34</v>
      </c>
      <c r="B661">
        <v>17</v>
      </c>
      <c r="C661" t="s">
        <v>35</v>
      </c>
      <c r="D661" t="s">
        <v>47</v>
      </c>
      <c r="E661" t="s">
        <v>37</v>
      </c>
      <c r="F661" t="s">
        <v>45</v>
      </c>
      <c r="G661" t="s">
        <v>45</v>
      </c>
      <c r="H661">
        <v>1</v>
      </c>
      <c r="I661">
        <v>1</v>
      </c>
      <c r="J661" t="s">
        <v>43</v>
      </c>
      <c r="K661" t="s">
        <v>42</v>
      </c>
      <c r="L661" t="s">
        <v>43</v>
      </c>
      <c r="M661" t="s">
        <v>43</v>
      </c>
      <c r="N661" t="s">
        <v>43</v>
      </c>
      <c r="O661">
        <v>3</v>
      </c>
      <c r="P661">
        <v>1</v>
      </c>
      <c r="Q661">
        <v>2</v>
      </c>
      <c r="R661">
        <v>1</v>
      </c>
      <c r="S661">
        <v>1</v>
      </c>
      <c r="T661">
        <f t="shared" si="50"/>
        <v>2</v>
      </c>
      <c r="U661" t="str" cm="1">
        <f t="array" ref="U661">_xlfn.IFS(T661&lt;3, "low", AND(T661&gt;=3, T661&lt;5), "med", T661&gt;=5, "high")</f>
        <v>low</v>
      </c>
      <c r="V661">
        <v>8</v>
      </c>
      <c r="W661" t="str" cm="1">
        <f t="array" ref="W661">_xlfn.IFS(V661&lt;5, "low", AND(V661&gt;=5, V661&lt;10), "med", V661&gt;=10, "high")</f>
        <v>med</v>
      </c>
      <c r="X661">
        <v>11</v>
      </c>
      <c r="Y661">
        <v>9</v>
      </c>
      <c r="Z661">
        <v>10</v>
      </c>
      <c r="AA661">
        <f t="shared" si="51"/>
        <v>1</v>
      </c>
      <c r="AB661">
        <f t="shared" si="52"/>
        <v>0</v>
      </c>
      <c r="AC661">
        <f t="shared" si="53"/>
        <v>1</v>
      </c>
      <c r="AD661" s="1">
        <f t="shared" si="54"/>
        <v>10</v>
      </c>
    </row>
    <row r="662" spans="1:30" x14ac:dyDescent="0.35">
      <c r="A662" t="s">
        <v>34</v>
      </c>
      <c r="B662">
        <v>17</v>
      </c>
      <c r="C662" t="s">
        <v>52</v>
      </c>
      <c r="D662" t="s">
        <v>47</v>
      </c>
      <c r="E662" t="s">
        <v>44</v>
      </c>
      <c r="F662" t="s">
        <v>38</v>
      </c>
      <c r="G662" t="s">
        <v>45</v>
      </c>
      <c r="H662">
        <v>3</v>
      </c>
      <c r="I662">
        <v>0</v>
      </c>
      <c r="J662" t="s">
        <v>43</v>
      </c>
      <c r="K662" t="s">
        <v>43</v>
      </c>
      <c r="L662" t="s">
        <v>43</v>
      </c>
      <c r="M662" t="s">
        <v>42</v>
      </c>
      <c r="N662" t="s">
        <v>43</v>
      </c>
      <c r="O662">
        <v>4</v>
      </c>
      <c r="P662">
        <v>3</v>
      </c>
      <c r="Q662">
        <v>3</v>
      </c>
      <c r="R662">
        <v>1</v>
      </c>
      <c r="S662">
        <v>3</v>
      </c>
      <c r="T662">
        <f t="shared" si="50"/>
        <v>4</v>
      </c>
      <c r="U662" t="str" cm="1">
        <f t="array" ref="U662">_xlfn.IFS(T662&lt;3, "low", AND(T662&gt;=3, T662&lt;5), "med", T662&gt;=5, "high")</f>
        <v>med</v>
      </c>
      <c r="V662">
        <v>4</v>
      </c>
      <c r="W662" t="str" cm="1">
        <f t="array" ref="W662">_xlfn.IFS(V662&lt;5, "low", AND(V662&gt;=5, V662&lt;10), "med", V662&gt;=10, "high")</f>
        <v>low</v>
      </c>
      <c r="X662">
        <v>15</v>
      </c>
      <c r="Y662">
        <v>14</v>
      </c>
      <c r="Z662">
        <v>15</v>
      </c>
      <c r="AA662">
        <f t="shared" si="51"/>
        <v>1</v>
      </c>
      <c r="AB662">
        <f t="shared" si="52"/>
        <v>0</v>
      </c>
      <c r="AC662">
        <f t="shared" si="53"/>
        <v>1</v>
      </c>
      <c r="AD662" s="1">
        <f t="shared" si="54"/>
        <v>14.666666666666666</v>
      </c>
    </row>
    <row r="663" spans="1:30" x14ac:dyDescent="0.35">
      <c r="A663" t="s">
        <v>34</v>
      </c>
      <c r="B663">
        <v>17</v>
      </c>
      <c r="C663" t="s">
        <v>35</v>
      </c>
      <c r="D663" t="s">
        <v>47</v>
      </c>
      <c r="E663" t="s">
        <v>37</v>
      </c>
      <c r="F663" t="s">
        <v>39</v>
      </c>
      <c r="G663" t="s">
        <v>45</v>
      </c>
      <c r="H663">
        <v>2</v>
      </c>
      <c r="I663">
        <v>0</v>
      </c>
      <c r="J663" t="s">
        <v>43</v>
      </c>
      <c r="K663" t="s">
        <v>42</v>
      </c>
      <c r="L663" t="s">
        <v>43</v>
      </c>
      <c r="M663" t="s">
        <v>42</v>
      </c>
      <c r="N663" t="s">
        <v>43</v>
      </c>
      <c r="O663">
        <v>4</v>
      </c>
      <c r="P663">
        <v>3</v>
      </c>
      <c r="Q663">
        <v>2</v>
      </c>
      <c r="R663">
        <v>1</v>
      </c>
      <c r="S663">
        <v>1</v>
      </c>
      <c r="T663">
        <f t="shared" si="50"/>
        <v>2</v>
      </c>
      <c r="U663" t="str" cm="1">
        <f t="array" ref="U663">_xlfn.IFS(T663&lt;3, "low", AND(T663&gt;=3, T663&lt;5), "med", T663&gt;=5, "high")</f>
        <v>low</v>
      </c>
      <c r="V663">
        <v>4</v>
      </c>
      <c r="W663" t="str" cm="1">
        <f t="array" ref="W663">_xlfn.IFS(V663&lt;5, "low", AND(V663&gt;=5, V663&lt;10), "med", V663&gt;=10, "high")</f>
        <v>low</v>
      </c>
      <c r="X663">
        <v>15</v>
      </c>
      <c r="Y663">
        <v>14</v>
      </c>
      <c r="Z663">
        <v>14</v>
      </c>
      <c r="AA663">
        <f t="shared" si="51"/>
        <v>1</v>
      </c>
      <c r="AB663">
        <f t="shared" si="52"/>
        <v>0</v>
      </c>
      <c r="AC663">
        <f t="shared" si="53"/>
        <v>1</v>
      </c>
      <c r="AD663" s="1">
        <f t="shared" si="54"/>
        <v>14.333333333333334</v>
      </c>
    </row>
    <row r="664" spans="1:30" x14ac:dyDescent="0.35">
      <c r="A664" t="s">
        <v>50</v>
      </c>
      <c r="B664">
        <v>17</v>
      </c>
      <c r="C664" t="s">
        <v>35</v>
      </c>
      <c r="D664" t="s">
        <v>47</v>
      </c>
      <c r="E664" t="s">
        <v>44</v>
      </c>
      <c r="F664" t="s">
        <v>28</v>
      </c>
      <c r="G664" t="s">
        <v>45</v>
      </c>
      <c r="H664">
        <v>2</v>
      </c>
      <c r="I664">
        <v>0</v>
      </c>
      <c r="J664" t="s">
        <v>43</v>
      </c>
      <c r="K664" t="s">
        <v>43</v>
      </c>
      <c r="L664" t="s">
        <v>43</v>
      </c>
      <c r="M664" t="s">
        <v>42</v>
      </c>
      <c r="N664" t="s">
        <v>42</v>
      </c>
      <c r="O664">
        <v>2</v>
      </c>
      <c r="P664">
        <v>5</v>
      </c>
      <c r="Q664">
        <v>5</v>
      </c>
      <c r="R664">
        <v>1</v>
      </c>
      <c r="S664">
        <v>4</v>
      </c>
      <c r="T664">
        <f t="shared" si="50"/>
        <v>5</v>
      </c>
      <c r="U664" t="str" cm="1">
        <f t="array" ref="U664">_xlfn.IFS(T664&lt;3, "low", AND(T664&gt;=3, T664&lt;5), "med", T664&gt;=5, "high")</f>
        <v>high</v>
      </c>
      <c r="V664">
        <v>8</v>
      </c>
      <c r="W664" t="str" cm="1">
        <f t="array" ref="W664">_xlfn.IFS(V664&lt;5, "low", AND(V664&gt;=5, V664&lt;10), "med", V664&gt;=10, "high")</f>
        <v>med</v>
      </c>
      <c r="X664">
        <v>15</v>
      </c>
      <c r="Y664">
        <v>15</v>
      </c>
      <c r="Z664">
        <v>15</v>
      </c>
      <c r="AA664">
        <f t="shared" si="51"/>
        <v>0</v>
      </c>
      <c r="AB664">
        <f t="shared" si="52"/>
        <v>0</v>
      </c>
      <c r="AC664">
        <f t="shared" si="53"/>
        <v>0</v>
      </c>
      <c r="AD664" s="1">
        <f t="shared" si="54"/>
        <v>15</v>
      </c>
    </row>
    <row r="665" spans="1:30" x14ac:dyDescent="0.35">
      <c r="A665" t="s">
        <v>50</v>
      </c>
      <c r="B665">
        <v>17</v>
      </c>
      <c r="C665" t="s">
        <v>52</v>
      </c>
      <c r="D665" t="s">
        <v>47</v>
      </c>
      <c r="E665" t="s">
        <v>37</v>
      </c>
      <c r="F665" t="s">
        <v>39</v>
      </c>
      <c r="G665" t="s">
        <v>45</v>
      </c>
      <c r="H665">
        <v>2</v>
      </c>
      <c r="I665">
        <v>0</v>
      </c>
      <c r="J665" t="s">
        <v>43</v>
      </c>
      <c r="K665" t="s">
        <v>42</v>
      </c>
      <c r="L665" t="s">
        <v>43</v>
      </c>
      <c r="M665" t="s">
        <v>43</v>
      </c>
      <c r="N665" t="s">
        <v>43</v>
      </c>
      <c r="O665">
        <v>3</v>
      </c>
      <c r="P665">
        <v>3</v>
      </c>
      <c r="Q665">
        <v>3</v>
      </c>
      <c r="R665">
        <v>2</v>
      </c>
      <c r="S665">
        <v>3</v>
      </c>
      <c r="T665">
        <f t="shared" si="50"/>
        <v>5</v>
      </c>
      <c r="U665" t="str" cm="1">
        <f t="array" ref="U665">_xlfn.IFS(T665&lt;3, "low", AND(T665&gt;=3, T665&lt;5), "med", T665&gt;=5, "high")</f>
        <v>high</v>
      </c>
      <c r="V665">
        <v>0</v>
      </c>
      <c r="W665" t="str" cm="1">
        <f t="array" ref="W665">_xlfn.IFS(V665&lt;5, "low", AND(V665&gt;=5, V665&lt;10), "med", V665&gt;=10, "high")</f>
        <v>low</v>
      </c>
      <c r="X665">
        <v>12</v>
      </c>
      <c r="Y665">
        <v>12</v>
      </c>
      <c r="Z665">
        <v>12</v>
      </c>
      <c r="AA665">
        <f t="shared" si="51"/>
        <v>0</v>
      </c>
      <c r="AB665">
        <f t="shared" si="52"/>
        <v>0</v>
      </c>
      <c r="AC665">
        <f t="shared" si="53"/>
        <v>0</v>
      </c>
      <c r="AD665" s="1">
        <f t="shared" si="54"/>
        <v>12</v>
      </c>
    </row>
    <row r="666" spans="1:30" x14ac:dyDescent="0.35">
      <c r="A666" t="s">
        <v>50</v>
      </c>
      <c r="B666">
        <v>16</v>
      </c>
      <c r="C666" t="s">
        <v>35</v>
      </c>
      <c r="D666" t="s">
        <v>47</v>
      </c>
      <c r="E666" t="s">
        <v>44</v>
      </c>
      <c r="F666" t="s">
        <v>39</v>
      </c>
      <c r="G666" t="s">
        <v>45</v>
      </c>
      <c r="H666">
        <v>1</v>
      </c>
      <c r="I666">
        <v>0</v>
      </c>
      <c r="J666" t="s">
        <v>43</v>
      </c>
      <c r="K666" t="s">
        <v>43</v>
      </c>
      <c r="L666" t="s">
        <v>43</v>
      </c>
      <c r="M666" t="s">
        <v>42</v>
      </c>
      <c r="N666" t="s">
        <v>43</v>
      </c>
      <c r="O666">
        <v>5</v>
      </c>
      <c r="P666">
        <v>4</v>
      </c>
      <c r="Q666">
        <v>5</v>
      </c>
      <c r="R666">
        <v>1</v>
      </c>
      <c r="S666">
        <v>1</v>
      </c>
      <c r="T666">
        <f t="shared" si="50"/>
        <v>2</v>
      </c>
      <c r="U666" t="str" cm="1">
        <f t="array" ref="U666">_xlfn.IFS(T666&lt;3, "low", AND(T666&gt;=3, T666&lt;5), "med", T666&gt;=5, "high")</f>
        <v>low</v>
      </c>
      <c r="V666">
        <v>7</v>
      </c>
      <c r="W666" t="str" cm="1">
        <f t="array" ref="W666">_xlfn.IFS(V666&lt;5, "low", AND(V666&gt;=5, V666&lt;10), "med", V666&gt;=10, "high")</f>
        <v>med</v>
      </c>
      <c r="X666">
        <v>14</v>
      </c>
      <c r="Y666">
        <v>14</v>
      </c>
      <c r="Z666">
        <v>15</v>
      </c>
      <c r="AA666">
        <f t="shared" si="51"/>
        <v>0</v>
      </c>
      <c r="AB666">
        <f t="shared" si="52"/>
        <v>0</v>
      </c>
      <c r="AC666">
        <f t="shared" si="53"/>
        <v>0</v>
      </c>
      <c r="AD666" s="1">
        <f t="shared" si="54"/>
        <v>14.333333333333334</v>
      </c>
    </row>
    <row r="667" spans="1:30" x14ac:dyDescent="0.35">
      <c r="A667" t="s">
        <v>50</v>
      </c>
      <c r="B667">
        <v>16</v>
      </c>
      <c r="C667" t="s">
        <v>35</v>
      </c>
      <c r="D667" t="s">
        <v>36</v>
      </c>
      <c r="E667" t="s">
        <v>44</v>
      </c>
      <c r="F667" t="s">
        <v>48</v>
      </c>
      <c r="G667" t="s">
        <v>48</v>
      </c>
      <c r="H667">
        <v>1</v>
      </c>
      <c r="I667">
        <v>0</v>
      </c>
      <c r="J667" t="s">
        <v>43</v>
      </c>
      <c r="K667" t="s">
        <v>43</v>
      </c>
      <c r="L667" t="s">
        <v>42</v>
      </c>
      <c r="M667" t="s">
        <v>42</v>
      </c>
      <c r="N667" t="s">
        <v>43</v>
      </c>
      <c r="O667">
        <v>5</v>
      </c>
      <c r="P667">
        <v>3</v>
      </c>
      <c r="Q667">
        <v>2</v>
      </c>
      <c r="R667">
        <v>1</v>
      </c>
      <c r="S667">
        <v>2</v>
      </c>
      <c r="T667">
        <f t="shared" si="50"/>
        <v>3</v>
      </c>
      <c r="U667" t="str" cm="1">
        <f t="array" ref="U667">_xlfn.IFS(T667&lt;3, "low", AND(T667&gt;=3, T667&lt;5), "med", T667&gt;=5, "high")</f>
        <v>med</v>
      </c>
      <c r="V667">
        <v>4</v>
      </c>
      <c r="W667" t="str" cm="1">
        <f t="array" ref="W667">_xlfn.IFS(V667&lt;5, "low", AND(V667&gt;=5, V667&lt;10), "med", V667&gt;=10, "high")</f>
        <v>low</v>
      </c>
      <c r="X667">
        <v>14</v>
      </c>
      <c r="Y667">
        <v>15</v>
      </c>
      <c r="Z667">
        <v>15</v>
      </c>
      <c r="AA667">
        <f t="shared" si="51"/>
        <v>0</v>
      </c>
      <c r="AB667">
        <f t="shared" si="52"/>
        <v>0</v>
      </c>
      <c r="AC667">
        <f t="shared" si="53"/>
        <v>0</v>
      </c>
      <c r="AD667" s="1">
        <f t="shared" si="54"/>
        <v>14.666666666666666</v>
      </c>
    </row>
    <row r="668" spans="1:30" x14ac:dyDescent="0.35">
      <c r="A668" t="s">
        <v>34</v>
      </c>
      <c r="B668">
        <v>17</v>
      </c>
      <c r="C668" t="s">
        <v>35</v>
      </c>
      <c r="D668" t="s">
        <v>36</v>
      </c>
      <c r="E668" t="s">
        <v>44</v>
      </c>
      <c r="F668" t="s">
        <v>39</v>
      </c>
      <c r="G668" t="s">
        <v>48</v>
      </c>
      <c r="H668">
        <v>2</v>
      </c>
      <c r="I668">
        <v>0</v>
      </c>
      <c r="J668" t="s">
        <v>43</v>
      </c>
      <c r="K668" t="s">
        <v>42</v>
      </c>
      <c r="L668" t="s">
        <v>42</v>
      </c>
      <c r="M668" t="s">
        <v>43</v>
      </c>
      <c r="N668" t="s">
        <v>42</v>
      </c>
      <c r="O668">
        <v>5</v>
      </c>
      <c r="P668">
        <v>3</v>
      </c>
      <c r="Q668">
        <v>1</v>
      </c>
      <c r="R668">
        <v>1</v>
      </c>
      <c r="S668">
        <v>4</v>
      </c>
      <c r="T668">
        <f t="shared" si="50"/>
        <v>5</v>
      </c>
      <c r="U668" t="str" cm="1">
        <f t="array" ref="U668">_xlfn.IFS(T668&lt;3, "low", AND(T668&gt;=3, T668&lt;5), "med", T668&gt;=5, "high")</f>
        <v>high</v>
      </c>
      <c r="V668">
        <v>2</v>
      </c>
      <c r="W668" t="str" cm="1">
        <f t="array" ref="W668">_xlfn.IFS(V668&lt;5, "low", AND(V668&gt;=5, V668&lt;10), "med", V668&gt;=10, "high")</f>
        <v>low</v>
      </c>
      <c r="X668">
        <v>11</v>
      </c>
      <c r="Y668">
        <v>11</v>
      </c>
      <c r="Z668">
        <v>12</v>
      </c>
      <c r="AA668">
        <f t="shared" si="51"/>
        <v>0</v>
      </c>
      <c r="AB668">
        <f t="shared" si="52"/>
        <v>0</v>
      </c>
      <c r="AC668">
        <f t="shared" si="53"/>
        <v>0</v>
      </c>
      <c r="AD668" s="1">
        <f t="shared" si="54"/>
        <v>11.333333333333334</v>
      </c>
    </row>
    <row r="669" spans="1:30" x14ac:dyDescent="0.35">
      <c r="A669" t="s">
        <v>50</v>
      </c>
      <c r="B669">
        <v>17</v>
      </c>
      <c r="C669" t="s">
        <v>52</v>
      </c>
      <c r="D669" t="s">
        <v>36</v>
      </c>
      <c r="E669" t="s">
        <v>44</v>
      </c>
      <c r="F669" t="s">
        <v>45</v>
      </c>
      <c r="G669" t="s">
        <v>45</v>
      </c>
      <c r="H669">
        <v>3</v>
      </c>
      <c r="I669">
        <v>0</v>
      </c>
      <c r="J669" t="s">
        <v>43</v>
      </c>
      <c r="K669" t="s">
        <v>43</v>
      </c>
      <c r="L669" t="s">
        <v>43</v>
      </c>
      <c r="M669" t="s">
        <v>43</v>
      </c>
      <c r="N669" t="s">
        <v>42</v>
      </c>
      <c r="O669">
        <v>4</v>
      </c>
      <c r="P669">
        <v>3</v>
      </c>
      <c r="Q669">
        <v>3</v>
      </c>
      <c r="R669">
        <v>1</v>
      </c>
      <c r="S669">
        <v>1</v>
      </c>
      <c r="T669">
        <f t="shared" si="50"/>
        <v>2</v>
      </c>
      <c r="U669" t="str" cm="1">
        <f t="array" ref="U669">_xlfn.IFS(T669&lt;3, "low", AND(T669&gt;=3, T669&lt;5), "med", T669&gt;=5, "high")</f>
        <v>low</v>
      </c>
      <c r="V669">
        <v>2</v>
      </c>
      <c r="W669" t="str" cm="1">
        <f t="array" ref="W669">_xlfn.IFS(V669&lt;5, "low", AND(V669&gt;=5, V669&lt;10), "med", V669&gt;=10, "high")</f>
        <v>low</v>
      </c>
      <c r="X669">
        <v>13</v>
      </c>
      <c r="Y669">
        <v>14</v>
      </c>
      <c r="Z669">
        <v>15</v>
      </c>
      <c r="AA669">
        <f t="shared" si="51"/>
        <v>0</v>
      </c>
      <c r="AB669">
        <f t="shared" si="52"/>
        <v>0</v>
      </c>
      <c r="AC669">
        <f t="shared" si="53"/>
        <v>0</v>
      </c>
      <c r="AD669" s="1">
        <f t="shared" si="54"/>
        <v>14</v>
      </c>
    </row>
    <row r="670" spans="1:30" x14ac:dyDescent="0.35">
      <c r="A670" t="s">
        <v>34</v>
      </c>
      <c r="B670">
        <v>17</v>
      </c>
      <c r="C670" t="s">
        <v>35</v>
      </c>
      <c r="D670" t="s">
        <v>36</v>
      </c>
      <c r="E670" t="s">
        <v>44</v>
      </c>
      <c r="F670" t="s">
        <v>48</v>
      </c>
      <c r="G670" t="s">
        <v>45</v>
      </c>
      <c r="H670">
        <v>3</v>
      </c>
      <c r="I670">
        <v>0</v>
      </c>
      <c r="J670" t="s">
        <v>43</v>
      </c>
      <c r="K670" t="s">
        <v>42</v>
      </c>
      <c r="L670" t="s">
        <v>43</v>
      </c>
      <c r="M670" t="s">
        <v>43</v>
      </c>
      <c r="N670" t="s">
        <v>42</v>
      </c>
      <c r="O670">
        <v>4</v>
      </c>
      <c r="P670">
        <v>2</v>
      </c>
      <c r="Q670">
        <v>2</v>
      </c>
      <c r="R670">
        <v>2</v>
      </c>
      <c r="S670">
        <v>3</v>
      </c>
      <c r="T670">
        <f t="shared" si="50"/>
        <v>5</v>
      </c>
      <c r="U670" t="str" cm="1">
        <f t="array" ref="U670">_xlfn.IFS(T670&lt;3, "low", AND(T670&gt;=3, T670&lt;5), "med", T670&gt;=5, "high")</f>
        <v>high</v>
      </c>
      <c r="V670">
        <v>10</v>
      </c>
      <c r="W670" t="str" cm="1">
        <f t="array" ref="W670">_xlfn.IFS(V670&lt;5, "low", AND(V670&gt;=5, V670&lt;10), "med", V670&gt;=10, "high")</f>
        <v>high</v>
      </c>
      <c r="X670">
        <v>11</v>
      </c>
      <c r="Y670">
        <v>11</v>
      </c>
      <c r="Z670">
        <v>11</v>
      </c>
      <c r="AA670">
        <f t="shared" si="51"/>
        <v>0</v>
      </c>
      <c r="AB670">
        <f t="shared" si="52"/>
        <v>0</v>
      </c>
      <c r="AC670">
        <f t="shared" si="53"/>
        <v>0</v>
      </c>
      <c r="AD670" s="1">
        <f t="shared" si="54"/>
        <v>11</v>
      </c>
    </row>
    <row r="671" spans="1:30" x14ac:dyDescent="0.35">
      <c r="A671" t="s">
        <v>34</v>
      </c>
      <c r="B671">
        <v>17</v>
      </c>
      <c r="C671" t="s">
        <v>35</v>
      </c>
      <c r="D671" t="s">
        <v>36</v>
      </c>
      <c r="E671" t="s">
        <v>44</v>
      </c>
      <c r="F671" t="s">
        <v>38</v>
      </c>
      <c r="G671" t="s">
        <v>45</v>
      </c>
      <c r="H671">
        <v>2</v>
      </c>
      <c r="I671">
        <v>0</v>
      </c>
      <c r="J671" t="s">
        <v>42</v>
      </c>
      <c r="K671" t="s">
        <v>43</v>
      </c>
      <c r="L671" t="s">
        <v>43</v>
      </c>
      <c r="M671" t="s">
        <v>43</v>
      </c>
      <c r="N671" t="s">
        <v>42</v>
      </c>
      <c r="O671">
        <v>4</v>
      </c>
      <c r="P671">
        <v>3</v>
      </c>
      <c r="Q671">
        <v>2</v>
      </c>
      <c r="R671">
        <v>1</v>
      </c>
      <c r="S671">
        <v>1</v>
      </c>
      <c r="T671">
        <f t="shared" si="50"/>
        <v>2</v>
      </c>
      <c r="U671" t="str" cm="1">
        <f t="array" ref="U671">_xlfn.IFS(T671&lt;3, "low", AND(T671&gt;=3, T671&lt;5), "med", T671&gt;=5, "high")</f>
        <v>low</v>
      </c>
      <c r="V671">
        <v>10</v>
      </c>
      <c r="W671" t="str" cm="1">
        <f t="array" ref="W671">_xlfn.IFS(V671&lt;5, "low", AND(V671&gt;=5, V671&lt;10), "med", V671&gt;=10, "high")</f>
        <v>high</v>
      </c>
      <c r="X671">
        <v>10</v>
      </c>
      <c r="Y671">
        <v>9</v>
      </c>
      <c r="Z671">
        <v>10</v>
      </c>
      <c r="AA671">
        <f t="shared" si="51"/>
        <v>1</v>
      </c>
      <c r="AB671">
        <f t="shared" si="52"/>
        <v>0</v>
      </c>
      <c r="AC671">
        <f t="shared" si="53"/>
        <v>1</v>
      </c>
      <c r="AD671" s="1">
        <f t="shared" si="54"/>
        <v>9.6666666666666661</v>
      </c>
    </row>
    <row r="672" spans="1:30" x14ac:dyDescent="0.35">
      <c r="A672" t="s">
        <v>34</v>
      </c>
      <c r="B672">
        <v>18</v>
      </c>
      <c r="C672" t="s">
        <v>35</v>
      </c>
      <c r="D672" t="s">
        <v>36</v>
      </c>
      <c r="E672" t="s">
        <v>44</v>
      </c>
      <c r="F672" t="s">
        <v>45</v>
      </c>
      <c r="G672" t="s">
        <v>45</v>
      </c>
      <c r="H672">
        <v>3</v>
      </c>
      <c r="I672">
        <v>0</v>
      </c>
      <c r="J672" t="s">
        <v>43</v>
      </c>
      <c r="K672" t="s">
        <v>42</v>
      </c>
      <c r="L672" t="s">
        <v>43</v>
      </c>
      <c r="M672" t="s">
        <v>43</v>
      </c>
      <c r="N672" t="s">
        <v>42</v>
      </c>
      <c r="O672">
        <v>4</v>
      </c>
      <c r="P672">
        <v>4</v>
      </c>
      <c r="Q672">
        <v>4</v>
      </c>
      <c r="R672">
        <v>1</v>
      </c>
      <c r="S672">
        <v>1</v>
      </c>
      <c r="T672">
        <f t="shared" si="50"/>
        <v>2</v>
      </c>
      <c r="U672" t="str" cm="1">
        <f t="array" ref="U672">_xlfn.IFS(T672&lt;3, "low", AND(T672&gt;=3, T672&lt;5), "med", T672&gt;=5, "high")</f>
        <v>low</v>
      </c>
      <c r="V672">
        <v>10</v>
      </c>
      <c r="W672" t="str" cm="1">
        <f t="array" ref="W672">_xlfn.IFS(V672&lt;5, "low", AND(V672&gt;=5, V672&lt;10), "med", V672&gt;=10, "high")</f>
        <v>high</v>
      </c>
      <c r="X672">
        <v>12</v>
      </c>
      <c r="Y672">
        <v>10</v>
      </c>
      <c r="Z672">
        <v>11</v>
      </c>
      <c r="AA672">
        <f t="shared" si="51"/>
        <v>1</v>
      </c>
      <c r="AB672">
        <f t="shared" si="52"/>
        <v>0</v>
      </c>
      <c r="AC672">
        <f t="shared" si="53"/>
        <v>1</v>
      </c>
      <c r="AD672" s="1">
        <f t="shared" si="54"/>
        <v>11</v>
      </c>
    </row>
    <row r="673" spans="1:30" x14ac:dyDescent="0.35">
      <c r="A673" t="s">
        <v>50</v>
      </c>
      <c r="B673">
        <v>16</v>
      </c>
      <c r="C673" t="s">
        <v>35</v>
      </c>
      <c r="D673" t="s">
        <v>36</v>
      </c>
      <c r="E673" t="s">
        <v>44</v>
      </c>
      <c r="F673" t="s">
        <v>45</v>
      </c>
      <c r="G673" t="s">
        <v>45</v>
      </c>
      <c r="H673">
        <v>1</v>
      </c>
      <c r="I673">
        <v>0</v>
      </c>
      <c r="J673" t="s">
        <v>43</v>
      </c>
      <c r="K673" t="s">
        <v>43</v>
      </c>
      <c r="L673" t="s">
        <v>43</v>
      </c>
      <c r="M673" t="s">
        <v>43</v>
      </c>
      <c r="N673" t="s">
        <v>43</v>
      </c>
      <c r="O673">
        <v>4</v>
      </c>
      <c r="P673">
        <v>3</v>
      </c>
      <c r="Q673">
        <v>3</v>
      </c>
      <c r="R673">
        <v>1</v>
      </c>
      <c r="S673">
        <v>1</v>
      </c>
      <c r="T673">
        <f t="shared" si="50"/>
        <v>2</v>
      </c>
      <c r="U673" t="str" cm="1">
        <f t="array" ref="U673">_xlfn.IFS(T673&lt;3, "low", AND(T673&gt;=3, T673&lt;5), "med", T673&gt;=5, "high")</f>
        <v>low</v>
      </c>
      <c r="V673">
        <v>7</v>
      </c>
      <c r="W673" t="str" cm="1">
        <f t="array" ref="W673">_xlfn.IFS(V673&lt;5, "low", AND(V673&gt;=5, V673&lt;10), "med", V673&gt;=10, "high")</f>
        <v>med</v>
      </c>
      <c r="X673">
        <v>15</v>
      </c>
      <c r="Y673">
        <v>16</v>
      </c>
      <c r="Z673">
        <v>16</v>
      </c>
      <c r="AA673">
        <f t="shared" si="51"/>
        <v>0</v>
      </c>
      <c r="AB673">
        <f t="shared" si="52"/>
        <v>0</v>
      </c>
      <c r="AC673">
        <f t="shared" si="53"/>
        <v>0</v>
      </c>
      <c r="AD673" s="1">
        <f t="shared" si="54"/>
        <v>15.666666666666666</v>
      </c>
    </row>
    <row r="674" spans="1:30" x14ac:dyDescent="0.35">
      <c r="A674" t="s">
        <v>34</v>
      </c>
      <c r="B674">
        <v>17</v>
      </c>
      <c r="C674" t="s">
        <v>35</v>
      </c>
      <c r="D674" t="s">
        <v>36</v>
      </c>
      <c r="E674" t="s">
        <v>44</v>
      </c>
      <c r="F674" t="s">
        <v>45</v>
      </c>
      <c r="G674" t="s">
        <v>48</v>
      </c>
      <c r="H674">
        <v>2</v>
      </c>
      <c r="I674">
        <v>0</v>
      </c>
      <c r="J674" t="s">
        <v>43</v>
      </c>
      <c r="K674" t="s">
        <v>42</v>
      </c>
      <c r="L674" t="s">
        <v>43</v>
      </c>
      <c r="M674" t="s">
        <v>43</v>
      </c>
      <c r="N674" t="s">
        <v>43</v>
      </c>
      <c r="O674">
        <v>4</v>
      </c>
      <c r="P674">
        <v>3</v>
      </c>
      <c r="Q674">
        <v>4</v>
      </c>
      <c r="R674">
        <v>1</v>
      </c>
      <c r="S674">
        <v>2</v>
      </c>
      <c r="T674">
        <f t="shared" si="50"/>
        <v>3</v>
      </c>
      <c r="U674" t="str" cm="1">
        <f t="array" ref="U674">_xlfn.IFS(T674&lt;3, "low", AND(T674&gt;=3, T674&lt;5), "med", T674&gt;=5, "high")</f>
        <v>med</v>
      </c>
      <c r="V674">
        <v>4</v>
      </c>
      <c r="W674" t="str" cm="1">
        <f t="array" ref="W674">_xlfn.IFS(V674&lt;5, "low", AND(V674&gt;=5, V674&lt;10), "med", V674&gt;=10, "high")</f>
        <v>low</v>
      </c>
      <c r="X674">
        <v>11</v>
      </c>
      <c r="Y674">
        <v>10</v>
      </c>
      <c r="Z674">
        <v>11</v>
      </c>
      <c r="AA674">
        <f t="shared" si="51"/>
        <v>1</v>
      </c>
      <c r="AB674">
        <f t="shared" si="52"/>
        <v>0</v>
      </c>
      <c r="AC674">
        <f t="shared" si="53"/>
        <v>1</v>
      </c>
      <c r="AD674" s="1">
        <f t="shared" si="54"/>
        <v>10.666666666666666</v>
      </c>
    </row>
    <row r="675" spans="1:30" x14ac:dyDescent="0.35">
      <c r="A675" t="s">
        <v>50</v>
      </c>
      <c r="B675">
        <v>17</v>
      </c>
      <c r="C675" t="s">
        <v>35</v>
      </c>
      <c r="D675" t="s">
        <v>36</v>
      </c>
      <c r="E675" t="s">
        <v>44</v>
      </c>
      <c r="F675" t="s">
        <v>45</v>
      </c>
      <c r="G675" t="s">
        <v>45</v>
      </c>
      <c r="H675">
        <v>1</v>
      </c>
      <c r="I675">
        <v>0</v>
      </c>
      <c r="J675" t="s">
        <v>43</v>
      </c>
      <c r="K675" t="s">
        <v>43</v>
      </c>
      <c r="L675" t="s">
        <v>43</v>
      </c>
      <c r="M675" t="s">
        <v>43</v>
      </c>
      <c r="N675" t="s">
        <v>43</v>
      </c>
      <c r="O675">
        <v>5</v>
      </c>
      <c r="P675">
        <v>2</v>
      </c>
      <c r="Q675">
        <v>2</v>
      </c>
      <c r="R675">
        <v>1</v>
      </c>
      <c r="S675">
        <v>1</v>
      </c>
      <c r="T675">
        <f t="shared" si="50"/>
        <v>2</v>
      </c>
      <c r="U675" t="str" cm="1">
        <f t="array" ref="U675">_xlfn.IFS(T675&lt;3, "low", AND(T675&gt;=3, T675&lt;5), "med", T675&gt;=5, "high")</f>
        <v>low</v>
      </c>
      <c r="V675">
        <v>2</v>
      </c>
      <c r="W675" t="str" cm="1">
        <f t="array" ref="W675">_xlfn.IFS(V675&lt;5, "low", AND(V675&gt;=5, V675&lt;10), "med", V675&gt;=10, "high")</f>
        <v>low</v>
      </c>
      <c r="X675">
        <v>9</v>
      </c>
      <c r="Y675">
        <v>12</v>
      </c>
      <c r="Z675">
        <v>13</v>
      </c>
      <c r="AA675">
        <f t="shared" si="51"/>
        <v>0</v>
      </c>
      <c r="AB675">
        <f t="shared" si="52"/>
        <v>0</v>
      </c>
      <c r="AC675">
        <f t="shared" si="53"/>
        <v>0</v>
      </c>
      <c r="AD675" s="1">
        <f t="shared" si="54"/>
        <v>11.333333333333334</v>
      </c>
    </row>
    <row r="676" spans="1:30" x14ac:dyDescent="0.35">
      <c r="A676" t="s">
        <v>50</v>
      </c>
      <c r="B676">
        <v>22</v>
      </c>
      <c r="C676" t="s">
        <v>35</v>
      </c>
      <c r="D676" t="s">
        <v>36</v>
      </c>
      <c r="E676" t="s">
        <v>44</v>
      </c>
      <c r="F676" t="s">
        <v>48</v>
      </c>
      <c r="G676" t="s">
        <v>48</v>
      </c>
      <c r="H676">
        <v>1</v>
      </c>
      <c r="I676">
        <v>3</v>
      </c>
      <c r="J676" t="s">
        <v>43</v>
      </c>
      <c r="K676" t="s">
        <v>43</v>
      </c>
      <c r="L676" t="s">
        <v>43</v>
      </c>
      <c r="M676" t="s">
        <v>43</v>
      </c>
      <c r="N676" t="s">
        <v>42</v>
      </c>
      <c r="O676">
        <v>5</v>
      </c>
      <c r="P676">
        <v>4</v>
      </c>
      <c r="Q676">
        <v>5</v>
      </c>
      <c r="R676">
        <v>5</v>
      </c>
      <c r="S676">
        <v>5</v>
      </c>
      <c r="T676">
        <f t="shared" si="50"/>
        <v>10</v>
      </c>
      <c r="U676" t="str" cm="1">
        <f t="array" ref="U676">_xlfn.IFS(T676&lt;3, "low", AND(T676&gt;=3, T676&lt;5), "med", T676&gt;=5, "high")</f>
        <v>high</v>
      </c>
      <c r="V676">
        <v>12</v>
      </c>
      <c r="W676" t="str" cm="1">
        <f t="array" ref="W676">_xlfn.IFS(V676&lt;5, "low", AND(V676&gt;=5, V676&lt;10), "med", V676&gt;=10, "high")</f>
        <v>high</v>
      </c>
      <c r="X676">
        <v>7</v>
      </c>
      <c r="Y676">
        <v>8</v>
      </c>
      <c r="Z676">
        <v>5</v>
      </c>
      <c r="AA676">
        <f t="shared" si="51"/>
        <v>0</v>
      </c>
      <c r="AB676">
        <f t="shared" si="52"/>
        <v>1</v>
      </c>
      <c r="AC676">
        <f t="shared" si="53"/>
        <v>1</v>
      </c>
      <c r="AD676" s="1">
        <f t="shared" si="54"/>
        <v>6.666666666666667</v>
      </c>
    </row>
    <row r="677" spans="1:30" x14ac:dyDescent="0.35">
      <c r="A677" t="s">
        <v>50</v>
      </c>
      <c r="B677">
        <v>18</v>
      </c>
      <c r="C677" t="s">
        <v>52</v>
      </c>
      <c r="D677" t="s">
        <v>47</v>
      </c>
      <c r="E677" t="s">
        <v>44</v>
      </c>
      <c r="F677" t="s">
        <v>45</v>
      </c>
      <c r="G677" t="s">
        <v>48</v>
      </c>
      <c r="H677">
        <v>2</v>
      </c>
      <c r="I677">
        <v>0</v>
      </c>
      <c r="J677" t="s">
        <v>43</v>
      </c>
      <c r="K677" t="s">
        <v>42</v>
      </c>
      <c r="L677" t="s">
        <v>43</v>
      </c>
      <c r="M677" t="s">
        <v>43</v>
      </c>
      <c r="N677" t="s">
        <v>42</v>
      </c>
      <c r="O677">
        <v>4</v>
      </c>
      <c r="P677">
        <v>3</v>
      </c>
      <c r="Q677">
        <v>3</v>
      </c>
      <c r="R677">
        <v>1</v>
      </c>
      <c r="S677">
        <v>3</v>
      </c>
      <c r="T677">
        <f t="shared" si="50"/>
        <v>4</v>
      </c>
      <c r="U677" t="str" cm="1">
        <f t="array" ref="U677">_xlfn.IFS(T677&lt;3, "low", AND(T677&gt;=3, T677&lt;5), "med", T677&gt;=5, "high")</f>
        <v>med</v>
      </c>
      <c r="V677">
        <v>8</v>
      </c>
      <c r="W677" t="str" cm="1">
        <f t="array" ref="W677">_xlfn.IFS(V677&lt;5, "low", AND(V677&gt;=5, V677&lt;10), "med", V677&gt;=10, "high")</f>
        <v>med</v>
      </c>
      <c r="X677">
        <v>10</v>
      </c>
      <c r="Y677">
        <v>9</v>
      </c>
      <c r="Z677">
        <v>10</v>
      </c>
      <c r="AA677">
        <f t="shared" si="51"/>
        <v>1</v>
      </c>
      <c r="AB677">
        <f t="shared" si="52"/>
        <v>0</v>
      </c>
      <c r="AC677">
        <f t="shared" si="53"/>
        <v>1</v>
      </c>
      <c r="AD677" s="1">
        <f t="shared" si="54"/>
        <v>9.6666666666666661</v>
      </c>
    </row>
    <row r="678" spans="1:30" x14ac:dyDescent="0.35">
      <c r="A678" t="s">
        <v>50</v>
      </c>
      <c r="B678">
        <v>16</v>
      </c>
      <c r="C678" t="s">
        <v>35</v>
      </c>
      <c r="D678" t="s">
        <v>36</v>
      </c>
      <c r="E678" t="s">
        <v>44</v>
      </c>
      <c r="F678" t="s">
        <v>45</v>
      </c>
      <c r="G678" t="s">
        <v>45</v>
      </c>
      <c r="H678">
        <v>1</v>
      </c>
      <c r="I678">
        <v>0</v>
      </c>
      <c r="J678" t="s">
        <v>43</v>
      </c>
      <c r="K678" t="s">
        <v>43</v>
      </c>
      <c r="L678" t="s">
        <v>43</v>
      </c>
      <c r="M678" t="s">
        <v>43</v>
      </c>
      <c r="N678" t="s">
        <v>43</v>
      </c>
      <c r="O678">
        <v>4</v>
      </c>
      <c r="P678">
        <v>3</v>
      </c>
      <c r="Q678">
        <v>2</v>
      </c>
      <c r="R678">
        <v>2</v>
      </c>
      <c r="S678">
        <v>4</v>
      </c>
      <c r="T678">
        <f t="shared" si="50"/>
        <v>6</v>
      </c>
      <c r="U678" t="str" cm="1">
        <f t="array" ref="U678">_xlfn.IFS(T678&lt;3, "low", AND(T678&gt;=3, T678&lt;5), "med", T678&gt;=5, "high")</f>
        <v>high</v>
      </c>
      <c r="V678">
        <v>0</v>
      </c>
      <c r="W678" t="str" cm="1">
        <f t="array" ref="W678">_xlfn.IFS(V678&lt;5, "low", AND(V678&gt;=5, V678&lt;10), "med", V678&gt;=10, "high")</f>
        <v>low</v>
      </c>
      <c r="X678">
        <v>11</v>
      </c>
      <c r="Y678">
        <v>12</v>
      </c>
      <c r="Z678">
        <v>11</v>
      </c>
      <c r="AA678">
        <f t="shared" si="51"/>
        <v>0</v>
      </c>
      <c r="AB678">
        <f t="shared" si="52"/>
        <v>1</v>
      </c>
      <c r="AC678">
        <f t="shared" si="53"/>
        <v>1</v>
      </c>
      <c r="AD678" s="1">
        <f t="shared" si="54"/>
        <v>11.333333333333334</v>
      </c>
    </row>
    <row r="679" spans="1:30" x14ac:dyDescent="0.35">
      <c r="A679" t="s">
        <v>50</v>
      </c>
      <c r="B679">
        <v>18</v>
      </c>
      <c r="C679" t="s">
        <v>35</v>
      </c>
      <c r="D679" t="s">
        <v>36</v>
      </c>
      <c r="E679" t="s">
        <v>44</v>
      </c>
      <c r="F679" t="s">
        <v>48</v>
      </c>
      <c r="G679" t="s">
        <v>45</v>
      </c>
      <c r="H679">
        <v>1</v>
      </c>
      <c r="I679">
        <v>0</v>
      </c>
      <c r="J679" t="s">
        <v>43</v>
      </c>
      <c r="K679" t="s">
        <v>43</v>
      </c>
      <c r="L679" t="s">
        <v>43</v>
      </c>
      <c r="M679" t="s">
        <v>43</v>
      </c>
      <c r="N679" t="s">
        <v>43</v>
      </c>
      <c r="O679">
        <v>4</v>
      </c>
      <c r="P679">
        <v>4</v>
      </c>
      <c r="Q679">
        <v>5</v>
      </c>
      <c r="R679">
        <v>2</v>
      </c>
      <c r="S679">
        <v>4</v>
      </c>
      <c r="T679">
        <f t="shared" si="50"/>
        <v>6</v>
      </c>
      <c r="U679" t="str" cm="1">
        <f t="array" ref="U679">_xlfn.IFS(T679&lt;3, "low", AND(T679&gt;=3, T679&lt;5), "med", T679&gt;=5, "high")</f>
        <v>high</v>
      </c>
      <c r="V679">
        <v>8</v>
      </c>
      <c r="W679" t="str" cm="1">
        <f t="array" ref="W679">_xlfn.IFS(V679&lt;5, "low", AND(V679&gt;=5, V679&lt;10), "med", V679&gt;=10, "high")</f>
        <v>med</v>
      </c>
      <c r="X679">
        <v>7</v>
      </c>
      <c r="Y679">
        <v>8</v>
      </c>
      <c r="Z679">
        <v>7</v>
      </c>
      <c r="AA679">
        <f t="shared" si="51"/>
        <v>0</v>
      </c>
      <c r="AB679">
        <f t="shared" si="52"/>
        <v>1</v>
      </c>
      <c r="AC679">
        <f t="shared" si="53"/>
        <v>1</v>
      </c>
      <c r="AD679" s="1">
        <f t="shared" si="54"/>
        <v>7.333333333333333</v>
      </c>
    </row>
    <row r="680" spans="1:30" x14ac:dyDescent="0.35">
      <c r="A680" t="s">
        <v>50</v>
      </c>
      <c r="B680">
        <v>16</v>
      </c>
      <c r="C680" t="s">
        <v>35</v>
      </c>
      <c r="D680" t="s">
        <v>36</v>
      </c>
      <c r="E680" t="s">
        <v>44</v>
      </c>
      <c r="F680" t="s">
        <v>38</v>
      </c>
      <c r="G680" t="s">
        <v>45</v>
      </c>
      <c r="H680">
        <v>2</v>
      </c>
      <c r="I680">
        <v>1</v>
      </c>
      <c r="J680" t="s">
        <v>42</v>
      </c>
      <c r="K680" t="s">
        <v>42</v>
      </c>
      <c r="L680" t="s">
        <v>43</v>
      </c>
      <c r="M680" t="s">
        <v>43</v>
      </c>
      <c r="N680" t="s">
        <v>43</v>
      </c>
      <c r="O680">
        <v>5</v>
      </c>
      <c r="P680">
        <v>3</v>
      </c>
      <c r="Q680">
        <v>3</v>
      </c>
      <c r="R680">
        <v>1</v>
      </c>
      <c r="S680">
        <v>3</v>
      </c>
      <c r="T680">
        <f t="shared" si="50"/>
        <v>4</v>
      </c>
      <c r="U680" t="str" cm="1">
        <f t="array" ref="U680">_xlfn.IFS(T680&lt;3, "low", AND(T680&gt;=3, T680&lt;5), "med", T680&gt;=5, "high")</f>
        <v>med</v>
      </c>
      <c r="V680">
        <v>4</v>
      </c>
      <c r="W680" t="str" cm="1">
        <f t="array" ref="W680">_xlfn.IFS(V680&lt;5, "low", AND(V680&gt;=5, V680&lt;10), "med", V680&gt;=10, "high")</f>
        <v>low</v>
      </c>
      <c r="X680">
        <v>9</v>
      </c>
      <c r="Y680">
        <v>11</v>
      </c>
      <c r="Z680">
        <v>10</v>
      </c>
      <c r="AA680">
        <f t="shared" si="51"/>
        <v>0</v>
      </c>
      <c r="AB680">
        <f t="shared" si="52"/>
        <v>1</v>
      </c>
      <c r="AC680">
        <f t="shared" si="53"/>
        <v>1</v>
      </c>
      <c r="AD680" s="1">
        <f t="shared" si="54"/>
        <v>10</v>
      </c>
    </row>
    <row r="681" spans="1:30" x14ac:dyDescent="0.35">
      <c r="A681" t="s">
        <v>50</v>
      </c>
      <c r="B681">
        <v>18</v>
      </c>
      <c r="C681" t="s">
        <v>35</v>
      </c>
      <c r="D681" t="s">
        <v>36</v>
      </c>
      <c r="E681" t="s">
        <v>44</v>
      </c>
      <c r="F681" t="s">
        <v>48</v>
      </c>
      <c r="G681" t="s">
        <v>48</v>
      </c>
      <c r="H681">
        <v>1</v>
      </c>
      <c r="I681">
        <v>2</v>
      </c>
      <c r="J681" t="s">
        <v>43</v>
      </c>
      <c r="K681" t="s">
        <v>43</v>
      </c>
      <c r="L681" t="s">
        <v>43</v>
      </c>
      <c r="M681" t="s">
        <v>43</v>
      </c>
      <c r="N681" t="s">
        <v>43</v>
      </c>
      <c r="O681">
        <v>3</v>
      </c>
      <c r="P681">
        <v>2</v>
      </c>
      <c r="Q681">
        <v>5</v>
      </c>
      <c r="R681">
        <v>2</v>
      </c>
      <c r="S681">
        <v>5</v>
      </c>
      <c r="T681">
        <f t="shared" si="50"/>
        <v>7</v>
      </c>
      <c r="U681" t="str" cm="1">
        <f t="array" ref="U681">_xlfn.IFS(T681&lt;3, "low", AND(T681&gt;=3, T681&lt;5), "med", T681&gt;=5, "high")</f>
        <v>high</v>
      </c>
      <c r="V681">
        <v>4</v>
      </c>
      <c r="W681" t="str" cm="1">
        <f t="array" ref="W681">_xlfn.IFS(V681&lt;5, "low", AND(V681&gt;=5, V681&lt;10), "med", V681&gt;=10, "high")</f>
        <v>low</v>
      </c>
      <c r="X681">
        <v>7</v>
      </c>
      <c r="Y681">
        <v>8</v>
      </c>
      <c r="Z681">
        <v>6</v>
      </c>
      <c r="AA681">
        <f t="shared" si="51"/>
        <v>0</v>
      </c>
      <c r="AB681">
        <f t="shared" si="52"/>
        <v>1</v>
      </c>
      <c r="AC681">
        <f t="shared" si="53"/>
        <v>1</v>
      </c>
      <c r="AD681" s="1">
        <f t="shared" si="54"/>
        <v>7</v>
      </c>
    </row>
    <row r="682" spans="1:30" x14ac:dyDescent="0.35">
      <c r="A682" t="s">
        <v>50</v>
      </c>
      <c r="B682">
        <v>16</v>
      </c>
      <c r="C682" t="s">
        <v>52</v>
      </c>
      <c r="D682" t="s">
        <v>36</v>
      </c>
      <c r="E682" t="s">
        <v>44</v>
      </c>
      <c r="F682" t="s">
        <v>45</v>
      </c>
      <c r="G682" t="s">
        <v>45</v>
      </c>
      <c r="H682">
        <v>1</v>
      </c>
      <c r="I682">
        <v>0</v>
      </c>
      <c r="J682" t="s">
        <v>43</v>
      </c>
      <c r="K682" t="s">
        <v>43</v>
      </c>
      <c r="L682" t="s">
        <v>43</v>
      </c>
      <c r="M682" t="s">
        <v>42</v>
      </c>
      <c r="N682" t="s">
        <v>43</v>
      </c>
      <c r="O682">
        <v>3</v>
      </c>
      <c r="P682">
        <v>3</v>
      </c>
      <c r="Q682">
        <v>2</v>
      </c>
      <c r="R682">
        <v>1</v>
      </c>
      <c r="S682">
        <v>3</v>
      </c>
      <c r="T682">
        <f t="shared" si="50"/>
        <v>4</v>
      </c>
      <c r="U682" t="str" cm="1">
        <f t="array" ref="U682">_xlfn.IFS(T682&lt;3, "low", AND(T682&gt;=3, T682&lt;5), "med", T682&gt;=5, "high")</f>
        <v>med</v>
      </c>
      <c r="V682">
        <v>2</v>
      </c>
      <c r="W682" t="str" cm="1">
        <f t="array" ref="W682">_xlfn.IFS(V682&lt;5, "low", AND(V682&gt;=5, V682&lt;10), "med", V682&gt;=10, "high")</f>
        <v>low</v>
      </c>
      <c r="X682">
        <v>14</v>
      </c>
      <c r="Y682">
        <v>13</v>
      </c>
      <c r="Z682">
        <v>12</v>
      </c>
      <c r="AA682">
        <f t="shared" si="51"/>
        <v>1</v>
      </c>
      <c r="AB682">
        <f t="shared" si="52"/>
        <v>1</v>
      </c>
      <c r="AC682">
        <f t="shared" si="53"/>
        <v>2</v>
      </c>
      <c r="AD682" s="1">
        <f t="shared" si="54"/>
        <v>13</v>
      </c>
    </row>
    <row r="683" spans="1:30" x14ac:dyDescent="0.35">
      <c r="A683" t="s">
        <v>50</v>
      </c>
      <c r="B683">
        <v>17</v>
      </c>
      <c r="C683" t="s">
        <v>52</v>
      </c>
      <c r="D683" t="s">
        <v>36</v>
      </c>
      <c r="E683" t="s">
        <v>44</v>
      </c>
      <c r="F683" t="s">
        <v>45</v>
      </c>
      <c r="G683" t="s">
        <v>45</v>
      </c>
      <c r="H683">
        <v>1</v>
      </c>
      <c r="I683">
        <v>0</v>
      </c>
      <c r="J683" t="s">
        <v>43</v>
      </c>
      <c r="K683" t="s">
        <v>43</v>
      </c>
      <c r="L683" t="s">
        <v>43</v>
      </c>
      <c r="M683" t="s">
        <v>43</v>
      </c>
      <c r="N683" t="s">
        <v>43</v>
      </c>
      <c r="O683">
        <v>4</v>
      </c>
      <c r="P683">
        <v>4</v>
      </c>
      <c r="Q683">
        <v>2</v>
      </c>
      <c r="R683">
        <v>2</v>
      </c>
      <c r="S683">
        <v>4</v>
      </c>
      <c r="T683">
        <f t="shared" si="50"/>
        <v>6</v>
      </c>
      <c r="U683" t="str" cm="1">
        <f t="array" ref="U683">_xlfn.IFS(T683&lt;3, "low", AND(T683&gt;=3, T683&lt;5), "med", T683&gt;=5, "high")</f>
        <v>high</v>
      </c>
      <c r="V683">
        <v>0</v>
      </c>
      <c r="W683" t="str" cm="1">
        <f t="array" ref="W683">_xlfn.IFS(V683&lt;5, "low", AND(V683&gt;=5, V683&lt;10), "med", V683&gt;=10, "high")</f>
        <v>low</v>
      </c>
      <c r="X683">
        <v>12</v>
      </c>
      <c r="Y683">
        <v>12</v>
      </c>
      <c r="Z683">
        <v>13</v>
      </c>
      <c r="AA683">
        <f t="shared" si="51"/>
        <v>0</v>
      </c>
      <c r="AB683">
        <f t="shared" si="52"/>
        <v>0</v>
      </c>
      <c r="AC683">
        <f t="shared" si="53"/>
        <v>0</v>
      </c>
      <c r="AD683" s="1">
        <f t="shared" si="54"/>
        <v>12.333333333333334</v>
      </c>
    </row>
    <row r="684" spans="1:30" x14ac:dyDescent="0.35">
      <c r="A684" t="s">
        <v>50</v>
      </c>
      <c r="B684">
        <v>17</v>
      </c>
      <c r="C684" t="s">
        <v>35</v>
      </c>
      <c r="D684" t="s">
        <v>47</v>
      </c>
      <c r="E684" t="s">
        <v>44</v>
      </c>
      <c r="F684" t="s">
        <v>28</v>
      </c>
      <c r="G684" t="s">
        <v>45</v>
      </c>
      <c r="H684">
        <v>1</v>
      </c>
      <c r="I684">
        <v>1</v>
      </c>
      <c r="J684" t="s">
        <v>43</v>
      </c>
      <c r="K684" t="s">
        <v>42</v>
      </c>
      <c r="L684" t="s">
        <v>43</v>
      </c>
      <c r="M684" t="s">
        <v>42</v>
      </c>
      <c r="N684" t="s">
        <v>43</v>
      </c>
      <c r="O684">
        <v>4</v>
      </c>
      <c r="P684">
        <v>4</v>
      </c>
      <c r="Q684">
        <v>4</v>
      </c>
      <c r="R684">
        <v>1</v>
      </c>
      <c r="S684">
        <v>2</v>
      </c>
      <c r="T684">
        <f t="shared" si="50"/>
        <v>3</v>
      </c>
      <c r="U684" t="str" cm="1">
        <f t="array" ref="U684">_xlfn.IFS(T684&lt;3, "low", AND(T684&gt;=3, T684&lt;5), "med", T684&gt;=5, "high")</f>
        <v>med</v>
      </c>
      <c r="V684">
        <v>0</v>
      </c>
      <c r="W684" t="str" cm="1">
        <f t="array" ref="W684">_xlfn.IFS(V684&lt;5, "low", AND(V684&gt;=5, V684&lt;10), "med", V684&gt;=10, "high")</f>
        <v>low</v>
      </c>
      <c r="X684">
        <v>9</v>
      </c>
      <c r="Y684">
        <v>10</v>
      </c>
      <c r="Z684">
        <v>10</v>
      </c>
      <c r="AA684">
        <f t="shared" si="51"/>
        <v>0</v>
      </c>
      <c r="AB684">
        <f t="shared" si="52"/>
        <v>0</v>
      </c>
      <c r="AC684">
        <f t="shared" si="53"/>
        <v>0</v>
      </c>
      <c r="AD684" s="1">
        <f t="shared" si="54"/>
        <v>9.6666666666666661</v>
      </c>
    </row>
    <row r="685" spans="1:30" x14ac:dyDescent="0.35">
      <c r="A685" t="s">
        <v>34</v>
      </c>
      <c r="B685">
        <v>18</v>
      </c>
      <c r="C685" t="s">
        <v>35</v>
      </c>
      <c r="D685" t="s">
        <v>47</v>
      </c>
      <c r="E685" t="s">
        <v>37</v>
      </c>
      <c r="F685" t="s">
        <v>45</v>
      </c>
      <c r="G685" t="s">
        <v>45</v>
      </c>
      <c r="H685">
        <v>2</v>
      </c>
      <c r="I685">
        <v>0</v>
      </c>
      <c r="J685" t="s">
        <v>43</v>
      </c>
      <c r="K685" t="s">
        <v>42</v>
      </c>
      <c r="L685" t="s">
        <v>43</v>
      </c>
      <c r="M685" t="s">
        <v>43</v>
      </c>
      <c r="N685" t="s">
        <v>42</v>
      </c>
      <c r="O685">
        <v>4</v>
      </c>
      <c r="P685">
        <v>3</v>
      </c>
      <c r="Q685">
        <v>4</v>
      </c>
      <c r="R685">
        <v>1</v>
      </c>
      <c r="S685">
        <v>3</v>
      </c>
      <c r="T685">
        <f t="shared" si="50"/>
        <v>4</v>
      </c>
      <c r="U685" t="str" cm="1">
        <f t="array" ref="U685">_xlfn.IFS(T685&lt;3, "low", AND(T685&gt;=3, T685&lt;5), "med", T685&gt;=5, "high")</f>
        <v>med</v>
      </c>
      <c r="V685">
        <v>2</v>
      </c>
      <c r="W685" t="str" cm="1">
        <f t="array" ref="W685">_xlfn.IFS(V685&lt;5, "low", AND(V685&gt;=5, V685&lt;10), "med", V685&gt;=10, "high")</f>
        <v>low</v>
      </c>
      <c r="X685">
        <v>12</v>
      </c>
      <c r="Y685">
        <v>12</v>
      </c>
      <c r="Z685">
        <v>13</v>
      </c>
      <c r="AA685">
        <f t="shared" si="51"/>
        <v>0</v>
      </c>
      <c r="AB685">
        <f t="shared" si="52"/>
        <v>0</v>
      </c>
      <c r="AC685">
        <f t="shared" si="53"/>
        <v>0</v>
      </c>
      <c r="AD685" s="1">
        <f t="shared" si="54"/>
        <v>12.333333333333334</v>
      </c>
    </row>
    <row r="686" spans="1:30" x14ac:dyDescent="0.35">
      <c r="A686" t="s">
        <v>34</v>
      </c>
      <c r="B686">
        <v>17</v>
      </c>
      <c r="C686" t="s">
        <v>35</v>
      </c>
      <c r="D686" t="s">
        <v>47</v>
      </c>
      <c r="E686" t="s">
        <v>44</v>
      </c>
      <c r="F686" t="s">
        <v>39</v>
      </c>
      <c r="G686" t="s">
        <v>48</v>
      </c>
      <c r="H686">
        <v>4</v>
      </c>
      <c r="I686">
        <v>0</v>
      </c>
      <c r="J686" t="s">
        <v>43</v>
      </c>
      <c r="K686" t="s">
        <v>42</v>
      </c>
      <c r="L686" t="s">
        <v>43</v>
      </c>
      <c r="M686" t="s">
        <v>42</v>
      </c>
      <c r="N686" t="s">
        <v>43</v>
      </c>
      <c r="O686">
        <v>4</v>
      </c>
      <c r="P686">
        <v>2</v>
      </c>
      <c r="Q686">
        <v>3</v>
      </c>
      <c r="R686">
        <v>1</v>
      </c>
      <c r="S686">
        <v>1</v>
      </c>
      <c r="T686">
        <f t="shared" si="50"/>
        <v>2</v>
      </c>
      <c r="U686" t="str" cm="1">
        <f t="array" ref="U686">_xlfn.IFS(T686&lt;3, "low", AND(T686&gt;=3, T686&lt;5), "med", T686&gt;=5, "high")</f>
        <v>low</v>
      </c>
      <c r="V686">
        <v>2</v>
      </c>
      <c r="W686" t="str" cm="1">
        <f t="array" ref="W686">_xlfn.IFS(V686&lt;5, "low", AND(V686&gt;=5, V686&lt;10), "med", V686&gt;=10, "high")</f>
        <v>low</v>
      </c>
      <c r="X686">
        <v>14</v>
      </c>
      <c r="Y686">
        <v>15</v>
      </c>
      <c r="Z686">
        <v>17</v>
      </c>
      <c r="AA686">
        <f t="shared" si="51"/>
        <v>0</v>
      </c>
      <c r="AB686">
        <f t="shared" si="52"/>
        <v>0</v>
      </c>
      <c r="AC686">
        <f t="shared" si="53"/>
        <v>0</v>
      </c>
      <c r="AD686" s="1">
        <f t="shared" si="54"/>
        <v>15.333333333333334</v>
      </c>
    </row>
    <row r="687" spans="1:30" x14ac:dyDescent="0.35">
      <c r="A687" t="s">
        <v>34</v>
      </c>
      <c r="B687">
        <v>19</v>
      </c>
      <c r="C687" t="s">
        <v>35</v>
      </c>
      <c r="D687" t="s">
        <v>36</v>
      </c>
      <c r="E687" t="s">
        <v>44</v>
      </c>
      <c r="F687" t="s">
        <v>48</v>
      </c>
      <c r="G687" t="s">
        <v>48</v>
      </c>
      <c r="H687">
        <v>2</v>
      </c>
      <c r="I687">
        <v>0</v>
      </c>
      <c r="J687" t="s">
        <v>43</v>
      </c>
      <c r="K687" t="s">
        <v>42</v>
      </c>
      <c r="L687" t="s">
        <v>43</v>
      </c>
      <c r="M687" t="s">
        <v>43</v>
      </c>
      <c r="N687" t="s">
        <v>43</v>
      </c>
      <c r="O687">
        <v>4</v>
      </c>
      <c r="P687">
        <v>3</v>
      </c>
      <c r="Q687">
        <v>3</v>
      </c>
      <c r="R687">
        <v>1</v>
      </c>
      <c r="S687">
        <v>1</v>
      </c>
      <c r="T687">
        <f t="shared" si="50"/>
        <v>2</v>
      </c>
      <c r="U687" t="str" cm="1">
        <f t="array" ref="U687">_xlfn.IFS(T687&lt;3, "low", AND(T687&gt;=3, T687&lt;5), "med", T687&gt;=5, "high")</f>
        <v>low</v>
      </c>
      <c r="V687">
        <v>0</v>
      </c>
      <c r="W687" t="str" cm="1">
        <f t="array" ref="W687">_xlfn.IFS(V687&lt;5, "low", AND(V687&gt;=5, V687&lt;10), "med", V687&gt;=10, "high")</f>
        <v>low</v>
      </c>
      <c r="X687">
        <v>10</v>
      </c>
      <c r="Y687">
        <v>10</v>
      </c>
      <c r="Z687">
        <v>11</v>
      </c>
      <c r="AA687">
        <f t="shared" si="51"/>
        <v>0</v>
      </c>
      <c r="AB687">
        <f t="shared" si="52"/>
        <v>0</v>
      </c>
      <c r="AC687">
        <f t="shared" si="53"/>
        <v>0</v>
      </c>
      <c r="AD687" s="1">
        <f t="shared" si="54"/>
        <v>10.333333333333334</v>
      </c>
    </row>
    <row r="688" spans="1:30" x14ac:dyDescent="0.35">
      <c r="A688" t="s">
        <v>50</v>
      </c>
      <c r="B688">
        <v>18</v>
      </c>
      <c r="C688" t="s">
        <v>35</v>
      </c>
      <c r="D688" t="s">
        <v>47</v>
      </c>
      <c r="E688" t="s">
        <v>44</v>
      </c>
      <c r="F688" t="s">
        <v>48</v>
      </c>
      <c r="G688" t="s">
        <v>45</v>
      </c>
      <c r="H688">
        <v>2</v>
      </c>
      <c r="I688">
        <v>1</v>
      </c>
      <c r="J688" t="s">
        <v>43</v>
      </c>
      <c r="K688" t="s">
        <v>43</v>
      </c>
      <c r="L688" t="s">
        <v>43</v>
      </c>
      <c r="M688" t="s">
        <v>42</v>
      </c>
      <c r="N688" t="s">
        <v>43</v>
      </c>
      <c r="O688">
        <v>4</v>
      </c>
      <c r="P688">
        <v>4</v>
      </c>
      <c r="Q688">
        <v>5</v>
      </c>
      <c r="R688">
        <v>4</v>
      </c>
      <c r="S688">
        <v>4</v>
      </c>
      <c r="T688">
        <f t="shared" si="50"/>
        <v>8</v>
      </c>
      <c r="U688" t="str" cm="1">
        <f t="array" ref="U688">_xlfn.IFS(T688&lt;3, "low", AND(T688&gt;=3, T688&lt;5), "med", T688&gt;=5, "high")</f>
        <v>high</v>
      </c>
      <c r="V688">
        <v>4</v>
      </c>
      <c r="W688" t="str" cm="1">
        <f t="array" ref="W688">_xlfn.IFS(V688&lt;5, "low", AND(V688&gt;=5, V688&lt;10), "med", V688&gt;=10, "high")</f>
        <v>low</v>
      </c>
      <c r="X688">
        <v>11</v>
      </c>
      <c r="Y688">
        <v>10</v>
      </c>
      <c r="Z688">
        <v>11</v>
      </c>
      <c r="AA688">
        <f t="shared" si="51"/>
        <v>1</v>
      </c>
      <c r="AB688">
        <f t="shared" si="52"/>
        <v>0</v>
      </c>
      <c r="AC688">
        <f t="shared" si="53"/>
        <v>1</v>
      </c>
      <c r="AD688" s="1">
        <f t="shared" si="54"/>
        <v>10.666666666666666</v>
      </c>
    </row>
    <row r="689" spans="1:30" x14ac:dyDescent="0.35">
      <c r="A689" t="s">
        <v>34</v>
      </c>
      <c r="B689">
        <v>17</v>
      </c>
      <c r="C689" t="s">
        <v>52</v>
      </c>
      <c r="D689" t="s">
        <v>36</v>
      </c>
      <c r="E689" t="s">
        <v>44</v>
      </c>
      <c r="F689" t="s">
        <v>45</v>
      </c>
      <c r="G689" t="s">
        <v>45</v>
      </c>
      <c r="H689">
        <v>3</v>
      </c>
      <c r="I689">
        <v>0</v>
      </c>
      <c r="J689" t="s">
        <v>43</v>
      </c>
      <c r="K689" t="s">
        <v>42</v>
      </c>
      <c r="L689" t="s">
        <v>43</v>
      </c>
      <c r="M689" t="s">
        <v>42</v>
      </c>
      <c r="N689" t="s">
        <v>43</v>
      </c>
      <c r="O689">
        <v>4</v>
      </c>
      <c r="P689">
        <v>3</v>
      </c>
      <c r="Q689">
        <v>4</v>
      </c>
      <c r="R689">
        <v>1</v>
      </c>
      <c r="S689">
        <v>3</v>
      </c>
      <c r="T689">
        <f t="shared" si="50"/>
        <v>4</v>
      </c>
      <c r="U689" t="str" cm="1">
        <f t="array" ref="U689">_xlfn.IFS(T689&lt;3, "low", AND(T689&gt;=3, T689&lt;5), "med", T689&gt;=5, "high")</f>
        <v>med</v>
      </c>
      <c r="V689">
        <v>2</v>
      </c>
      <c r="W689" t="str" cm="1">
        <f t="array" ref="W689">_xlfn.IFS(V689&lt;5, "low", AND(V689&gt;=5, V689&lt;10), "med", V689&gt;=10, "high")</f>
        <v>low</v>
      </c>
      <c r="X689">
        <v>11</v>
      </c>
      <c r="Y689">
        <v>12</v>
      </c>
      <c r="Z689">
        <v>14</v>
      </c>
      <c r="AA689">
        <f t="shared" si="51"/>
        <v>0</v>
      </c>
      <c r="AB689">
        <f t="shared" si="52"/>
        <v>0</v>
      </c>
      <c r="AC689">
        <f t="shared" si="53"/>
        <v>0</v>
      </c>
      <c r="AD689" s="1">
        <f t="shared" si="54"/>
        <v>12.333333333333334</v>
      </c>
    </row>
    <row r="690" spans="1:30" x14ac:dyDescent="0.35">
      <c r="A690" t="s">
        <v>34</v>
      </c>
      <c r="B690">
        <v>18</v>
      </c>
      <c r="C690" t="s">
        <v>35</v>
      </c>
      <c r="D690" t="s">
        <v>47</v>
      </c>
      <c r="E690" t="s">
        <v>44</v>
      </c>
      <c r="F690" t="s">
        <v>45</v>
      </c>
      <c r="G690" t="s">
        <v>38</v>
      </c>
      <c r="H690">
        <v>3</v>
      </c>
      <c r="I690">
        <v>0</v>
      </c>
      <c r="J690" t="s">
        <v>43</v>
      </c>
      <c r="K690" t="s">
        <v>42</v>
      </c>
      <c r="L690" t="s">
        <v>43</v>
      </c>
      <c r="M690" t="s">
        <v>43</v>
      </c>
      <c r="N690" t="s">
        <v>43</v>
      </c>
      <c r="O690">
        <v>4</v>
      </c>
      <c r="P690">
        <v>4</v>
      </c>
      <c r="Q690">
        <v>3</v>
      </c>
      <c r="R690">
        <v>2</v>
      </c>
      <c r="S690">
        <v>3</v>
      </c>
      <c r="T690">
        <f t="shared" si="50"/>
        <v>5</v>
      </c>
      <c r="U690" t="str" cm="1">
        <f t="array" ref="U690">_xlfn.IFS(T690&lt;3, "low", AND(T690&gt;=3, T690&lt;5), "med", T690&gt;=5, "high")</f>
        <v>high</v>
      </c>
      <c r="V690">
        <v>4</v>
      </c>
      <c r="W690" t="str" cm="1">
        <f t="array" ref="W690">_xlfn.IFS(V690&lt;5, "low", AND(V690&gt;=5, V690&lt;10), "med", V690&gt;=10, "high")</f>
        <v>low</v>
      </c>
      <c r="X690">
        <v>11</v>
      </c>
      <c r="Y690">
        <v>12</v>
      </c>
      <c r="Z690">
        <v>14</v>
      </c>
      <c r="AA690">
        <f t="shared" si="51"/>
        <v>0</v>
      </c>
      <c r="AB690">
        <f t="shared" si="52"/>
        <v>0</v>
      </c>
      <c r="AC690">
        <f t="shared" si="53"/>
        <v>0</v>
      </c>
      <c r="AD690" s="1">
        <f t="shared" si="54"/>
        <v>12.333333333333334</v>
      </c>
    </row>
    <row r="691" spans="1:30" x14ac:dyDescent="0.35">
      <c r="A691" t="s">
        <v>34</v>
      </c>
      <c r="B691">
        <v>18</v>
      </c>
      <c r="C691" t="s">
        <v>52</v>
      </c>
      <c r="D691" t="s">
        <v>36</v>
      </c>
      <c r="E691" t="s">
        <v>44</v>
      </c>
      <c r="F691" t="s">
        <v>45</v>
      </c>
      <c r="G691" t="s">
        <v>45</v>
      </c>
      <c r="H691">
        <v>2</v>
      </c>
      <c r="I691">
        <v>0</v>
      </c>
      <c r="J691" t="s">
        <v>42</v>
      </c>
      <c r="K691" t="s">
        <v>43</v>
      </c>
      <c r="L691" t="s">
        <v>43</v>
      </c>
      <c r="M691" t="s">
        <v>43</v>
      </c>
      <c r="N691" t="s">
        <v>43</v>
      </c>
      <c r="O691">
        <v>3</v>
      </c>
      <c r="P691">
        <v>2</v>
      </c>
      <c r="Q691">
        <v>3</v>
      </c>
      <c r="R691">
        <v>1</v>
      </c>
      <c r="S691">
        <v>1</v>
      </c>
      <c r="T691">
        <f t="shared" si="50"/>
        <v>2</v>
      </c>
      <c r="U691" t="str" cm="1">
        <f t="array" ref="U691">_xlfn.IFS(T691&lt;3, "low", AND(T691&gt;=3, T691&lt;5), "med", T691&gt;=5, "high")</f>
        <v>low</v>
      </c>
      <c r="V691">
        <v>4</v>
      </c>
      <c r="W691" t="str" cm="1">
        <f t="array" ref="W691">_xlfn.IFS(V691&lt;5, "low", AND(V691&gt;=5, V691&lt;10), "med", V691&gt;=10, "high")</f>
        <v>low</v>
      </c>
      <c r="X691">
        <v>11</v>
      </c>
      <c r="Y691">
        <v>11</v>
      </c>
      <c r="Z691">
        <v>13</v>
      </c>
      <c r="AA691">
        <f t="shared" si="51"/>
        <v>0</v>
      </c>
      <c r="AB691">
        <f t="shared" si="52"/>
        <v>0</v>
      </c>
      <c r="AC691">
        <f t="shared" si="53"/>
        <v>0</v>
      </c>
      <c r="AD691" s="1">
        <f t="shared" si="54"/>
        <v>11.666666666666666</v>
      </c>
    </row>
    <row r="692" spans="1:30" x14ac:dyDescent="0.35">
      <c r="A692" t="s">
        <v>50</v>
      </c>
      <c r="B692">
        <v>19</v>
      </c>
      <c r="C692" t="s">
        <v>35</v>
      </c>
      <c r="D692" t="s">
        <v>47</v>
      </c>
      <c r="E692" t="s">
        <v>37</v>
      </c>
      <c r="F692" t="s">
        <v>48</v>
      </c>
      <c r="G692" t="s">
        <v>38</v>
      </c>
      <c r="H692">
        <v>2</v>
      </c>
      <c r="I692">
        <v>0</v>
      </c>
      <c r="J692" t="s">
        <v>43</v>
      </c>
      <c r="K692" t="s">
        <v>42</v>
      </c>
      <c r="L692" t="s">
        <v>43</v>
      </c>
      <c r="M692" t="s">
        <v>43</v>
      </c>
      <c r="N692" t="s">
        <v>43</v>
      </c>
      <c r="O692">
        <v>4</v>
      </c>
      <c r="P692">
        <v>3</v>
      </c>
      <c r="Q692">
        <v>1</v>
      </c>
      <c r="R692">
        <v>1</v>
      </c>
      <c r="S692">
        <v>1</v>
      </c>
      <c r="T692">
        <f t="shared" si="50"/>
        <v>2</v>
      </c>
      <c r="U692" t="str" cm="1">
        <f t="array" ref="U692">_xlfn.IFS(T692&lt;3, "low", AND(T692&gt;=3, T692&lt;5), "med", T692&gt;=5, "high")</f>
        <v>low</v>
      </c>
      <c r="V692">
        <v>4</v>
      </c>
      <c r="W692" t="str" cm="1">
        <f t="array" ref="W692">_xlfn.IFS(V692&lt;5, "low", AND(V692&gt;=5, V692&lt;10), "med", V692&gt;=10, "high")</f>
        <v>low</v>
      </c>
      <c r="X692">
        <v>11</v>
      </c>
      <c r="Y692">
        <v>13</v>
      </c>
      <c r="Z692">
        <v>14</v>
      </c>
      <c r="AA692">
        <f t="shared" si="51"/>
        <v>0</v>
      </c>
      <c r="AB692">
        <f t="shared" si="52"/>
        <v>0</v>
      </c>
      <c r="AC692">
        <f t="shared" si="53"/>
        <v>0</v>
      </c>
      <c r="AD692" s="1">
        <f t="shared" si="54"/>
        <v>12.666666666666666</v>
      </c>
    </row>
    <row r="693" spans="1:30" x14ac:dyDescent="0.35">
      <c r="A693" t="s">
        <v>50</v>
      </c>
      <c r="B693">
        <v>18</v>
      </c>
      <c r="C693" t="s">
        <v>35</v>
      </c>
      <c r="D693" t="s">
        <v>36</v>
      </c>
      <c r="E693" t="s">
        <v>44</v>
      </c>
      <c r="F693" t="s">
        <v>45</v>
      </c>
      <c r="G693" t="s">
        <v>45</v>
      </c>
      <c r="H693">
        <v>2</v>
      </c>
      <c r="I693">
        <v>0</v>
      </c>
      <c r="J693" t="s">
        <v>43</v>
      </c>
      <c r="K693" t="s">
        <v>43</v>
      </c>
      <c r="L693" t="s">
        <v>43</v>
      </c>
      <c r="M693" t="s">
        <v>42</v>
      </c>
      <c r="N693" t="s">
        <v>43</v>
      </c>
      <c r="O693">
        <v>5</v>
      </c>
      <c r="P693">
        <v>2</v>
      </c>
      <c r="Q693">
        <v>4</v>
      </c>
      <c r="R693">
        <v>1</v>
      </c>
      <c r="S693">
        <v>2</v>
      </c>
      <c r="T693">
        <f t="shared" si="50"/>
        <v>3</v>
      </c>
      <c r="U693" t="str" cm="1">
        <f t="array" ref="U693">_xlfn.IFS(T693&lt;3, "low", AND(T693&gt;=3, T693&lt;5), "med", T693&gt;=5, "high")</f>
        <v>med</v>
      </c>
      <c r="V693">
        <v>2</v>
      </c>
      <c r="W693" t="str" cm="1">
        <f t="array" ref="W693">_xlfn.IFS(V693&lt;5, "low", AND(V693&gt;=5, V693&lt;10), "med", V693&gt;=10, "high")</f>
        <v>low</v>
      </c>
      <c r="X693">
        <v>16</v>
      </c>
      <c r="Y693">
        <v>16</v>
      </c>
      <c r="Z693">
        <v>16</v>
      </c>
      <c r="AA693">
        <f t="shared" si="51"/>
        <v>0</v>
      </c>
      <c r="AB693">
        <f t="shared" si="52"/>
        <v>0</v>
      </c>
      <c r="AC693">
        <f t="shared" si="53"/>
        <v>0</v>
      </c>
      <c r="AD693" s="1">
        <f t="shared" si="54"/>
        <v>16</v>
      </c>
    </row>
    <row r="694" spans="1:30" x14ac:dyDescent="0.35">
      <c r="A694" t="s">
        <v>50</v>
      </c>
      <c r="B694">
        <v>17</v>
      </c>
      <c r="C694" t="s">
        <v>52</v>
      </c>
      <c r="D694" t="s">
        <v>36</v>
      </c>
      <c r="E694" t="s">
        <v>44</v>
      </c>
      <c r="F694" t="s">
        <v>45</v>
      </c>
      <c r="G694" t="s">
        <v>48</v>
      </c>
      <c r="H694">
        <v>1</v>
      </c>
      <c r="I694">
        <v>0</v>
      </c>
      <c r="J694" t="s">
        <v>43</v>
      </c>
      <c r="K694" t="s">
        <v>43</v>
      </c>
      <c r="L694" t="s">
        <v>43</v>
      </c>
      <c r="M694" t="s">
        <v>43</v>
      </c>
      <c r="N694" t="s">
        <v>43</v>
      </c>
      <c r="O694">
        <v>5</v>
      </c>
      <c r="P694">
        <v>2</v>
      </c>
      <c r="Q694">
        <v>2</v>
      </c>
      <c r="R694">
        <v>1</v>
      </c>
      <c r="S694">
        <v>1</v>
      </c>
      <c r="T694">
        <f t="shared" si="50"/>
        <v>2</v>
      </c>
      <c r="U694" t="str" cm="1">
        <f t="array" ref="U694">_xlfn.IFS(T694&lt;3, "low", AND(T694&gt;=3, T694&lt;5), "med", T694&gt;=5, "high")</f>
        <v>low</v>
      </c>
      <c r="V694">
        <v>0</v>
      </c>
      <c r="W694" t="str" cm="1">
        <f t="array" ref="W694">_xlfn.IFS(V694&lt;5, "low", AND(V694&gt;=5, V694&lt;10), "med", V694&gt;=10, "high")</f>
        <v>low</v>
      </c>
      <c r="X694">
        <v>9</v>
      </c>
      <c r="Y694">
        <v>10</v>
      </c>
      <c r="Z694">
        <v>10</v>
      </c>
      <c r="AA694">
        <f t="shared" si="51"/>
        <v>0</v>
      </c>
      <c r="AB694">
        <f t="shared" si="52"/>
        <v>0</v>
      </c>
      <c r="AC694">
        <f t="shared" si="53"/>
        <v>0</v>
      </c>
      <c r="AD694" s="1">
        <f t="shared" si="54"/>
        <v>9.6666666666666661</v>
      </c>
    </row>
    <row r="695" spans="1:30" x14ac:dyDescent="0.35">
      <c r="A695" t="s">
        <v>34</v>
      </c>
      <c r="B695">
        <v>17</v>
      </c>
      <c r="C695" t="s">
        <v>35</v>
      </c>
      <c r="D695" t="s">
        <v>47</v>
      </c>
      <c r="E695" t="s">
        <v>44</v>
      </c>
      <c r="F695" t="s">
        <v>48</v>
      </c>
      <c r="G695" t="s">
        <v>48</v>
      </c>
      <c r="H695">
        <v>4</v>
      </c>
      <c r="I695">
        <v>0</v>
      </c>
      <c r="J695" t="s">
        <v>43</v>
      </c>
      <c r="K695" t="s">
        <v>43</v>
      </c>
      <c r="L695" t="s">
        <v>43</v>
      </c>
      <c r="M695" t="s">
        <v>42</v>
      </c>
      <c r="N695" t="s">
        <v>42</v>
      </c>
      <c r="O695">
        <v>3</v>
      </c>
      <c r="P695">
        <v>4</v>
      </c>
      <c r="Q695">
        <v>1</v>
      </c>
      <c r="R695">
        <v>1</v>
      </c>
      <c r="S695">
        <v>1</v>
      </c>
      <c r="T695">
        <f t="shared" si="50"/>
        <v>2</v>
      </c>
      <c r="U695" t="str" cm="1">
        <f t="array" ref="U695">_xlfn.IFS(T695&lt;3, "low", AND(T695&gt;=3, T695&lt;5), "med", T695&gt;=5, "high")</f>
        <v>low</v>
      </c>
      <c r="V695">
        <v>2</v>
      </c>
      <c r="W695" t="str" cm="1">
        <f t="array" ref="W695">_xlfn.IFS(V695&lt;5, "low", AND(V695&gt;=5, V695&lt;10), "med", V695&gt;=10, "high")</f>
        <v>low</v>
      </c>
      <c r="X695">
        <v>10</v>
      </c>
      <c r="Y695">
        <v>11</v>
      </c>
      <c r="Z695">
        <v>12</v>
      </c>
      <c r="AA695">
        <f t="shared" si="51"/>
        <v>0</v>
      </c>
      <c r="AB695">
        <f t="shared" si="52"/>
        <v>0</v>
      </c>
      <c r="AC695">
        <f t="shared" si="53"/>
        <v>0</v>
      </c>
      <c r="AD695" s="1">
        <f t="shared" si="54"/>
        <v>11</v>
      </c>
    </row>
    <row r="696" spans="1:30" x14ac:dyDescent="0.35">
      <c r="A696" t="s">
        <v>34</v>
      </c>
      <c r="B696">
        <v>20</v>
      </c>
      <c r="C696" t="s">
        <v>52</v>
      </c>
      <c r="D696" t="s">
        <v>36</v>
      </c>
      <c r="E696" t="s">
        <v>44</v>
      </c>
      <c r="F696" t="s">
        <v>45</v>
      </c>
      <c r="G696" t="s">
        <v>45</v>
      </c>
      <c r="H696">
        <v>2</v>
      </c>
      <c r="I696">
        <v>0</v>
      </c>
      <c r="J696" t="s">
        <v>43</v>
      </c>
      <c r="K696" t="s">
        <v>42</v>
      </c>
      <c r="L696" t="s">
        <v>42</v>
      </c>
      <c r="M696" t="s">
        <v>42</v>
      </c>
      <c r="N696" t="s">
        <v>42</v>
      </c>
      <c r="O696">
        <v>1</v>
      </c>
      <c r="P696">
        <v>2</v>
      </c>
      <c r="Q696">
        <v>3</v>
      </c>
      <c r="R696">
        <v>1</v>
      </c>
      <c r="S696">
        <v>2</v>
      </c>
      <c r="T696">
        <f t="shared" si="50"/>
        <v>3</v>
      </c>
      <c r="U696" t="str" cm="1">
        <f t="array" ref="U696">_xlfn.IFS(T696&lt;3, "low", AND(T696&gt;=3, T696&lt;5), "med", T696&gt;=5, "high")</f>
        <v>med</v>
      </c>
      <c r="V696">
        <v>8</v>
      </c>
      <c r="W696" t="str" cm="1">
        <f t="array" ref="W696">_xlfn.IFS(V696&lt;5, "low", AND(V696&gt;=5, V696&lt;10), "med", V696&gt;=10, "high")</f>
        <v>med</v>
      </c>
      <c r="X696">
        <v>10</v>
      </c>
      <c r="Y696">
        <v>12</v>
      </c>
      <c r="Z696">
        <v>12</v>
      </c>
      <c r="AA696">
        <f t="shared" si="51"/>
        <v>0</v>
      </c>
      <c r="AB696">
        <f t="shared" si="52"/>
        <v>0</v>
      </c>
      <c r="AC696">
        <f t="shared" si="53"/>
        <v>0</v>
      </c>
      <c r="AD696" s="1">
        <f t="shared" si="54"/>
        <v>11.333333333333334</v>
      </c>
    </row>
    <row r="697" spans="1:30" x14ac:dyDescent="0.35">
      <c r="A697" t="s">
        <v>34</v>
      </c>
      <c r="B697">
        <v>18</v>
      </c>
      <c r="C697" t="s">
        <v>35</v>
      </c>
      <c r="D697" t="s">
        <v>36</v>
      </c>
      <c r="E697" t="s">
        <v>44</v>
      </c>
      <c r="F697" t="s">
        <v>48</v>
      </c>
      <c r="G697" t="s">
        <v>45</v>
      </c>
      <c r="H697">
        <v>2</v>
      </c>
      <c r="I697">
        <v>0</v>
      </c>
      <c r="J697" t="s">
        <v>43</v>
      </c>
      <c r="K697" t="s">
        <v>42</v>
      </c>
      <c r="L697" t="s">
        <v>43</v>
      </c>
      <c r="M697" t="s">
        <v>43</v>
      </c>
      <c r="N697" t="s">
        <v>42</v>
      </c>
      <c r="O697">
        <v>3</v>
      </c>
      <c r="P697">
        <v>1</v>
      </c>
      <c r="Q697">
        <v>2</v>
      </c>
      <c r="R697">
        <v>1</v>
      </c>
      <c r="S697">
        <v>3</v>
      </c>
      <c r="T697">
        <f t="shared" si="50"/>
        <v>4</v>
      </c>
      <c r="U697" t="str" cm="1">
        <f t="array" ref="U697">_xlfn.IFS(T697&lt;3, "low", AND(T697&gt;=3, T697&lt;5), "med", T697&gt;=5, "high")</f>
        <v>med</v>
      </c>
      <c r="V697">
        <v>2</v>
      </c>
      <c r="W697" t="str" cm="1">
        <f t="array" ref="W697">_xlfn.IFS(V697&lt;5, "low", AND(V697&gt;=5, V697&lt;10), "med", V697&gt;=10, "high")</f>
        <v>low</v>
      </c>
      <c r="X697">
        <v>15</v>
      </c>
      <c r="Y697">
        <v>15</v>
      </c>
      <c r="Z697">
        <v>15</v>
      </c>
      <c r="AA697">
        <f t="shared" si="51"/>
        <v>0</v>
      </c>
      <c r="AB697">
        <f t="shared" si="52"/>
        <v>0</v>
      </c>
      <c r="AC697">
        <f t="shared" si="53"/>
        <v>0</v>
      </c>
      <c r="AD697" s="1">
        <f t="shared" si="54"/>
        <v>15</v>
      </c>
    </row>
    <row r="698" spans="1:30" x14ac:dyDescent="0.35">
      <c r="A698" t="s">
        <v>50</v>
      </c>
      <c r="B698">
        <v>18</v>
      </c>
      <c r="C698" t="s">
        <v>35</v>
      </c>
      <c r="D698" t="s">
        <v>36</v>
      </c>
      <c r="E698" t="s">
        <v>44</v>
      </c>
      <c r="F698" t="s">
        <v>39</v>
      </c>
      <c r="G698" t="s">
        <v>45</v>
      </c>
      <c r="H698">
        <v>2</v>
      </c>
      <c r="I698">
        <v>0</v>
      </c>
      <c r="J698" t="s">
        <v>43</v>
      </c>
      <c r="K698" t="s">
        <v>42</v>
      </c>
      <c r="L698" t="s">
        <v>43</v>
      </c>
      <c r="M698" t="s">
        <v>43</v>
      </c>
      <c r="N698" t="s">
        <v>43</v>
      </c>
      <c r="O698">
        <v>4</v>
      </c>
      <c r="P698">
        <v>3</v>
      </c>
      <c r="Q698">
        <v>2</v>
      </c>
      <c r="R698">
        <v>1</v>
      </c>
      <c r="S698">
        <v>1</v>
      </c>
      <c r="T698">
        <f t="shared" si="50"/>
        <v>2</v>
      </c>
      <c r="U698" t="str" cm="1">
        <f t="array" ref="U698">_xlfn.IFS(T698&lt;3, "low", AND(T698&gt;=3, T698&lt;5), "med", T698&gt;=5, "high")</f>
        <v>low</v>
      </c>
      <c r="V698">
        <v>2</v>
      </c>
      <c r="W698" t="str" cm="1">
        <f t="array" ref="W698">_xlfn.IFS(V698&lt;5, "low", AND(V698&gt;=5, V698&lt;10), "med", V698&gt;=10, "high")</f>
        <v>low</v>
      </c>
      <c r="X698">
        <v>10</v>
      </c>
      <c r="Y698">
        <v>10</v>
      </c>
      <c r="Z698">
        <v>11</v>
      </c>
      <c r="AA698">
        <f t="shared" si="51"/>
        <v>0</v>
      </c>
      <c r="AB698">
        <f t="shared" si="52"/>
        <v>0</v>
      </c>
      <c r="AC698">
        <f t="shared" si="53"/>
        <v>0</v>
      </c>
      <c r="AD698" s="1">
        <f t="shared" si="54"/>
        <v>10.333333333333334</v>
      </c>
    </row>
    <row r="699" spans="1:30" x14ac:dyDescent="0.35">
      <c r="A699" t="s">
        <v>50</v>
      </c>
      <c r="B699">
        <v>18</v>
      </c>
      <c r="C699" t="s">
        <v>52</v>
      </c>
      <c r="D699" t="s">
        <v>36</v>
      </c>
      <c r="E699" t="s">
        <v>44</v>
      </c>
      <c r="F699" t="s">
        <v>45</v>
      </c>
      <c r="G699" t="s">
        <v>45</v>
      </c>
      <c r="H699">
        <v>3</v>
      </c>
      <c r="I699">
        <v>0</v>
      </c>
      <c r="J699" t="s">
        <v>43</v>
      </c>
      <c r="K699" t="s">
        <v>43</v>
      </c>
      <c r="L699" t="s">
        <v>43</v>
      </c>
      <c r="M699" t="s">
        <v>42</v>
      </c>
      <c r="N699" t="s">
        <v>43</v>
      </c>
      <c r="O699">
        <v>5</v>
      </c>
      <c r="P699">
        <v>3</v>
      </c>
      <c r="Q699">
        <v>2</v>
      </c>
      <c r="R699">
        <v>1</v>
      </c>
      <c r="S699">
        <v>1</v>
      </c>
      <c r="T699">
        <f t="shared" si="50"/>
        <v>2</v>
      </c>
      <c r="U699" t="str" cm="1">
        <f t="array" ref="U699">_xlfn.IFS(T699&lt;3, "low", AND(T699&gt;=3, T699&lt;5), "med", T699&gt;=5, "high")</f>
        <v>low</v>
      </c>
      <c r="V699">
        <v>2</v>
      </c>
      <c r="W699" t="str" cm="1">
        <f t="array" ref="W699">_xlfn.IFS(V699&lt;5, "low", AND(V699&gt;=5, V699&lt;10), "med", V699&gt;=10, "high")</f>
        <v>low</v>
      </c>
      <c r="X699">
        <v>10</v>
      </c>
      <c r="Y699">
        <v>11</v>
      </c>
      <c r="Z699">
        <v>12</v>
      </c>
      <c r="AA699">
        <f t="shared" si="51"/>
        <v>0</v>
      </c>
      <c r="AB699">
        <f t="shared" si="52"/>
        <v>0</v>
      </c>
      <c r="AC699">
        <f t="shared" si="53"/>
        <v>0</v>
      </c>
      <c r="AD699" s="1">
        <f t="shared" si="54"/>
        <v>11</v>
      </c>
    </row>
    <row r="700" spans="1:30" x14ac:dyDescent="0.35">
      <c r="A700" t="s">
        <v>34</v>
      </c>
      <c r="B700">
        <v>17</v>
      </c>
      <c r="C700" t="s">
        <v>35</v>
      </c>
      <c r="D700" t="s">
        <v>36</v>
      </c>
      <c r="E700" t="s">
        <v>44</v>
      </c>
      <c r="F700" t="s">
        <v>45</v>
      </c>
      <c r="G700" t="s">
        <v>45</v>
      </c>
      <c r="H700">
        <v>3</v>
      </c>
      <c r="I700">
        <v>0</v>
      </c>
      <c r="J700" t="s">
        <v>43</v>
      </c>
      <c r="K700" t="s">
        <v>43</v>
      </c>
      <c r="L700" t="s">
        <v>43</v>
      </c>
      <c r="M700" t="s">
        <v>42</v>
      </c>
      <c r="N700" t="s">
        <v>43</v>
      </c>
      <c r="O700">
        <v>3</v>
      </c>
      <c r="P700">
        <v>2</v>
      </c>
      <c r="Q700">
        <v>3</v>
      </c>
      <c r="R700">
        <v>1</v>
      </c>
      <c r="S700">
        <v>1</v>
      </c>
      <c r="T700">
        <f t="shared" si="50"/>
        <v>2</v>
      </c>
      <c r="U700" t="str" cm="1">
        <f t="array" ref="U700">_xlfn.IFS(T700&lt;3, "low", AND(T700&gt;=3, T700&lt;5), "med", T700&gt;=5, "high")</f>
        <v>low</v>
      </c>
      <c r="V700">
        <v>2</v>
      </c>
      <c r="W700" t="str" cm="1">
        <f t="array" ref="W700">_xlfn.IFS(V700&lt;5, "low", AND(V700&gt;=5, V700&lt;10), "med", V700&gt;=10, "high")</f>
        <v>low</v>
      </c>
      <c r="X700">
        <v>15</v>
      </c>
      <c r="Y700">
        <v>12</v>
      </c>
      <c r="Z700">
        <v>13</v>
      </c>
      <c r="AA700">
        <f t="shared" si="51"/>
        <v>1</v>
      </c>
      <c r="AB700">
        <f t="shared" si="52"/>
        <v>0</v>
      </c>
      <c r="AC700">
        <f t="shared" si="53"/>
        <v>1</v>
      </c>
      <c r="AD700" s="1">
        <f t="shared" si="54"/>
        <v>13.333333333333334</v>
      </c>
    </row>
    <row r="701" spans="1:30" x14ac:dyDescent="0.35">
      <c r="A701" t="s">
        <v>34</v>
      </c>
      <c r="B701">
        <v>18</v>
      </c>
      <c r="C701" t="s">
        <v>35</v>
      </c>
      <c r="D701" t="s">
        <v>36</v>
      </c>
      <c r="E701" t="s">
        <v>44</v>
      </c>
      <c r="F701" t="s">
        <v>38</v>
      </c>
      <c r="G701" t="s">
        <v>48</v>
      </c>
      <c r="H701">
        <v>3</v>
      </c>
      <c r="I701">
        <v>0</v>
      </c>
      <c r="J701" t="s">
        <v>43</v>
      </c>
      <c r="K701" t="s">
        <v>42</v>
      </c>
      <c r="L701" t="s">
        <v>43</v>
      </c>
      <c r="M701" t="s">
        <v>42</v>
      </c>
      <c r="N701" t="s">
        <v>42</v>
      </c>
      <c r="O701">
        <v>4</v>
      </c>
      <c r="P701">
        <v>3</v>
      </c>
      <c r="Q701">
        <v>3</v>
      </c>
      <c r="R701">
        <v>1</v>
      </c>
      <c r="S701">
        <v>1</v>
      </c>
      <c r="T701">
        <f t="shared" si="50"/>
        <v>2</v>
      </c>
      <c r="U701" t="str" cm="1">
        <f t="array" ref="U701">_xlfn.IFS(T701&lt;3, "low", AND(T701&gt;=3, T701&lt;5), "med", T701&gt;=5, "high")</f>
        <v>low</v>
      </c>
      <c r="V701">
        <v>0</v>
      </c>
      <c r="W701" t="str" cm="1">
        <f t="array" ref="W701">_xlfn.IFS(V701&lt;5, "low", AND(V701&gt;=5, V701&lt;10), "med", V701&gt;=10, "high")</f>
        <v>low</v>
      </c>
      <c r="X701">
        <v>11</v>
      </c>
      <c r="Y701">
        <v>12</v>
      </c>
      <c r="Z701">
        <v>13</v>
      </c>
      <c r="AA701">
        <f t="shared" si="51"/>
        <v>0</v>
      </c>
      <c r="AB701">
        <f t="shared" si="52"/>
        <v>0</v>
      </c>
      <c r="AC701">
        <f t="shared" si="53"/>
        <v>0</v>
      </c>
      <c r="AD701" s="1">
        <f t="shared" si="54"/>
        <v>12</v>
      </c>
    </row>
    <row r="702" spans="1:30" x14ac:dyDescent="0.35">
      <c r="A702" t="s">
        <v>50</v>
      </c>
      <c r="B702">
        <v>17</v>
      </c>
      <c r="C702" t="s">
        <v>35</v>
      </c>
      <c r="D702" t="s">
        <v>36</v>
      </c>
      <c r="E702" t="s">
        <v>44</v>
      </c>
      <c r="F702" t="s">
        <v>45</v>
      </c>
      <c r="G702" t="s">
        <v>45</v>
      </c>
      <c r="H702">
        <v>1</v>
      </c>
      <c r="I702">
        <v>0</v>
      </c>
      <c r="J702" t="s">
        <v>43</v>
      </c>
      <c r="K702" t="s">
        <v>43</v>
      </c>
      <c r="L702" t="s">
        <v>43</v>
      </c>
      <c r="M702" t="s">
        <v>43</v>
      </c>
      <c r="N702" t="s">
        <v>43</v>
      </c>
      <c r="O702">
        <v>4</v>
      </c>
      <c r="P702">
        <v>4</v>
      </c>
      <c r="Q702">
        <v>4</v>
      </c>
      <c r="R702">
        <v>2</v>
      </c>
      <c r="S702">
        <v>3</v>
      </c>
      <c r="T702">
        <f t="shared" si="50"/>
        <v>5</v>
      </c>
      <c r="U702" t="str" cm="1">
        <f t="array" ref="U702">_xlfn.IFS(T702&lt;3, "low", AND(T702&gt;=3, T702&lt;5), "med", T702&gt;=5, "high")</f>
        <v>high</v>
      </c>
      <c r="V702">
        <v>8</v>
      </c>
      <c r="W702" t="str" cm="1">
        <f t="array" ref="W702">_xlfn.IFS(V702&lt;5, "low", AND(V702&gt;=5, V702&lt;10), "med", V702&gt;=10, "high")</f>
        <v>med</v>
      </c>
      <c r="X702">
        <v>8</v>
      </c>
      <c r="Y702">
        <v>8</v>
      </c>
      <c r="Z702">
        <v>9</v>
      </c>
      <c r="AA702">
        <f t="shared" si="51"/>
        <v>0</v>
      </c>
      <c r="AB702">
        <f t="shared" si="52"/>
        <v>0</v>
      </c>
      <c r="AC702">
        <f t="shared" si="53"/>
        <v>0</v>
      </c>
      <c r="AD702" s="1">
        <f t="shared" si="54"/>
        <v>8.3333333333333339</v>
      </c>
    </row>
    <row r="703" spans="1:30" x14ac:dyDescent="0.35">
      <c r="A703" t="s">
        <v>50</v>
      </c>
      <c r="B703">
        <v>18</v>
      </c>
      <c r="C703" t="s">
        <v>52</v>
      </c>
      <c r="D703" t="s">
        <v>47</v>
      </c>
      <c r="E703" t="s">
        <v>37</v>
      </c>
      <c r="F703" t="s">
        <v>45</v>
      </c>
      <c r="G703" t="s">
        <v>45</v>
      </c>
      <c r="H703">
        <v>2</v>
      </c>
      <c r="I703">
        <v>0</v>
      </c>
      <c r="J703" t="s">
        <v>43</v>
      </c>
      <c r="K703" t="s">
        <v>42</v>
      </c>
      <c r="L703" t="s">
        <v>43</v>
      </c>
      <c r="M703" t="s">
        <v>42</v>
      </c>
      <c r="N703" t="s">
        <v>43</v>
      </c>
      <c r="O703">
        <v>4</v>
      </c>
      <c r="P703">
        <v>2</v>
      </c>
      <c r="Q703">
        <v>5</v>
      </c>
      <c r="R703">
        <v>3</v>
      </c>
      <c r="S703">
        <v>4</v>
      </c>
      <c r="T703">
        <f t="shared" si="50"/>
        <v>7</v>
      </c>
      <c r="U703" t="str" cm="1">
        <f t="array" ref="U703">_xlfn.IFS(T703&lt;3, "low", AND(T703&gt;=3, T703&lt;5), "med", T703&gt;=5, "high")</f>
        <v>high</v>
      </c>
      <c r="V703">
        <v>6</v>
      </c>
      <c r="W703" t="str" cm="1">
        <f t="array" ref="W703">_xlfn.IFS(V703&lt;5, "low", AND(V703&gt;=5, V703&lt;10), "med", V703&gt;=10, "high")</f>
        <v>med</v>
      </c>
      <c r="X703">
        <v>15</v>
      </c>
      <c r="Y703">
        <v>16</v>
      </c>
      <c r="Z703">
        <v>16</v>
      </c>
      <c r="AA703">
        <f t="shared" si="51"/>
        <v>0</v>
      </c>
      <c r="AB703">
        <f t="shared" si="52"/>
        <v>0</v>
      </c>
      <c r="AC703">
        <f t="shared" si="53"/>
        <v>0</v>
      </c>
      <c r="AD703" s="1">
        <f t="shared" si="54"/>
        <v>15.666666666666666</v>
      </c>
    </row>
    <row r="704" spans="1:30" x14ac:dyDescent="0.35">
      <c r="A704" t="s">
        <v>50</v>
      </c>
      <c r="B704">
        <v>17</v>
      </c>
      <c r="C704" t="s">
        <v>35</v>
      </c>
      <c r="D704" t="s">
        <v>36</v>
      </c>
      <c r="E704" t="s">
        <v>44</v>
      </c>
      <c r="F704" t="s">
        <v>48</v>
      </c>
      <c r="G704" t="s">
        <v>45</v>
      </c>
      <c r="H704">
        <v>2</v>
      </c>
      <c r="I704">
        <v>0</v>
      </c>
      <c r="J704" t="s">
        <v>43</v>
      </c>
      <c r="K704" t="s">
        <v>43</v>
      </c>
      <c r="L704" t="s">
        <v>43</v>
      </c>
      <c r="M704" t="s">
        <v>42</v>
      </c>
      <c r="N704" t="s">
        <v>42</v>
      </c>
      <c r="O704">
        <v>5</v>
      </c>
      <c r="P704">
        <v>4</v>
      </c>
      <c r="Q704">
        <v>4</v>
      </c>
      <c r="R704">
        <v>3</v>
      </c>
      <c r="S704">
        <v>4</v>
      </c>
      <c r="T704">
        <f t="shared" si="50"/>
        <v>7</v>
      </c>
      <c r="U704" t="str" cm="1">
        <f t="array" ref="U704">_xlfn.IFS(T704&lt;3, "low", AND(T704&gt;=3, T704&lt;5), "med", T704&gt;=5, "high")</f>
        <v>high</v>
      </c>
      <c r="V704">
        <v>0</v>
      </c>
      <c r="W704" t="str" cm="1">
        <f t="array" ref="W704">_xlfn.IFS(V704&lt;5, "low", AND(V704&gt;=5, V704&lt;10), "med", V704&gt;=10, "high")</f>
        <v>low</v>
      </c>
      <c r="X704">
        <v>11</v>
      </c>
      <c r="Y704">
        <v>11</v>
      </c>
      <c r="Z704">
        <v>14</v>
      </c>
      <c r="AA704">
        <f t="shared" si="51"/>
        <v>0</v>
      </c>
      <c r="AB704">
        <f t="shared" si="52"/>
        <v>0</v>
      </c>
      <c r="AC704">
        <f t="shared" si="53"/>
        <v>0</v>
      </c>
      <c r="AD704" s="1">
        <f t="shared" si="54"/>
        <v>12</v>
      </c>
    </row>
    <row r="705" spans="1:30" x14ac:dyDescent="0.35">
      <c r="A705" t="s">
        <v>34</v>
      </c>
      <c r="B705">
        <v>18</v>
      </c>
      <c r="C705" t="s">
        <v>52</v>
      </c>
      <c r="D705" t="s">
        <v>36</v>
      </c>
      <c r="E705" t="s">
        <v>44</v>
      </c>
      <c r="F705" t="s">
        <v>39</v>
      </c>
      <c r="G705" t="s">
        <v>45</v>
      </c>
      <c r="H705">
        <v>2</v>
      </c>
      <c r="I705">
        <v>0</v>
      </c>
      <c r="J705" t="s">
        <v>43</v>
      </c>
      <c r="K705" t="s">
        <v>43</v>
      </c>
      <c r="L705" t="s">
        <v>43</v>
      </c>
      <c r="M705" t="s">
        <v>42</v>
      </c>
      <c r="N705" t="s">
        <v>43</v>
      </c>
      <c r="O705">
        <v>4</v>
      </c>
      <c r="P705">
        <v>3</v>
      </c>
      <c r="Q705">
        <v>4</v>
      </c>
      <c r="R705">
        <v>2</v>
      </c>
      <c r="S705">
        <v>2</v>
      </c>
      <c r="T705">
        <f t="shared" si="50"/>
        <v>4</v>
      </c>
      <c r="U705" t="str" cm="1">
        <f t="array" ref="U705">_xlfn.IFS(T705&lt;3, "low", AND(T705&gt;=3, T705&lt;5), "med", T705&gt;=5, "high")</f>
        <v>med</v>
      </c>
      <c r="V705">
        <v>8</v>
      </c>
      <c r="W705" t="str" cm="1">
        <f t="array" ref="W705">_xlfn.IFS(V705&lt;5, "low", AND(V705&gt;=5, V705&lt;10), "med", V705&gt;=10, "high")</f>
        <v>med</v>
      </c>
      <c r="X705">
        <v>10</v>
      </c>
      <c r="Y705">
        <v>11</v>
      </c>
      <c r="Z705">
        <v>12</v>
      </c>
      <c r="AA705">
        <f t="shared" si="51"/>
        <v>0</v>
      </c>
      <c r="AB705">
        <f t="shared" si="52"/>
        <v>0</v>
      </c>
      <c r="AC705">
        <f t="shared" si="53"/>
        <v>0</v>
      </c>
      <c r="AD705" s="1">
        <f t="shared" si="54"/>
        <v>11</v>
      </c>
    </row>
    <row r="706" spans="1:30" x14ac:dyDescent="0.35">
      <c r="A706" t="s">
        <v>50</v>
      </c>
      <c r="B706">
        <v>18</v>
      </c>
      <c r="C706" t="s">
        <v>35</v>
      </c>
      <c r="D706" t="s">
        <v>36</v>
      </c>
      <c r="E706" t="s">
        <v>44</v>
      </c>
      <c r="F706" t="s">
        <v>28</v>
      </c>
      <c r="G706" t="s">
        <v>45</v>
      </c>
      <c r="H706">
        <v>2</v>
      </c>
      <c r="I706">
        <v>0</v>
      </c>
      <c r="J706" t="s">
        <v>43</v>
      </c>
      <c r="K706" t="s">
        <v>42</v>
      </c>
      <c r="L706" t="s">
        <v>43</v>
      </c>
      <c r="M706" t="s">
        <v>42</v>
      </c>
      <c r="N706" t="s">
        <v>42</v>
      </c>
      <c r="O706">
        <v>5</v>
      </c>
      <c r="P706">
        <v>4</v>
      </c>
      <c r="Q706">
        <v>5</v>
      </c>
      <c r="R706">
        <v>1</v>
      </c>
      <c r="S706">
        <v>3</v>
      </c>
      <c r="T706">
        <f t="shared" si="50"/>
        <v>4</v>
      </c>
      <c r="U706" t="str" cm="1">
        <f t="array" ref="U706">_xlfn.IFS(T706&lt;3, "low", AND(T706&gt;=3, T706&lt;5), "med", T706&gt;=5, "high")</f>
        <v>med</v>
      </c>
      <c r="V706">
        <v>4</v>
      </c>
      <c r="W706" t="str" cm="1">
        <f t="array" ref="W706">_xlfn.IFS(V706&lt;5, "low", AND(V706&gt;=5, V706&lt;10), "med", V706&gt;=10, "high")</f>
        <v>low</v>
      </c>
      <c r="X706">
        <v>10</v>
      </c>
      <c r="Y706">
        <v>12</v>
      </c>
      <c r="Z706">
        <v>14</v>
      </c>
      <c r="AA706">
        <f t="shared" si="51"/>
        <v>0</v>
      </c>
      <c r="AB706">
        <f t="shared" si="52"/>
        <v>0</v>
      </c>
      <c r="AC706">
        <f t="shared" si="53"/>
        <v>0</v>
      </c>
      <c r="AD706" s="1">
        <f t="shared" si="54"/>
        <v>12</v>
      </c>
    </row>
    <row r="707" spans="1:30" x14ac:dyDescent="0.35">
      <c r="A707" t="s">
        <v>34</v>
      </c>
      <c r="B707">
        <v>18</v>
      </c>
      <c r="C707" t="s">
        <v>52</v>
      </c>
      <c r="D707" t="s">
        <v>36</v>
      </c>
      <c r="E707" t="s">
        <v>44</v>
      </c>
      <c r="F707" t="s">
        <v>45</v>
      </c>
      <c r="G707" t="s">
        <v>45</v>
      </c>
      <c r="H707">
        <v>2</v>
      </c>
      <c r="I707">
        <v>0</v>
      </c>
      <c r="J707" t="s">
        <v>43</v>
      </c>
      <c r="K707" t="s">
        <v>42</v>
      </c>
      <c r="L707" t="s">
        <v>43</v>
      </c>
      <c r="M707" t="s">
        <v>43</v>
      </c>
      <c r="N707" t="s">
        <v>42</v>
      </c>
      <c r="O707">
        <v>4</v>
      </c>
      <c r="P707">
        <v>3</v>
      </c>
      <c r="Q707">
        <v>5</v>
      </c>
      <c r="R707">
        <v>1</v>
      </c>
      <c r="S707">
        <v>2</v>
      </c>
      <c r="T707">
        <f t="shared" ref="T707:T770" si="55">R707+S707</f>
        <v>3</v>
      </c>
      <c r="U707" t="str" cm="1">
        <f t="array" ref="U707">_xlfn.IFS(T707&lt;3, "low", AND(T707&gt;=3, T707&lt;5), "med", T707&gt;=5, "high")</f>
        <v>med</v>
      </c>
      <c r="V707">
        <v>12</v>
      </c>
      <c r="W707" t="str" cm="1">
        <f t="array" ref="W707">_xlfn.IFS(V707&lt;5, "low", AND(V707&gt;=5, V707&lt;10), "med", V707&gt;=10, "high")</f>
        <v>high</v>
      </c>
      <c r="X707">
        <v>8</v>
      </c>
      <c r="Y707">
        <v>9</v>
      </c>
      <c r="Z707">
        <v>10</v>
      </c>
      <c r="AA707">
        <f t="shared" ref="AA707:AA770" si="56">IF(Y707&lt;X707,1,0)</f>
        <v>0</v>
      </c>
      <c r="AB707">
        <f t="shared" ref="AB707:AB770" si="57">IF(Z707&lt;Y707,1,0)</f>
        <v>0</v>
      </c>
      <c r="AC707">
        <f t="shared" ref="AC707:AC770" si="58">SUM(AA707:AB707)</f>
        <v>0</v>
      </c>
      <c r="AD707" s="1">
        <f t="shared" ref="AD707:AD770" si="59">AVERAGE(X707:Z707)</f>
        <v>9</v>
      </c>
    </row>
    <row r="708" spans="1:30" x14ac:dyDescent="0.35">
      <c r="A708" t="s">
        <v>34</v>
      </c>
      <c r="B708">
        <v>19</v>
      </c>
      <c r="C708" t="s">
        <v>35</v>
      </c>
      <c r="D708" t="s">
        <v>36</v>
      </c>
      <c r="E708" t="s">
        <v>44</v>
      </c>
      <c r="F708" t="s">
        <v>45</v>
      </c>
      <c r="G708" t="s">
        <v>48</v>
      </c>
      <c r="H708">
        <v>2</v>
      </c>
      <c r="I708">
        <v>0</v>
      </c>
      <c r="J708" t="s">
        <v>43</v>
      </c>
      <c r="K708" t="s">
        <v>42</v>
      </c>
      <c r="L708" t="s">
        <v>43</v>
      </c>
      <c r="M708" t="s">
        <v>42</v>
      </c>
      <c r="N708" t="s">
        <v>43</v>
      </c>
      <c r="O708">
        <v>4</v>
      </c>
      <c r="P708">
        <v>3</v>
      </c>
      <c r="Q708">
        <v>5</v>
      </c>
      <c r="R708">
        <v>3</v>
      </c>
      <c r="S708">
        <v>3</v>
      </c>
      <c r="T708">
        <f t="shared" si="55"/>
        <v>6</v>
      </c>
      <c r="U708" t="str" cm="1">
        <f t="array" ref="U708">_xlfn.IFS(T708&lt;3, "low", AND(T708&gt;=3, T708&lt;5), "med", T708&gt;=5, "high")</f>
        <v>high</v>
      </c>
      <c r="V708">
        <v>16</v>
      </c>
      <c r="W708" t="str" cm="1">
        <f t="array" ref="W708">_xlfn.IFS(V708&lt;5, "low", AND(V708&gt;=5, V708&lt;10), "med", V708&gt;=10, "high")</f>
        <v>high</v>
      </c>
      <c r="X708">
        <v>11</v>
      </c>
      <c r="Y708">
        <v>12</v>
      </c>
      <c r="Z708">
        <v>12</v>
      </c>
      <c r="AA708">
        <f t="shared" si="56"/>
        <v>0</v>
      </c>
      <c r="AB708">
        <f t="shared" si="57"/>
        <v>0</v>
      </c>
      <c r="AC708">
        <f t="shared" si="58"/>
        <v>0</v>
      </c>
      <c r="AD708" s="1">
        <f t="shared" si="59"/>
        <v>11.666666666666666</v>
      </c>
    </row>
    <row r="709" spans="1:30" x14ac:dyDescent="0.35">
      <c r="A709" t="s">
        <v>34</v>
      </c>
      <c r="B709">
        <v>18</v>
      </c>
      <c r="C709" t="s">
        <v>35</v>
      </c>
      <c r="D709" t="s">
        <v>36</v>
      </c>
      <c r="E709" t="s">
        <v>44</v>
      </c>
      <c r="F709" t="s">
        <v>45</v>
      </c>
      <c r="G709" t="s">
        <v>48</v>
      </c>
      <c r="H709">
        <v>4</v>
      </c>
      <c r="I709">
        <v>0</v>
      </c>
      <c r="J709" t="s">
        <v>43</v>
      </c>
      <c r="K709" t="s">
        <v>42</v>
      </c>
      <c r="L709" t="s">
        <v>43</v>
      </c>
      <c r="M709" t="s">
        <v>42</v>
      </c>
      <c r="N709" t="s">
        <v>42</v>
      </c>
      <c r="O709">
        <v>4</v>
      </c>
      <c r="P709">
        <v>5</v>
      </c>
      <c r="Q709">
        <v>5</v>
      </c>
      <c r="R709">
        <v>1</v>
      </c>
      <c r="S709">
        <v>3</v>
      </c>
      <c r="T709">
        <f t="shared" si="55"/>
        <v>4</v>
      </c>
      <c r="U709" t="str" cm="1">
        <f t="array" ref="U709">_xlfn.IFS(T709&lt;3, "low", AND(T709&gt;=3, T709&lt;5), "med", T709&gt;=5, "high")</f>
        <v>med</v>
      </c>
      <c r="V709">
        <v>10</v>
      </c>
      <c r="W709" t="str" cm="1">
        <f t="array" ref="W709">_xlfn.IFS(V709&lt;5, "low", AND(V709&gt;=5, V709&lt;10), "med", V709&gt;=10, "high")</f>
        <v>high</v>
      </c>
      <c r="X709">
        <v>16</v>
      </c>
      <c r="Y709">
        <v>16</v>
      </c>
      <c r="Z709">
        <v>16</v>
      </c>
      <c r="AA709">
        <f t="shared" si="56"/>
        <v>0</v>
      </c>
      <c r="AB709">
        <f t="shared" si="57"/>
        <v>0</v>
      </c>
      <c r="AC709">
        <f t="shared" si="58"/>
        <v>0</v>
      </c>
      <c r="AD709" s="1">
        <f t="shared" si="59"/>
        <v>16</v>
      </c>
    </row>
    <row r="710" spans="1:30" x14ac:dyDescent="0.35">
      <c r="A710" t="s">
        <v>34</v>
      </c>
      <c r="B710">
        <v>18</v>
      </c>
      <c r="C710" t="s">
        <v>35</v>
      </c>
      <c r="D710" t="s">
        <v>47</v>
      </c>
      <c r="E710" t="s">
        <v>44</v>
      </c>
      <c r="F710" t="s">
        <v>45</v>
      </c>
      <c r="G710" t="s">
        <v>45</v>
      </c>
      <c r="H710">
        <v>2</v>
      </c>
      <c r="I710">
        <v>0</v>
      </c>
      <c r="J710" t="s">
        <v>43</v>
      </c>
      <c r="K710" t="s">
        <v>42</v>
      </c>
      <c r="L710" t="s">
        <v>43</v>
      </c>
      <c r="M710" t="s">
        <v>43</v>
      </c>
      <c r="N710" t="s">
        <v>43</v>
      </c>
      <c r="O710">
        <v>4</v>
      </c>
      <c r="P710">
        <v>4</v>
      </c>
      <c r="Q710">
        <v>3</v>
      </c>
      <c r="R710">
        <v>1</v>
      </c>
      <c r="S710">
        <v>1</v>
      </c>
      <c r="T710">
        <f t="shared" si="55"/>
        <v>2</v>
      </c>
      <c r="U710" t="str" cm="1">
        <f t="array" ref="U710">_xlfn.IFS(T710&lt;3, "low", AND(T710&gt;=3, T710&lt;5), "med", T710&gt;=5, "high")</f>
        <v>low</v>
      </c>
      <c r="V710">
        <v>2</v>
      </c>
      <c r="W710" t="str" cm="1">
        <f t="array" ref="W710">_xlfn.IFS(V710&lt;5, "low", AND(V710&gt;=5, V710&lt;10), "med", V710&gt;=10, "high")</f>
        <v>low</v>
      </c>
      <c r="X710">
        <v>13</v>
      </c>
      <c r="Y710">
        <v>13</v>
      </c>
      <c r="Z710">
        <v>13</v>
      </c>
      <c r="AA710">
        <f t="shared" si="56"/>
        <v>0</v>
      </c>
      <c r="AB710">
        <f t="shared" si="57"/>
        <v>0</v>
      </c>
      <c r="AC710">
        <f t="shared" si="58"/>
        <v>0</v>
      </c>
      <c r="AD710" s="1">
        <f t="shared" si="59"/>
        <v>13</v>
      </c>
    </row>
    <row r="711" spans="1:30" x14ac:dyDescent="0.35">
      <c r="A711" t="s">
        <v>50</v>
      </c>
      <c r="B711">
        <v>17</v>
      </c>
      <c r="C711" t="s">
        <v>52</v>
      </c>
      <c r="D711" t="s">
        <v>36</v>
      </c>
      <c r="E711" t="s">
        <v>44</v>
      </c>
      <c r="F711" t="s">
        <v>38</v>
      </c>
      <c r="G711" t="s">
        <v>38</v>
      </c>
      <c r="H711">
        <v>2</v>
      </c>
      <c r="I711">
        <v>0</v>
      </c>
      <c r="J711" t="s">
        <v>43</v>
      </c>
      <c r="K711" t="s">
        <v>42</v>
      </c>
      <c r="L711" t="s">
        <v>43</v>
      </c>
      <c r="M711" t="s">
        <v>42</v>
      </c>
      <c r="N711" t="s">
        <v>42</v>
      </c>
      <c r="O711">
        <v>3</v>
      </c>
      <c r="P711">
        <v>5</v>
      </c>
      <c r="Q711">
        <v>2</v>
      </c>
      <c r="R711">
        <v>2</v>
      </c>
      <c r="S711">
        <v>2</v>
      </c>
      <c r="T711">
        <f t="shared" si="55"/>
        <v>4</v>
      </c>
      <c r="U711" t="str" cm="1">
        <f t="array" ref="U711">_xlfn.IFS(T711&lt;3, "low", AND(T711&gt;=3, T711&lt;5), "med", T711&gt;=5, "high")</f>
        <v>med</v>
      </c>
      <c r="V711">
        <v>2</v>
      </c>
      <c r="W711" t="str" cm="1">
        <f t="array" ref="W711">_xlfn.IFS(V711&lt;5, "low", AND(V711&gt;=5, V711&lt;10), "med", V711&gt;=10, "high")</f>
        <v>low</v>
      </c>
      <c r="X711">
        <v>16</v>
      </c>
      <c r="Y711">
        <v>17</v>
      </c>
      <c r="Z711">
        <v>18</v>
      </c>
      <c r="AA711">
        <f t="shared" si="56"/>
        <v>0</v>
      </c>
      <c r="AB711">
        <f t="shared" si="57"/>
        <v>0</v>
      </c>
      <c r="AC711">
        <f t="shared" si="58"/>
        <v>0</v>
      </c>
      <c r="AD711" s="1">
        <f t="shared" si="59"/>
        <v>17</v>
      </c>
    </row>
    <row r="712" spans="1:30" x14ac:dyDescent="0.35">
      <c r="A712" t="s">
        <v>34</v>
      </c>
      <c r="B712">
        <v>18</v>
      </c>
      <c r="C712" t="s">
        <v>35</v>
      </c>
      <c r="D712" t="s">
        <v>36</v>
      </c>
      <c r="E712" t="s">
        <v>44</v>
      </c>
      <c r="F712" t="s">
        <v>45</v>
      </c>
      <c r="G712" t="s">
        <v>45</v>
      </c>
      <c r="H712">
        <v>2</v>
      </c>
      <c r="I712">
        <v>0</v>
      </c>
      <c r="J712" t="s">
        <v>43</v>
      </c>
      <c r="K712" t="s">
        <v>42</v>
      </c>
      <c r="L712" t="s">
        <v>43</v>
      </c>
      <c r="M712" t="s">
        <v>43</v>
      </c>
      <c r="N712" t="s">
        <v>42</v>
      </c>
      <c r="O712">
        <v>4</v>
      </c>
      <c r="P712">
        <v>2</v>
      </c>
      <c r="Q712">
        <v>5</v>
      </c>
      <c r="R712">
        <v>1</v>
      </c>
      <c r="S712">
        <v>2</v>
      </c>
      <c r="T712">
        <f t="shared" si="55"/>
        <v>3</v>
      </c>
      <c r="U712" t="str" cm="1">
        <f t="array" ref="U712">_xlfn.IFS(T712&lt;3, "low", AND(T712&gt;=3, T712&lt;5), "med", T712&gt;=5, "high")</f>
        <v>med</v>
      </c>
      <c r="V712">
        <v>8</v>
      </c>
      <c r="W712" t="str" cm="1">
        <f t="array" ref="W712">_xlfn.IFS(V712&lt;5, "low", AND(V712&gt;=5, V712&lt;10), "med", V712&gt;=10, "high")</f>
        <v>med</v>
      </c>
      <c r="X712">
        <v>14</v>
      </c>
      <c r="Y712">
        <v>14</v>
      </c>
      <c r="Z712">
        <v>15</v>
      </c>
      <c r="AA712">
        <f t="shared" si="56"/>
        <v>0</v>
      </c>
      <c r="AB712">
        <f t="shared" si="57"/>
        <v>0</v>
      </c>
      <c r="AC712">
        <f t="shared" si="58"/>
        <v>0</v>
      </c>
      <c r="AD712" s="1">
        <f t="shared" si="59"/>
        <v>14.333333333333334</v>
      </c>
    </row>
    <row r="713" spans="1:30" x14ac:dyDescent="0.35">
      <c r="A713" t="s">
        <v>34</v>
      </c>
      <c r="B713">
        <v>17</v>
      </c>
      <c r="C713" t="s">
        <v>35</v>
      </c>
      <c r="D713" t="s">
        <v>36</v>
      </c>
      <c r="E713" t="s">
        <v>44</v>
      </c>
      <c r="F713" t="s">
        <v>38</v>
      </c>
      <c r="G713" t="s">
        <v>28</v>
      </c>
      <c r="H713">
        <v>2</v>
      </c>
      <c r="I713">
        <v>0</v>
      </c>
      <c r="J713" t="s">
        <v>43</v>
      </c>
      <c r="K713" t="s">
        <v>42</v>
      </c>
      <c r="L713" t="s">
        <v>43</v>
      </c>
      <c r="M713" t="s">
        <v>43</v>
      </c>
      <c r="N713" t="s">
        <v>42</v>
      </c>
      <c r="O713">
        <v>4</v>
      </c>
      <c r="P713">
        <v>3</v>
      </c>
      <c r="Q713">
        <v>3</v>
      </c>
      <c r="R713">
        <v>1</v>
      </c>
      <c r="S713">
        <v>1</v>
      </c>
      <c r="T713">
        <f t="shared" si="55"/>
        <v>2</v>
      </c>
      <c r="U713" t="str" cm="1">
        <f t="array" ref="U713">_xlfn.IFS(T713&lt;3, "low", AND(T713&gt;=3, T713&lt;5), "med", T713&gt;=5, "high")</f>
        <v>low</v>
      </c>
      <c r="V713">
        <v>6</v>
      </c>
      <c r="W713" t="str" cm="1">
        <f t="array" ref="W713">_xlfn.IFS(V713&lt;5, "low", AND(V713&gt;=5, V713&lt;10), "med", V713&gt;=10, "high")</f>
        <v>med</v>
      </c>
      <c r="X713">
        <v>15</v>
      </c>
      <c r="Y713">
        <v>16</v>
      </c>
      <c r="Z713">
        <v>16</v>
      </c>
      <c r="AA713">
        <f t="shared" si="56"/>
        <v>0</v>
      </c>
      <c r="AB713">
        <f t="shared" si="57"/>
        <v>0</v>
      </c>
      <c r="AC713">
        <f t="shared" si="58"/>
        <v>0</v>
      </c>
      <c r="AD713" s="1">
        <f t="shared" si="59"/>
        <v>15.666666666666666</v>
      </c>
    </row>
    <row r="714" spans="1:30" x14ac:dyDescent="0.35">
      <c r="A714" t="s">
        <v>34</v>
      </c>
      <c r="B714">
        <v>17</v>
      </c>
      <c r="C714" t="s">
        <v>35</v>
      </c>
      <c r="D714" t="s">
        <v>47</v>
      </c>
      <c r="E714" t="s">
        <v>44</v>
      </c>
      <c r="F714" t="s">
        <v>48</v>
      </c>
      <c r="G714" t="s">
        <v>45</v>
      </c>
      <c r="H714">
        <v>2</v>
      </c>
      <c r="I714">
        <v>0</v>
      </c>
      <c r="J714" t="s">
        <v>42</v>
      </c>
      <c r="K714" t="s">
        <v>42</v>
      </c>
      <c r="L714" t="s">
        <v>43</v>
      </c>
      <c r="M714" t="s">
        <v>43</v>
      </c>
      <c r="N714" t="s">
        <v>42</v>
      </c>
      <c r="O714">
        <v>4</v>
      </c>
      <c r="P714">
        <v>4</v>
      </c>
      <c r="Q714">
        <v>4</v>
      </c>
      <c r="R714">
        <v>2</v>
      </c>
      <c r="S714">
        <v>3</v>
      </c>
      <c r="T714">
        <f t="shared" si="55"/>
        <v>5</v>
      </c>
      <c r="U714" t="str" cm="1">
        <f t="array" ref="U714">_xlfn.IFS(T714&lt;3, "low", AND(T714&gt;=3, T714&lt;5), "med", T714&gt;=5, "high")</f>
        <v>high</v>
      </c>
      <c r="V714">
        <v>6</v>
      </c>
      <c r="W714" t="str" cm="1">
        <f t="array" ref="W714">_xlfn.IFS(V714&lt;5, "low", AND(V714&gt;=5, V714&lt;10), "med", V714&gt;=10, "high")</f>
        <v>med</v>
      </c>
      <c r="X714">
        <v>12</v>
      </c>
      <c r="Y714">
        <v>12</v>
      </c>
      <c r="Z714">
        <v>12</v>
      </c>
      <c r="AA714">
        <f t="shared" si="56"/>
        <v>0</v>
      </c>
      <c r="AB714">
        <f t="shared" si="57"/>
        <v>0</v>
      </c>
      <c r="AC714">
        <f t="shared" si="58"/>
        <v>0</v>
      </c>
      <c r="AD714" s="1">
        <f t="shared" si="59"/>
        <v>12</v>
      </c>
    </row>
    <row r="715" spans="1:30" x14ac:dyDescent="0.35">
      <c r="A715" t="s">
        <v>34</v>
      </c>
      <c r="B715">
        <v>18</v>
      </c>
      <c r="C715" t="s">
        <v>52</v>
      </c>
      <c r="D715" t="s">
        <v>36</v>
      </c>
      <c r="E715" t="s">
        <v>37</v>
      </c>
      <c r="F715" t="s">
        <v>45</v>
      </c>
      <c r="G715" t="s">
        <v>48</v>
      </c>
      <c r="H715">
        <v>2</v>
      </c>
      <c r="I715">
        <v>0</v>
      </c>
      <c r="J715" t="s">
        <v>43</v>
      </c>
      <c r="K715" t="s">
        <v>43</v>
      </c>
      <c r="L715" t="s">
        <v>43</v>
      </c>
      <c r="M715" t="s">
        <v>43</v>
      </c>
      <c r="N715" t="s">
        <v>42</v>
      </c>
      <c r="O715">
        <v>4</v>
      </c>
      <c r="P715">
        <v>1</v>
      </c>
      <c r="Q715">
        <v>1</v>
      </c>
      <c r="R715">
        <v>1</v>
      </c>
      <c r="S715">
        <v>1</v>
      </c>
      <c r="T715">
        <f t="shared" si="55"/>
        <v>2</v>
      </c>
      <c r="U715" t="str" cm="1">
        <f t="array" ref="U715">_xlfn.IFS(T715&lt;3, "low", AND(T715&gt;=3, T715&lt;5), "med", T715&gt;=5, "high")</f>
        <v>low</v>
      </c>
      <c r="V715">
        <v>15</v>
      </c>
      <c r="W715" t="str" cm="1">
        <f t="array" ref="W715">_xlfn.IFS(V715&lt;5, "low", AND(V715&gt;=5, V715&lt;10), "med", V715&gt;=10, "high")</f>
        <v>high</v>
      </c>
      <c r="X715">
        <v>12</v>
      </c>
      <c r="Y715">
        <v>9</v>
      </c>
      <c r="Z715">
        <v>10</v>
      </c>
      <c r="AA715">
        <f t="shared" si="56"/>
        <v>1</v>
      </c>
      <c r="AB715">
        <f t="shared" si="57"/>
        <v>0</v>
      </c>
      <c r="AC715">
        <f t="shared" si="58"/>
        <v>1</v>
      </c>
      <c r="AD715" s="1">
        <f t="shared" si="59"/>
        <v>10.333333333333334</v>
      </c>
    </row>
    <row r="716" spans="1:30" x14ac:dyDescent="0.35">
      <c r="A716" t="s">
        <v>50</v>
      </c>
      <c r="B716">
        <v>18</v>
      </c>
      <c r="C716" t="s">
        <v>35</v>
      </c>
      <c r="D716" t="s">
        <v>36</v>
      </c>
      <c r="E716" t="s">
        <v>44</v>
      </c>
      <c r="F716" t="s">
        <v>39</v>
      </c>
      <c r="G716" t="s">
        <v>48</v>
      </c>
      <c r="H716">
        <v>1</v>
      </c>
      <c r="I716">
        <v>0</v>
      </c>
      <c r="J716" t="s">
        <v>43</v>
      </c>
      <c r="K716" t="s">
        <v>43</v>
      </c>
      <c r="L716" t="s">
        <v>43</v>
      </c>
      <c r="M716" t="s">
        <v>42</v>
      </c>
      <c r="N716" t="s">
        <v>43</v>
      </c>
      <c r="O716">
        <v>3</v>
      </c>
      <c r="P716">
        <v>2</v>
      </c>
      <c r="Q716">
        <v>4</v>
      </c>
      <c r="R716">
        <v>1</v>
      </c>
      <c r="S716">
        <v>4</v>
      </c>
      <c r="T716">
        <f t="shared" si="55"/>
        <v>5</v>
      </c>
      <c r="U716" t="str" cm="1">
        <f t="array" ref="U716">_xlfn.IFS(T716&lt;3, "low", AND(T716&gt;=3, T716&lt;5), "med", T716&gt;=5, "high")</f>
        <v>high</v>
      </c>
      <c r="V716">
        <v>6</v>
      </c>
      <c r="W716" t="str" cm="1">
        <f t="array" ref="W716">_xlfn.IFS(V716&lt;5, "low", AND(V716&gt;=5, V716&lt;10), "med", V716&gt;=10, "high")</f>
        <v>med</v>
      </c>
      <c r="X716">
        <v>11</v>
      </c>
      <c r="Y716">
        <v>12</v>
      </c>
      <c r="Z716">
        <v>12</v>
      </c>
      <c r="AA716">
        <f t="shared" si="56"/>
        <v>0</v>
      </c>
      <c r="AB716">
        <f t="shared" si="57"/>
        <v>0</v>
      </c>
      <c r="AC716">
        <f t="shared" si="58"/>
        <v>0</v>
      </c>
      <c r="AD716" s="1">
        <f t="shared" si="59"/>
        <v>11.666666666666666</v>
      </c>
    </row>
    <row r="717" spans="1:30" x14ac:dyDescent="0.35">
      <c r="A717" t="s">
        <v>34</v>
      </c>
      <c r="B717">
        <v>18</v>
      </c>
      <c r="C717" t="s">
        <v>35</v>
      </c>
      <c r="D717" t="s">
        <v>36</v>
      </c>
      <c r="E717" t="s">
        <v>44</v>
      </c>
      <c r="F717" t="s">
        <v>28</v>
      </c>
      <c r="G717" t="s">
        <v>28</v>
      </c>
      <c r="H717">
        <v>2</v>
      </c>
      <c r="I717">
        <v>1</v>
      </c>
      <c r="J717" t="s">
        <v>42</v>
      </c>
      <c r="K717" t="s">
        <v>42</v>
      </c>
      <c r="L717" t="s">
        <v>43</v>
      </c>
      <c r="M717" t="s">
        <v>42</v>
      </c>
      <c r="N717" t="s">
        <v>42</v>
      </c>
      <c r="O717">
        <v>2</v>
      </c>
      <c r="P717">
        <v>4</v>
      </c>
      <c r="Q717">
        <v>4</v>
      </c>
      <c r="R717">
        <v>1</v>
      </c>
      <c r="S717">
        <v>1</v>
      </c>
      <c r="T717">
        <f t="shared" si="55"/>
        <v>2</v>
      </c>
      <c r="U717" t="str" cm="1">
        <f t="array" ref="U717">_xlfn.IFS(T717&lt;3, "low", AND(T717&gt;=3, T717&lt;5), "med", T717&gt;=5, "high")</f>
        <v>low</v>
      </c>
      <c r="V717">
        <v>2</v>
      </c>
      <c r="W717" t="str" cm="1">
        <f t="array" ref="W717">_xlfn.IFS(V717&lt;5, "low", AND(V717&gt;=5, V717&lt;10), "med", V717&gt;=10, "high")</f>
        <v>low</v>
      </c>
      <c r="X717">
        <v>14</v>
      </c>
      <c r="Y717">
        <v>12</v>
      </c>
      <c r="Z717">
        <v>13</v>
      </c>
      <c r="AA717">
        <f t="shared" si="56"/>
        <v>1</v>
      </c>
      <c r="AB717">
        <f t="shared" si="57"/>
        <v>0</v>
      </c>
      <c r="AC717">
        <f t="shared" si="58"/>
        <v>1</v>
      </c>
      <c r="AD717" s="1">
        <f t="shared" si="59"/>
        <v>13</v>
      </c>
    </row>
    <row r="718" spans="1:30" x14ac:dyDescent="0.35">
      <c r="A718" t="s">
        <v>34</v>
      </c>
      <c r="B718">
        <v>17</v>
      </c>
      <c r="C718" t="s">
        <v>35</v>
      </c>
      <c r="D718" t="s">
        <v>36</v>
      </c>
      <c r="E718" t="s">
        <v>44</v>
      </c>
      <c r="F718" t="s">
        <v>45</v>
      </c>
      <c r="G718" t="s">
        <v>48</v>
      </c>
      <c r="H718">
        <v>3</v>
      </c>
      <c r="I718">
        <v>0</v>
      </c>
      <c r="J718" t="s">
        <v>43</v>
      </c>
      <c r="K718" t="s">
        <v>42</v>
      </c>
      <c r="L718" t="s">
        <v>43</v>
      </c>
      <c r="M718" t="s">
        <v>43</v>
      </c>
      <c r="N718" t="s">
        <v>42</v>
      </c>
      <c r="O718">
        <v>4</v>
      </c>
      <c r="P718">
        <v>2</v>
      </c>
      <c r="Q718">
        <v>3</v>
      </c>
      <c r="R718">
        <v>1</v>
      </c>
      <c r="S718">
        <v>1</v>
      </c>
      <c r="T718">
        <f t="shared" si="55"/>
        <v>2</v>
      </c>
      <c r="U718" t="str" cm="1">
        <f t="array" ref="U718">_xlfn.IFS(T718&lt;3, "low", AND(T718&gt;=3, T718&lt;5), "med", T718&gt;=5, "high")</f>
        <v>low</v>
      </c>
      <c r="V718">
        <v>8</v>
      </c>
      <c r="W718" t="str" cm="1">
        <f t="array" ref="W718">_xlfn.IFS(V718&lt;5, "low", AND(V718&gt;=5, V718&lt;10), "med", V718&gt;=10, "high")</f>
        <v>med</v>
      </c>
      <c r="X718">
        <v>13</v>
      </c>
      <c r="Y718">
        <v>15</v>
      </c>
      <c r="Z718">
        <v>15</v>
      </c>
      <c r="AA718">
        <f t="shared" si="56"/>
        <v>0</v>
      </c>
      <c r="AB718">
        <f t="shared" si="57"/>
        <v>0</v>
      </c>
      <c r="AC718">
        <f t="shared" si="58"/>
        <v>0</v>
      </c>
      <c r="AD718" s="1">
        <f t="shared" si="59"/>
        <v>14.333333333333334</v>
      </c>
    </row>
    <row r="719" spans="1:30" x14ac:dyDescent="0.35">
      <c r="A719" t="s">
        <v>34</v>
      </c>
      <c r="B719">
        <v>19</v>
      </c>
      <c r="C719" t="s">
        <v>52</v>
      </c>
      <c r="D719" t="s">
        <v>36</v>
      </c>
      <c r="E719" t="s">
        <v>44</v>
      </c>
      <c r="F719" t="s">
        <v>48</v>
      </c>
      <c r="G719" t="s">
        <v>48</v>
      </c>
      <c r="H719">
        <v>2</v>
      </c>
      <c r="I719">
        <v>1</v>
      </c>
      <c r="J719" t="s">
        <v>42</v>
      </c>
      <c r="K719" t="s">
        <v>42</v>
      </c>
      <c r="L719" t="s">
        <v>43</v>
      </c>
      <c r="M719" t="s">
        <v>43</v>
      </c>
      <c r="N719" t="s">
        <v>43</v>
      </c>
      <c r="O719">
        <v>3</v>
      </c>
      <c r="P719">
        <v>3</v>
      </c>
      <c r="Q719">
        <v>3</v>
      </c>
      <c r="R719">
        <v>4</v>
      </c>
      <c r="S719">
        <v>3</v>
      </c>
      <c r="T719">
        <f t="shared" si="55"/>
        <v>7</v>
      </c>
      <c r="U719" t="str" cm="1">
        <f t="array" ref="U719">_xlfn.IFS(T719&lt;3, "low", AND(T719&gt;=3, T719&lt;5), "med", T719&gt;=5, "high")</f>
        <v>high</v>
      </c>
      <c r="V719">
        <v>0</v>
      </c>
      <c r="W719" t="str" cm="1">
        <f t="array" ref="W719">_xlfn.IFS(V719&lt;5, "low", AND(V719&gt;=5, V719&lt;10), "med", V719&gt;=10, "high")</f>
        <v>low</v>
      </c>
      <c r="X719">
        <v>9</v>
      </c>
      <c r="Y719">
        <v>8</v>
      </c>
      <c r="Z719">
        <v>10</v>
      </c>
      <c r="AA719">
        <f t="shared" si="56"/>
        <v>1</v>
      </c>
      <c r="AB719">
        <f t="shared" si="57"/>
        <v>0</v>
      </c>
      <c r="AC719">
        <f t="shared" si="58"/>
        <v>1</v>
      </c>
      <c r="AD719" s="1">
        <f t="shared" si="59"/>
        <v>9</v>
      </c>
    </row>
    <row r="720" spans="1:30" x14ac:dyDescent="0.35">
      <c r="A720" t="s">
        <v>50</v>
      </c>
      <c r="B720">
        <v>18</v>
      </c>
      <c r="C720" t="s">
        <v>35</v>
      </c>
      <c r="D720" t="s">
        <v>47</v>
      </c>
      <c r="E720" t="s">
        <v>44</v>
      </c>
      <c r="F720" t="s">
        <v>39</v>
      </c>
      <c r="G720" t="s">
        <v>48</v>
      </c>
      <c r="H720">
        <v>1</v>
      </c>
      <c r="I720">
        <v>0</v>
      </c>
      <c r="J720" t="s">
        <v>43</v>
      </c>
      <c r="K720" t="s">
        <v>43</v>
      </c>
      <c r="L720" t="s">
        <v>43</v>
      </c>
      <c r="M720" t="s">
        <v>42</v>
      </c>
      <c r="N720" t="s">
        <v>43</v>
      </c>
      <c r="O720">
        <v>4</v>
      </c>
      <c r="P720">
        <v>2</v>
      </c>
      <c r="Q720">
        <v>3</v>
      </c>
      <c r="R720">
        <v>1</v>
      </c>
      <c r="S720">
        <v>2</v>
      </c>
      <c r="T720">
        <f t="shared" si="55"/>
        <v>3</v>
      </c>
      <c r="U720" t="str" cm="1">
        <f t="array" ref="U720">_xlfn.IFS(T720&lt;3, "low", AND(T720&gt;=3, T720&lt;5), "med", T720&gt;=5, "high")</f>
        <v>med</v>
      </c>
      <c r="V720">
        <v>0</v>
      </c>
      <c r="W720" t="str" cm="1">
        <f t="array" ref="W720">_xlfn.IFS(V720&lt;5, "low", AND(V720&gt;=5, V720&lt;10), "med", V720&gt;=10, "high")</f>
        <v>low</v>
      </c>
      <c r="X720">
        <v>10</v>
      </c>
      <c r="Y720">
        <v>10</v>
      </c>
      <c r="Z720">
        <v>10</v>
      </c>
      <c r="AA720">
        <f t="shared" si="56"/>
        <v>0</v>
      </c>
      <c r="AB720">
        <f t="shared" si="57"/>
        <v>0</v>
      </c>
      <c r="AC720">
        <f t="shared" si="58"/>
        <v>0</v>
      </c>
      <c r="AD720" s="1">
        <f t="shared" si="59"/>
        <v>10</v>
      </c>
    </row>
    <row r="721" spans="1:30" x14ac:dyDescent="0.35">
      <c r="A721" t="s">
        <v>50</v>
      </c>
      <c r="B721">
        <v>18</v>
      </c>
      <c r="C721" t="s">
        <v>35</v>
      </c>
      <c r="D721" t="s">
        <v>36</v>
      </c>
      <c r="E721" t="s">
        <v>44</v>
      </c>
      <c r="F721" t="s">
        <v>38</v>
      </c>
      <c r="G721" t="s">
        <v>45</v>
      </c>
      <c r="H721">
        <v>1</v>
      </c>
      <c r="I721">
        <v>0</v>
      </c>
      <c r="J721" t="s">
        <v>43</v>
      </c>
      <c r="K721" t="s">
        <v>43</v>
      </c>
      <c r="L721" t="s">
        <v>43</v>
      </c>
      <c r="M721" t="s">
        <v>43</v>
      </c>
      <c r="N721" t="s">
        <v>43</v>
      </c>
      <c r="O721">
        <v>3</v>
      </c>
      <c r="P721">
        <v>4</v>
      </c>
      <c r="Q721">
        <v>4</v>
      </c>
      <c r="R721">
        <v>2</v>
      </c>
      <c r="S721">
        <v>4</v>
      </c>
      <c r="T721">
        <f t="shared" si="55"/>
        <v>6</v>
      </c>
      <c r="U721" t="str" cm="1">
        <f t="array" ref="U721">_xlfn.IFS(T721&lt;3, "low", AND(T721&gt;=3, T721&lt;5), "med", T721&gt;=5, "high")</f>
        <v>high</v>
      </c>
      <c r="V721">
        <v>10</v>
      </c>
      <c r="W721" t="str" cm="1">
        <f t="array" ref="W721">_xlfn.IFS(V721&lt;5, "low", AND(V721&gt;=5, V721&lt;10), "med", V721&gt;=10, "high")</f>
        <v>high</v>
      </c>
      <c r="X721">
        <v>10</v>
      </c>
      <c r="Y721">
        <v>10</v>
      </c>
      <c r="Z721">
        <v>11</v>
      </c>
      <c r="AA721">
        <f t="shared" si="56"/>
        <v>0</v>
      </c>
      <c r="AB721">
        <f t="shared" si="57"/>
        <v>0</v>
      </c>
      <c r="AC721">
        <f t="shared" si="58"/>
        <v>0</v>
      </c>
      <c r="AD721" s="1">
        <f t="shared" si="59"/>
        <v>10.333333333333334</v>
      </c>
    </row>
    <row r="722" spans="1:30" x14ac:dyDescent="0.35">
      <c r="A722" t="s">
        <v>50</v>
      </c>
      <c r="B722">
        <v>17</v>
      </c>
      <c r="C722" t="s">
        <v>35</v>
      </c>
      <c r="D722" t="s">
        <v>47</v>
      </c>
      <c r="E722" t="s">
        <v>37</v>
      </c>
      <c r="F722" t="s">
        <v>48</v>
      </c>
      <c r="G722" t="s">
        <v>45</v>
      </c>
      <c r="H722">
        <v>1</v>
      </c>
      <c r="I722">
        <v>0</v>
      </c>
      <c r="J722" t="s">
        <v>43</v>
      </c>
      <c r="K722" t="s">
        <v>43</v>
      </c>
      <c r="L722" t="s">
        <v>43</v>
      </c>
      <c r="M722" t="s">
        <v>42</v>
      </c>
      <c r="N722" t="s">
        <v>42</v>
      </c>
      <c r="O722">
        <v>4</v>
      </c>
      <c r="P722">
        <v>5</v>
      </c>
      <c r="Q722">
        <v>4</v>
      </c>
      <c r="R722">
        <v>2</v>
      </c>
      <c r="S722">
        <v>4</v>
      </c>
      <c r="T722">
        <f t="shared" si="55"/>
        <v>6</v>
      </c>
      <c r="U722" t="str" cm="1">
        <f t="array" ref="U722">_xlfn.IFS(T722&lt;3, "low", AND(T722&gt;=3, T722&lt;5), "med", T722&gt;=5, "high")</f>
        <v>high</v>
      </c>
      <c r="V722">
        <v>22</v>
      </c>
      <c r="W722" t="str" cm="1">
        <f t="array" ref="W722">_xlfn.IFS(V722&lt;5, "low", AND(V722&gt;=5, V722&lt;10), "med", V722&gt;=10, "high")</f>
        <v>high</v>
      </c>
      <c r="X722">
        <v>11</v>
      </c>
      <c r="Y722">
        <v>11</v>
      </c>
      <c r="Z722">
        <v>10</v>
      </c>
      <c r="AA722">
        <f t="shared" si="56"/>
        <v>0</v>
      </c>
      <c r="AB722">
        <f t="shared" si="57"/>
        <v>1</v>
      </c>
      <c r="AC722">
        <f t="shared" si="58"/>
        <v>1</v>
      </c>
      <c r="AD722" s="1">
        <f t="shared" si="59"/>
        <v>10.666666666666666</v>
      </c>
    </row>
    <row r="723" spans="1:30" x14ac:dyDescent="0.35">
      <c r="A723" t="s">
        <v>50</v>
      </c>
      <c r="B723">
        <v>17</v>
      </c>
      <c r="C723" t="s">
        <v>35</v>
      </c>
      <c r="D723" t="s">
        <v>47</v>
      </c>
      <c r="E723" t="s">
        <v>37</v>
      </c>
      <c r="F723" t="s">
        <v>39</v>
      </c>
      <c r="G723" t="s">
        <v>48</v>
      </c>
      <c r="H723">
        <v>1</v>
      </c>
      <c r="I723">
        <v>0</v>
      </c>
      <c r="J723" t="s">
        <v>43</v>
      </c>
      <c r="K723" t="s">
        <v>43</v>
      </c>
      <c r="L723" t="s">
        <v>43</v>
      </c>
      <c r="M723" t="s">
        <v>43</v>
      </c>
      <c r="N723" t="s">
        <v>43</v>
      </c>
      <c r="O723">
        <v>4</v>
      </c>
      <c r="P723">
        <v>4</v>
      </c>
      <c r="Q723">
        <v>4</v>
      </c>
      <c r="R723">
        <v>3</v>
      </c>
      <c r="S723">
        <v>4</v>
      </c>
      <c r="T723">
        <f t="shared" si="55"/>
        <v>7</v>
      </c>
      <c r="U723" t="str" cm="1">
        <f t="array" ref="U723">_xlfn.IFS(T723&lt;3, "low", AND(T723&gt;=3, T723&lt;5), "med", T723&gt;=5, "high")</f>
        <v>high</v>
      </c>
      <c r="V723">
        <v>18</v>
      </c>
      <c r="W723" t="str" cm="1">
        <f t="array" ref="W723">_xlfn.IFS(V723&lt;5, "low", AND(V723&gt;=5, V723&lt;10), "med", V723&gt;=10, "high")</f>
        <v>high</v>
      </c>
      <c r="X723">
        <v>13</v>
      </c>
      <c r="Y723">
        <v>13</v>
      </c>
      <c r="Z723">
        <v>13</v>
      </c>
      <c r="AA723">
        <f t="shared" si="56"/>
        <v>0</v>
      </c>
      <c r="AB723">
        <f t="shared" si="57"/>
        <v>0</v>
      </c>
      <c r="AC723">
        <f t="shared" si="58"/>
        <v>0</v>
      </c>
      <c r="AD723" s="1">
        <f t="shared" si="59"/>
        <v>13</v>
      </c>
    </row>
    <row r="724" spans="1:30" x14ac:dyDescent="0.35">
      <c r="A724" t="s">
        <v>34</v>
      </c>
      <c r="B724">
        <v>18</v>
      </c>
      <c r="C724" t="s">
        <v>52</v>
      </c>
      <c r="D724" t="s">
        <v>47</v>
      </c>
      <c r="E724" t="s">
        <v>44</v>
      </c>
      <c r="F724" t="s">
        <v>38</v>
      </c>
      <c r="G724" t="s">
        <v>45</v>
      </c>
      <c r="H724">
        <v>4</v>
      </c>
      <c r="I724">
        <v>0</v>
      </c>
      <c r="J724" t="s">
        <v>43</v>
      </c>
      <c r="K724" t="s">
        <v>42</v>
      </c>
      <c r="L724" t="s">
        <v>43</v>
      </c>
      <c r="M724" t="s">
        <v>42</v>
      </c>
      <c r="N724" t="s">
        <v>43</v>
      </c>
      <c r="O724">
        <v>5</v>
      </c>
      <c r="P724">
        <v>2</v>
      </c>
      <c r="Q724">
        <v>2</v>
      </c>
      <c r="R724">
        <v>1</v>
      </c>
      <c r="S724">
        <v>1</v>
      </c>
      <c r="T724">
        <f t="shared" si="55"/>
        <v>2</v>
      </c>
      <c r="U724" t="str" cm="1">
        <f t="array" ref="U724">_xlfn.IFS(T724&lt;3, "low", AND(T724&gt;=3, T724&lt;5), "med", T724&gt;=5, "high")</f>
        <v>low</v>
      </c>
      <c r="V724">
        <v>2</v>
      </c>
      <c r="W724" t="str" cm="1">
        <f t="array" ref="W724">_xlfn.IFS(V724&lt;5, "low", AND(V724&gt;=5, V724&lt;10), "med", V724&gt;=10, "high")</f>
        <v>low</v>
      </c>
      <c r="X724">
        <v>17</v>
      </c>
      <c r="Y724">
        <v>17</v>
      </c>
      <c r="Z724">
        <v>18</v>
      </c>
      <c r="AA724">
        <f t="shared" si="56"/>
        <v>0</v>
      </c>
      <c r="AB724">
        <f t="shared" si="57"/>
        <v>0</v>
      </c>
      <c r="AC724">
        <f t="shared" si="58"/>
        <v>0</v>
      </c>
      <c r="AD724" s="1">
        <f t="shared" si="59"/>
        <v>17.333333333333332</v>
      </c>
    </row>
    <row r="725" spans="1:30" x14ac:dyDescent="0.35">
      <c r="A725" t="s">
        <v>34</v>
      </c>
      <c r="B725">
        <v>18</v>
      </c>
      <c r="C725" t="s">
        <v>35</v>
      </c>
      <c r="D725" t="s">
        <v>36</v>
      </c>
      <c r="E725" t="s">
        <v>44</v>
      </c>
      <c r="F725" t="s">
        <v>45</v>
      </c>
      <c r="G725" t="s">
        <v>45</v>
      </c>
      <c r="H725">
        <v>2</v>
      </c>
      <c r="I725">
        <v>0</v>
      </c>
      <c r="J725" t="s">
        <v>42</v>
      </c>
      <c r="K725" t="s">
        <v>43</v>
      </c>
      <c r="L725" t="s">
        <v>43</v>
      </c>
      <c r="M725" t="s">
        <v>42</v>
      </c>
      <c r="N725" t="s">
        <v>43</v>
      </c>
      <c r="O725">
        <v>5</v>
      </c>
      <c r="P725">
        <v>4</v>
      </c>
      <c r="Q725">
        <v>4</v>
      </c>
      <c r="R725">
        <v>1</v>
      </c>
      <c r="S725">
        <v>1</v>
      </c>
      <c r="T725">
        <f t="shared" si="55"/>
        <v>2</v>
      </c>
      <c r="U725" t="str" cm="1">
        <f t="array" ref="U725">_xlfn.IFS(T725&lt;3, "low", AND(T725&gt;=3, T725&lt;5), "med", T725&gt;=5, "high")</f>
        <v>low</v>
      </c>
      <c r="V725">
        <v>0</v>
      </c>
      <c r="W725" t="str" cm="1">
        <f t="array" ref="W725">_xlfn.IFS(V725&lt;5, "low", AND(V725&gt;=5, V725&lt;10), "med", V725&gt;=10, "high")</f>
        <v>low</v>
      </c>
      <c r="X725">
        <v>12</v>
      </c>
      <c r="Y725">
        <v>13</v>
      </c>
      <c r="Z725">
        <v>13</v>
      </c>
      <c r="AA725">
        <f t="shared" si="56"/>
        <v>0</v>
      </c>
      <c r="AB725">
        <f t="shared" si="57"/>
        <v>0</v>
      </c>
      <c r="AC725">
        <f t="shared" si="58"/>
        <v>0</v>
      </c>
      <c r="AD725" s="1">
        <f t="shared" si="59"/>
        <v>12.666666666666666</v>
      </c>
    </row>
    <row r="726" spans="1:30" x14ac:dyDescent="0.35">
      <c r="A726" t="s">
        <v>34</v>
      </c>
      <c r="B726">
        <v>17</v>
      </c>
      <c r="C726" t="s">
        <v>35</v>
      </c>
      <c r="D726" t="s">
        <v>36</v>
      </c>
      <c r="E726" t="s">
        <v>44</v>
      </c>
      <c r="F726" t="s">
        <v>45</v>
      </c>
      <c r="G726" t="s">
        <v>45</v>
      </c>
      <c r="H726">
        <v>2</v>
      </c>
      <c r="I726">
        <v>0</v>
      </c>
      <c r="J726" t="s">
        <v>43</v>
      </c>
      <c r="K726" t="s">
        <v>42</v>
      </c>
      <c r="L726" t="s">
        <v>43</v>
      </c>
      <c r="M726" t="s">
        <v>43</v>
      </c>
      <c r="N726" t="s">
        <v>43</v>
      </c>
      <c r="O726">
        <v>5</v>
      </c>
      <c r="P726">
        <v>4</v>
      </c>
      <c r="Q726">
        <v>5</v>
      </c>
      <c r="R726">
        <v>1</v>
      </c>
      <c r="S726">
        <v>2</v>
      </c>
      <c r="T726">
        <f t="shared" si="55"/>
        <v>3</v>
      </c>
      <c r="U726" t="str" cm="1">
        <f t="array" ref="U726">_xlfn.IFS(T726&lt;3, "low", AND(T726&gt;=3, T726&lt;5), "med", T726&gt;=5, "high")</f>
        <v>med</v>
      </c>
      <c r="V726">
        <v>12</v>
      </c>
      <c r="W726" t="str" cm="1">
        <f t="array" ref="W726">_xlfn.IFS(V726&lt;5, "low", AND(V726&gt;=5, V726&lt;10), "med", V726&gt;=10, "high")</f>
        <v>high</v>
      </c>
      <c r="X726">
        <v>12</v>
      </c>
      <c r="Y726">
        <v>12</v>
      </c>
      <c r="Z726">
        <v>14</v>
      </c>
      <c r="AA726">
        <f t="shared" si="56"/>
        <v>0</v>
      </c>
      <c r="AB726">
        <f t="shared" si="57"/>
        <v>0</v>
      </c>
      <c r="AC726">
        <f t="shared" si="58"/>
        <v>0</v>
      </c>
      <c r="AD726" s="1">
        <f t="shared" si="59"/>
        <v>12.666666666666666</v>
      </c>
    </row>
    <row r="727" spans="1:30" x14ac:dyDescent="0.35">
      <c r="A727" t="s">
        <v>34</v>
      </c>
      <c r="B727">
        <v>18</v>
      </c>
      <c r="C727" t="s">
        <v>35</v>
      </c>
      <c r="D727" t="s">
        <v>36</v>
      </c>
      <c r="E727" t="s">
        <v>44</v>
      </c>
      <c r="F727" t="s">
        <v>45</v>
      </c>
      <c r="G727" t="s">
        <v>45</v>
      </c>
      <c r="H727">
        <v>2</v>
      </c>
      <c r="I727">
        <v>0</v>
      </c>
      <c r="J727" t="s">
        <v>43</v>
      </c>
      <c r="K727" t="s">
        <v>43</v>
      </c>
      <c r="L727" t="s">
        <v>43</v>
      </c>
      <c r="M727" t="s">
        <v>42</v>
      </c>
      <c r="N727" t="s">
        <v>42</v>
      </c>
      <c r="O727">
        <v>4</v>
      </c>
      <c r="P727">
        <v>3</v>
      </c>
      <c r="Q727">
        <v>1</v>
      </c>
      <c r="R727">
        <v>1</v>
      </c>
      <c r="S727">
        <v>1</v>
      </c>
      <c r="T727">
        <f t="shared" si="55"/>
        <v>2</v>
      </c>
      <c r="U727" t="str" cm="1">
        <f t="array" ref="U727">_xlfn.IFS(T727&lt;3, "low", AND(T727&gt;=3, T727&lt;5), "med", T727&gt;=5, "high")</f>
        <v>low</v>
      </c>
      <c r="V727">
        <v>10</v>
      </c>
      <c r="W727" t="str" cm="1">
        <f t="array" ref="W727">_xlfn.IFS(V727&lt;5, "low", AND(V727&gt;=5, V727&lt;10), "med", V727&gt;=10, "high")</f>
        <v>high</v>
      </c>
      <c r="X727">
        <v>12</v>
      </c>
      <c r="Y727">
        <v>13</v>
      </c>
      <c r="Z727">
        <v>14</v>
      </c>
      <c r="AA727">
        <f t="shared" si="56"/>
        <v>0</v>
      </c>
      <c r="AB727">
        <f t="shared" si="57"/>
        <v>0</v>
      </c>
      <c r="AC727">
        <f t="shared" si="58"/>
        <v>0</v>
      </c>
      <c r="AD727" s="1">
        <f t="shared" si="59"/>
        <v>13</v>
      </c>
    </row>
    <row r="728" spans="1:30" x14ac:dyDescent="0.35">
      <c r="A728" t="s">
        <v>50</v>
      </c>
      <c r="B728">
        <v>17</v>
      </c>
      <c r="C728" t="s">
        <v>35</v>
      </c>
      <c r="D728" t="s">
        <v>36</v>
      </c>
      <c r="E728" t="s">
        <v>44</v>
      </c>
      <c r="F728" t="s">
        <v>45</v>
      </c>
      <c r="G728" t="s">
        <v>45</v>
      </c>
      <c r="H728">
        <v>2</v>
      </c>
      <c r="I728">
        <v>0</v>
      </c>
      <c r="J728" t="s">
        <v>43</v>
      </c>
      <c r="K728" t="s">
        <v>43</v>
      </c>
      <c r="L728" t="s">
        <v>43</v>
      </c>
      <c r="M728" t="s">
        <v>43</v>
      </c>
      <c r="N728" t="s">
        <v>43</v>
      </c>
      <c r="O728">
        <v>4</v>
      </c>
      <c r="P728">
        <v>3</v>
      </c>
      <c r="Q728">
        <v>3</v>
      </c>
      <c r="R728">
        <v>1</v>
      </c>
      <c r="S728">
        <v>2</v>
      </c>
      <c r="T728">
        <f t="shared" si="55"/>
        <v>3</v>
      </c>
      <c r="U728" t="str" cm="1">
        <f t="array" ref="U728">_xlfn.IFS(T728&lt;3, "low", AND(T728&gt;=3, T728&lt;5), "med", T728&gt;=5, "high")</f>
        <v>med</v>
      </c>
      <c r="V728">
        <v>0</v>
      </c>
      <c r="W728" t="str" cm="1">
        <f t="array" ref="W728">_xlfn.IFS(V728&lt;5, "low", AND(V728&gt;=5, V728&lt;10), "med", V728&gt;=10, "high")</f>
        <v>low</v>
      </c>
      <c r="X728">
        <v>12</v>
      </c>
      <c r="Y728">
        <v>12</v>
      </c>
      <c r="Z728">
        <v>12</v>
      </c>
      <c r="AA728">
        <f t="shared" si="56"/>
        <v>0</v>
      </c>
      <c r="AB728">
        <f t="shared" si="57"/>
        <v>0</v>
      </c>
      <c r="AC728">
        <f t="shared" si="58"/>
        <v>0</v>
      </c>
      <c r="AD728" s="1">
        <f t="shared" si="59"/>
        <v>12</v>
      </c>
    </row>
    <row r="729" spans="1:30" x14ac:dyDescent="0.35">
      <c r="A729" t="s">
        <v>34</v>
      </c>
      <c r="B729">
        <v>18</v>
      </c>
      <c r="C729" t="s">
        <v>35</v>
      </c>
      <c r="D729" t="s">
        <v>36</v>
      </c>
      <c r="E729" t="s">
        <v>44</v>
      </c>
      <c r="F729" t="s">
        <v>38</v>
      </c>
      <c r="G729" t="s">
        <v>38</v>
      </c>
      <c r="H729">
        <v>3</v>
      </c>
      <c r="I729">
        <v>0</v>
      </c>
      <c r="J729" t="s">
        <v>43</v>
      </c>
      <c r="K729" t="s">
        <v>42</v>
      </c>
      <c r="L729" t="s">
        <v>43</v>
      </c>
      <c r="M729" t="s">
        <v>43</v>
      </c>
      <c r="N729" t="s">
        <v>43</v>
      </c>
      <c r="O729">
        <v>4</v>
      </c>
      <c r="P729">
        <v>3</v>
      </c>
      <c r="Q729">
        <v>3</v>
      </c>
      <c r="R729">
        <v>1</v>
      </c>
      <c r="S729">
        <v>2</v>
      </c>
      <c r="T729">
        <f t="shared" si="55"/>
        <v>3</v>
      </c>
      <c r="U729" t="str" cm="1">
        <f t="array" ref="U729">_xlfn.IFS(T729&lt;3, "low", AND(T729&gt;=3, T729&lt;5), "med", T729&gt;=5, "high")</f>
        <v>med</v>
      </c>
      <c r="V729">
        <v>0</v>
      </c>
      <c r="W729" t="str" cm="1">
        <f t="array" ref="W729">_xlfn.IFS(V729&lt;5, "low", AND(V729&gt;=5, V729&lt;10), "med", V729&gt;=10, "high")</f>
        <v>low</v>
      </c>
      <c r="X729">
        <v>18</v>
      </c>
      <c r="Y729">
        <v>18</v>
      </c>
      <c r="Z729">
        <v>18</v>
      </c>
      <c r="AA729">
        <f t="shared" si="56"/>
        <v>0</v>
      </c>
      <c r="AB729">
        <f t="shared" si="57"/>
        <v>0</v>
      </c>
      <c r="AC729">
        <f t="shared" si="58"/>
        <v>0</v>
      </c>
      <c r="AD729" s="1">
        <f t="shared" si="59"/>
        <v>18</v>
      </c>
    </row>
    <row r="730" spans="1:30" x14ac:dyDescent="0.35">
      <c r="A730" t="s">
        <v>34</v>
      </c>
      <c r="B730">
        <v>17</v>
      </c>
      <c r="C730" t="s">
        <v>35</v>
      </c>
      <c r="D730" t="s">
        <v>36</v>
      </c>
      <c r="E730" t="s">
        <v>44</v>
      </c>
      <c r="F730" t="s">
        <v>48</v>
      </c>
      <c r="G730" t="s">
        <v>39</v>
      </c>
      <c r="H730">
        <v>3</v>
      </c>
      <c r="I730">
        <v>0</v>
      </c>
      <c r="J730" t="s">
        <v>43</v>
      </c>
      <c r="K730" t="s">
        <v>42</v>
      </c>
      <c r="L730" t="s">
        <v>43</v>
      </c>
      <c r="M730" t="s">
        <v>43</v>
      </c>
      <c r="N730" t="s">
        <v>43</v>
      </c>
      <c r="O730">
        <v>4</v>
      </c>
      <c r="P730">
        <v>3</v>
      </c>
      <c r="Q730">
        <v>3</v>
      </c>
      <c r="R730">
        <v>1</v>
      </c>
      <c r="S730">
        <v>1</v>
      </c>
      <c r="T730">
        <f t="shared" si="55"/>
        <v>2</v>
      </c>
      <c r="U730" t="str" cm="1">
        <f t="array" ref="U730">_xlfn.IFS(T730&lt;3, "low", AND(T730&gt;=3, T730&lt;5), "med", T730&gt;=5, "high")</f>
        <v>low</v>
      </c>
      <c r="V730">
        <v>0</v>
      </c>
      <c r="W730" t="str" cm="1">
        <f t="array" ref="W730">_xlfn.IFS(V730&lt;5, "low", AND(V730&gt;=5, V730&lt;10), "med", V730&gt;=10, "high")</f>
        <v>low</v>
      </c>
      <c r="X730">
        <v>13</v>
      </c>
      <c r="Y730">
        <v>13</v>
      </c>
      <c r="Z730">
        <v>14</v>
      </c>
      <c r="AA730">
        <f t="shared" si="56"/>
        <v>0</v>
      </c>
      <c r="AB730">
        <f t="shared" si="57"/>
        <v>0</v>
      </c>
      <c r="AC730">
        <f t="shared" si="58"/>
        <v>0</v>
      </c>
      <c r="AD730" s="1">
        <f t="shared" si="59"/>
        <v>13.333333333333334</v>
      </c>
    </row>
    <row r="731" spans="1:30" x14ac:dyDescent="0.35">
      <c r="A731" t="s">
        <v>50</v>
      </c>
      <c r="B731">
        <v>18</v>
      </c>
      <c r="C731" t="s">
        <v>35</v>
      </c>
      <c r="D731" t="s">
        <v>36</v>
      </c>
      <c r="E731" t="s">
        <v>44</v>
      </c>
      <c r="F731" t="s">
        <v>48</v>
      </c>
      <c r="G731" t="s">
        <v>48</v>
      </c>
      <c r="H731">
        <v>3</v>
      </c>
      <c r="I731">
        <v>0</v>
      </c>
      <c r="J731" t="s">
        <v>43</v>
      </c>
      <c r="K731" t="s">
        <v>43</v>
      </c>
      <c r="L731" t="s">
        <v>43</v>
      </c>
      <c r="M731" t="s">
        <v>42</v>
      </c>
      <c r="N731" t="s">
        <v>43</v>
      </c>
      <c r="O731">
        <v>4</v>
      </c>
      <c r="P731">
        <v>2</v>
      </c>
      <c r="Q731">
        <v>4</v>
      </c>
      <c r="R731">
        <v>1</v>
      </c>
      <c r="S731">
        <v>3</v>
      </c>
      <c r="T731">
        <f t="shared" si="55"/>
        <v>4</v>
      </c>
      <c r="U731" t="str" cm="1">
        <f t="array" ref="U731">_xlfn.IFS(T731&lt;3, "low", AND(T731&gt;=3, T731&lt;5), "med", T731&gt;=5, "high")</f>
        <v>med</v>
      </c>
      <c r="V731">
        <v>0</v>
      </c>
      <c r="W731" t="str" cm="1">
        <f t="array" ref="W731">_xlfn.IFS(V731&lt;5, "low", AND(V731&gt;=5, V731&lt;10), "med", V731&gt;=10, "high")</f>
        <v>low</v>
      </c>
      <c r="X731">
        <v>14</v>
      </c>
      <c r="Y731">
        <v>15</v>
      </c>
      <c r="Z731">
        <v>15</v>
      </c>
      <c r="AA731">
        <f t="shared" si="56"/>
        <v>0</v>
      </c>
      <c r="AB731">
        <f t="shared" si="57"/>
        <v>0</v>
      </c>
      <c r="AC731">
        <f t="shared" si="58"/>
        <v>0</v>
      </c>
      <c r="AD731" s="1">
        <f t="shared" si="59"/>
        <v>14.666666666666666</v>
      </c>
    </row>
    <row r="732" spans="1:30" x14ac:dyDescent="0.35">
      <c r="A732" t="s">
        <v>50</v>
      </c>
      <c r="B732">
        <v>18</v>
      </c>
      <c r="C732" t="s">
        <v>35</v>
      </c>
      <c r="D732" t="s">
        <v>47</v>
      </c>
      <c r="E732" t="s">
        <v>37</v>
      </c>
      <c r="F732" t="s">
        <v>39</v>
      </c>
      <c r="G732" t="s">
        <v>39</v>
      </c>
      <c r="H732">
        <v>2</v>
      </c>
      <c r="I732">
        <v>0</v>
      </c>
      <c r="J732" t="s">
        <v>43</v>
      </c>
      <c r="K732" t="s">
        <v>42</v>
      </c>
      <c r="L732" t="s">
        <v>43</v>
      </c>
      <c r="M732" t="s">
        <v>42</v>
      </c>
      <c r="N732" t="s">
        <v>43</v>
      </c>
      <c r="O732">
        <v>5</v>
      </c>
      <c r="P732">
        <v>4</v>
      </c>
      <c r="Q732">
        <v>3</v>
      </c>
      <c r="R732">
        <v>1</v>
      </c>
      <c r="S732">
        <v>1</v>
      </c>
      <c r="T732">
        <f t="shared" si="55"/>
        <v>2</v>
      </c>
      <c r="U732" t="str" cm="1">
        <f t="array" ref="U732">_xlfn.IFS(T732&lt;3, "low", AND(T732&gt;=3, T732&lt;5), "med", T732&gt;=5, "high")</f>
        <v>low</v>
      </c>
      <c r="V732">
        <v>0</v>
      </c>
      <c r="W732" t="str" cm="1">
        <f t="array" ref="W732">_xlfn.IFS(V732&lt;5, "low", AND(V732&gt;=5, V732&lt;10), "med", V732&gt;=10, "high")</f>
        <v>low</v>
      </c>
      <c r="X732">
        <v>17</v>
      </c>
      <c r="Y732">
        <v>17</v>
      </c>
      <c r="Z732">
        <v>17</v>
      </c>
      <c r="AA732">
        <f t="shared" si="56"/>
        <v>0</v>
      </c>
      <c r="AB732">
        <f t="shared" si="57"/>
        <v>0</v>
      </c>
      <c r="AC732">
        <f t="shared" si="58"/>
        <v>0</v>
      </c>
      <c r="AD732" s="1">
        <f t="shared" si="59"/>
        <v>17</v>
      </c>
    </row>
    <row r="733" spans="1:30" x14ac:dyDescent="0.35">
      <c r="A733" t="s">
        <v>50</v>
      </c>
      <c r="B733">
        <v>18</v>
      </c>
      <c r="C733" t="s">
        <v>35</v>
      </c>
      <c r="D733" t="s">
        <v>36</v>
      </c>
      <c r="E733" t="s">
        <v>44</v>
      </c>
      <c r="F733" t="s">
        <v>39</v>
      </c>
      <c r="G733" t="s">
        <v>45</v>
      </c>
      <c r="H733">
        <v>2</v>
      </c>
      <c r="I733">
        <v>0</v>
      </c>
      <c r="J733" t="s">
        <v>43</v>
      </c>
      <c r="K733" t="s">
        <v>42</v>
      </c>
      <c r="L733" t="s">
        <v>43</v>
      </c>
      <c r="M733" t="s">
        <v>42</v>
      </c>
      <c r="N733" t="s">
        <v>42</v>
      </c>
      <c r="O733">
        <v>4</v>
      </c>
      <c r="P733">
        <v>3</v>
      </c>
      <c r="Q733">
        <v>2</v>
      </c>
      <c r="R733">
        <v>1</v>
      </c>
      <c r="S733">
        <v>4</v>
      </c>
      <c r="T733">
        <f t="shared" si="55"/>
        <v>5</v>
      </c>
      <c r="U733" t="str" cm="1">
        <f t="array" ref="U733">_xlfn.IFS(T733&lt;3, "low", AND(T733&gt;=3, T733&lt;5), "med", T733&gt;=5, "high")</f>
        <v>high</v>
      </c>
      <c r="V733">
        <v>2</v>
      </c>
      <c r="W733" t="str" cm="1">
        <f t="array" ref="W733">_xlfn.IFS(V733&lt;5, "low", AND(V733&gt;=5, V733&lt;10), "med", V733&gt;=10, "high")</f>
        <v>low</v>
      </c>
      <c r="X733">
        <v>15</v>
      </c>
      <c r="Y733">
        <v>16</v>
      </c>
      <c r="Z733">
        <v>16</v>
      </c>
      <c r="AA733">
        <f t="shared" si="56"/>
        <v>0</v>
      </c>
      <c r="AB733">
        <f t="shared" si="57"/>
        <v>0</v>
      </c>
      <c r="AC733">
        <f t="shared" si="58"/>
        <v>0</v>
      </c>
      <c r="AD733" s="1">
        <f t="shared" si="59"/>
        <v>15.666666666666666</v>
      </c>
    </row>
    <row r="734" spans="1:30" x14ac:dyDescent="0.35">
      <c r="A734" t="s">
        <v>34</v>
      </c>
      <c r="B734">
        <v>17</v>
      </c>
      <c r="C734" t="s">
        <v>35</v>
      </c>
      <c r="D734" t="s">
        <v>36</v>
      </c>
      <c r="E734" t="s">
        <v>44</v>
      </c>
      <c r="F734" t="s">
        <v>28</v>
      </c>
      <c r="G734" t="s">
        <v>48</v>
      </c>
      <c r="H734">
        <v>3</v>
      </c>
      <c r="I734">
        <v>0</v>
      </c>
      <c r="J734" t="s">
        <v>43</v>
      </c>
      <c r="K734" t="s">
        <v>42</v>
      </c>
      <c r="L734" t="s">
        <v>43</v>
      </c>
      <c r="M734" t="s">
        <v>43</v>
      </c>
      <c r="N734" t="s">
        <v>43</v>
      </c>
      <c r="O734">
        <v>4</v>
      </c>
      <c r="P734">
        <v>2</v>
      </c>
      <c r="Q734">
        <v>2</v>
      </c>
      <c r="R734">
        <v>1</v>
      </c>
      <c r="S734">
        <v>2</v>
      </c>
      <c r="T734">
        <f t="shared" si="55"/>
        <v>3</v>
      </c>
      <c r="U734" t="str" cm="1">
        <f t="array" ref="U734">_xlfn.IFS(T734&lt;3, "low", AND(T734&gt;=3, T734&lt;5), "med", T734&gt;=5, "high")</f>
        <v>med</v>
      </c>
      <c r="V734">
        <v>0</v>
      </c>
      <c r="W734" t="str" cm="1">
        <f t="array" ref="W734">_xlfn.IFS(V734&lt;5, "low", AND(V734&gt;=5, V734&lt;10), "med", V734&gt;=10, "high")</f>
        <v>low</v>
      </c>
      <c r="X734">
        <v>17</v>
      </c>
      <c r="Y734">
        <v>18</v>
      </c>
      <c r="Z734">
        <v>18</v>
      </c>
      <c r="AA734">
        <f t="shared" si="56"/>
        <v>0</v>
      </c>
      <c r="AB734">
        <f t="shared" si="57"/>
        <v>0</v>
      </c>
      <c r="AC734">
        <f t="shared" si="58"/>
        <v>0</v>
      </c>
      <c r="AD734" s="1">
        <f t="shared" si="59"/>
        <v>17.666666666666668</v>
      </c>
    </row>
    <row r="735" spans="1:30" x14ac:dyDescent="0.35">
      <c r="A735" t="s">
        <v>34</v>
      </c>
      <c r="B735">
        <v>17</v>
      </c>
      <c r="C735" t="s">
        <v>52</v>
      </c>
      <c r="D735" t="s">
        <v>47</v>
      </c>
      <c r="E735" t="s">
        <v>44</v>
      </c>
      <c r="F735" t="s">
        <v>48</v>
      </c>
      <c r="G735" t="s">
        <v>45</v>
      </c>
      <c r="H735">
        <v>4</v>
      </c>
      <c r="I735">
        <v>0</v>
      </c>
      <c r="J735" t="s">
        <v>43</v>
      </c>
      <c r="K735" t="s">
        <v>42</v>
      </c>
      <c r="L735" t="s">
        <v>43</v>
      </c>
      <c r="M735" t="s">
        <v>43</v>
      </c>
      <c r="N735" t="s">
        <v>43</v>
      </c>
      <c r="O735">
        <v>3</v>
      </c>
      <c r="P735">
        <v>1</v>
      </c>
      <c r="Q735">
        <v>2</v>
      </c>
      <c r="R735">
        <v>1</v>
      </c>
      <c r="S735">
        <v>1</v>
      </c>
      <c r="T735">
        <f t="shared" si="55"/>
        <v>2</v>
      </c>
      <c r="U735" t="str" cm="1">
        <f t="array" ref="U735">_xlfn.IFS(T735&lt;3, "low", AND(T735&gt;=3, T735&lt;5), "med", T735&gt;=5, "high")</f>
        <v>low</v>
      </c>
      <c r="V735">
        <v>0</v>
      </c>
      <c r="W735" t="str" cm="1">
        <f t="array" ref="W735">_xlfn.IFS(V735&lt;5, "low", AND(V735&gt;=5, V735&lt;10), "med", V735&gt;=10, "high")</f>
        <v>low</v>
      </c>
      <c r="X735">
        <v>18</v>
      </c>
      <c r="Y735">
        <v>19</v>
      </c>
      <c r="Z735">
        <v>19</v>
      </c>
      <c r="AA735">
        <f t="shared" si="56"/>
        <v>0</v>
      </c>
      <c r="AB735">
        <f t="shared" si="57"/>
        <v>0</v>
      </c>
      <c r="AC735">
        <f t="shared" si="58"/>
        <v>0</v>
      </c>
      <c r="AD735" s="1">
        <f t="shared" si="59"/>
        <v>18.666666666666668</v>
      </c>
    </row>
    <row r="736" spans="1:30" x14ac:dyDescent="0.35">
      <c r="A736" t="s">
        <v>50</v>
      </c>
      <c r="B736">
        <v>18</v>
      </c>
      <c r="C736" t="s">
        <v>52</v>
      </c>
      <c r="D736" t="s">
        <v>47</v>
      </c>
      <c r="E736" t="s">
        <v>44</v>
      </c>
      <c r="F736" t="s">
        <v>48</v>
      </c>
      <c r="G736" t="s">
        <v>45</v>
      </c>
      <c r="H736">
        <v>3</v>
      </c>
      <c r="I736">
        <v>0</v>
      </c>
      <c r="J736" t="s">
        <v>43</v>
      </c>
      <c r="K736" t="s">
        <v>42</v>
      </c>
      <c r="L736" t="s">
        <v>43</v>
      </c>
      <c r="M736" t="s">
        <v>42</v>
      </c>
      <c r="N736" t="s">
        <v>43</v>
      </c>
      <c r="O736">
        <v>5</v>
      </c>
      <c r="P736">
        <v>4</v>
      </c>
      <c r="Q736">
        <v>2</v>
      </c>
      <c r="R736">
        <v>1</v>
      </c>
      <c r="S736">
        <v>1</v>
      </c>
      <c r="T736">
        <f t="shared" si="55"/>
        <v>2</v>
      </c>
      <c r="U736" t="str" cm="1">
        <f t="array" ref="U736">_xlfn.IFS(T736&lt;3, "low", AND(T736&gt;=3, T736&lt;5), "med", T736&gt;=5, "high")</f>
        <v>low</v>
      </c>
      <c r="V736">
        <v>0</v>
      </c>
      <c r="W736" t="str" cm="1">
        <f t="array" ref="W736">_xlfn.IFS(V736&lt;5, "low", AND(V736&gt;=5, V736&lt;10), "med", V736&gt;=10, "high")</f>
        <v>low</v>
      </c>
      <c r="X736">
        <v>14</v>
      </c>
      <c r="Y736">
        <v>15</v>
      </c>
      <c r="Z736">
        <v>15</v>
      </c>
      <c r="AA736">
        <f t="shared" si="56"/>
        <v>0</v>
      </c>
      <c r="AB736">
        <f t="shared" si="57"/>
        <v>0</v>
      </c>
      <c r="AC736">
        <f t="shared" si="58"/>
        <v>0</v>
      </c>
      <c r="AD736" s="1">
        <f t="shared" si="59"/>
        <v>14.666666666666666</v>
      </c>
    </row>
    <row r="737" spans="1:30" x14ac:dyDescent="0.35">
      <c r="A737" t="s">
        <v>50</v>
      </c>
      <c r="B737">
        <v>17</v>
      </c>
      <c r="C737" t="s">
        <v>35</v>
      </c>
      <c r="D737" t="s">
        <v>36</v>
      </c>
      <c r="E737" t="s">
        <v>44</v>
      </c>
      <c r="F737" t="s">
        <v>28</v>
      </c>
      <c r="G737" t="s">
        <v>45</v>
      </c>
      <c r="H737">
        <v>1</v>
      </c>
      <c r="I737">
        <v>0</v>
      </c>
      <c r="J737" t="s">
        <v>43</v>
      </c>
      <c r="K737" t="s">
        <v>42</v>
      </c>
      <c r="L737" t="s">
        <v>43</v>
      </c>
      <c r="M737" t="s">
        <v>43</v>
      </c>
      <c r="N737" t="s">
        <v>43</v>
      </c>
      <c r="O737">
        <v>4</v>
      </c>
      <c r="P737">
        <v>4</v>
      </c>
      <c r="Q737">
        <v>3</v>
      </c>
      <c r="R737">
        <v>1</v>
      </c>
      <c r="S737">
        <v>3</v>
      </c>
      <c r="T737">
        <f t="shared" si="55"/>
        <v>4</v>
      </c>
      <c r="U737" t="str" cm="1">
        <f t="array" ref="U737">_xlfn.IFS(T737&lt;3, "low", AND(T737&gt;=3, T737&lt;5), "med", T737&gt;=5, "high")</f>
        <v>med</v>
      </c>
      <c r="V737">
        <v>0</v>
      </c>
      <c r="W737" t="str" cm="1">
        <f t="array" ref="W737">_xlfn.IFS(V737&lt;5, "low", AND(V737&gt;=5, V737&lt;10), "med", V737&gt;=10, "high")</f>
        <v>low</v>
      </c>
      <c r="X737">
        <v>14</v>
      </c>
      <c r="Y737">
        <v>15</v>
      </c>
      <c r="Z737">
        <v>15</v>
      </c>
      <c r="AA737">
        <f t="shared" si="56"/>
        <v>0</v>
      </c>
      <c r="AB737">
        <f t="shared" si="57"/>
        <v>0</v>
      </c>
      <c r="AC737">
        <f t="shared" si="58"/>
        <v>0</v>
      </c>
      <c r="AD737" s="1">
        <f t="shared" si="59"/>
        <v>14.666666666666666</v>
      </c>
    </row>
    <row r="738" spans="1:30" x14ac:dyDescent="0.35">
      <c r="A738" t="s">
        <v>34</v>
      </c>
      <c r="B738">
        <v>19</v>
      </c>
      <c r="C738" t="s">
        <v>35</v>
      </c>
      <c r="D738" t="s">
        <v>36</v>
      </c>
      <c r="E738" t="s">
        <v>44</v>
      </c>
      <c r="F738" t="s">
        <v>28</v>
      </c>
      <c r="G738" t="s">
        <v>45</v>
      </c>
      <c r="H738">
        <v>2</v>
      </c>
      <c r="I738">
        <v>0</v>
      </c>
      <c r="J738" t="s">
        <v>43</v>
      </c>
      <c r="K738" t="s">
        <v>42</v>
      </c>
      <c r="L738" t="s">
        <v>43</v>
      </c>
      <c r="M738" t="s">
        <v>42</v>
      </c>
      <c r="N738" t="s">
        <v>43</v>
      </c>
      <c r="O738">
        <v>2</v>
      </c>
      <c r="P738">
        <v>3</v>
      </c>
      <c r="Q738">
        <v>4</v>
      </c>
      <c r="R738">
        <v>2</v>
      </c>
      <c r="S738">
        <v>3</v>
      </c>
      <c r="T738">
        <f t="shared" si="55"/>
        <v>5</v>
      </c>
      <c r="U738" t="str" cm="1">
        <f t="array" ref="U738">_xlfn.IFS(T738&lt;3, "low", AND(T738&gt;=3, T738&lt;5), "med", T738&gt;=5, "high")</f>
        <v>high</v>
      </c>
      <c r="V738">
        <v>2</v>
      </c>
      <c r="W738" t="str" cm="1">
        <f t="array" ref="W738">_xlfn.IFS(V738&lt;5, "low", AND(V738&gt;=5, V738&lt;10), "med", V738&gt;=10, "high")</f>
        <v>low</v>
      </c>
      <c r="X738">
        <v>14</v>
      </c>
      <c r="Y738">
        <v>13</v>
      </c>
      <c r="Z738">
        <v>13</v>
      </c>
      <c r="AA738">
        <f t="shared" si="56"/>
        <v>1</v>
      </c>
      <c r="AB738">
        <f t="shared" si="57"/>
        <v>0</v>
      </c>
      <c r="AC738">
        <f t="shared" si="58"/>
        <v>1</v>
      </c>
      <c r="AD738" s="1">
        <f t="shared" si="59"/>
        <v>13.333333333333334</v>
      </c>
    </row>
    <row r="739" spans="1:30" x14ac:dyDescent="0.35">
      <c r="A739" t="s">
        <v>34</v>
      </c>
      <c r="B739">
        <v>18</v>
      </c>
      <c r="C739" t="s">
        <v>35</v>
      </c>
      <c r="D739" t="s">
        <v>47</v>
      </c>
      <c r="E739" t="s">
        <v>44</v>
      </c>
      <c r="F739" t="s">
        <v>45</v>
      </c>
      <c r="G739" t="s">
        <v>45</v>
      </c>
      <c r="H739">
        <v>2</v>
      </c>
      <c r="I739">
        <v>0</v>
      </c>
      <c r="J739" t="s">
        <v>43</v>
      </c>
      <c r="K739" t="s">
        <v>42</v>
      </c>
      <c r="L739" t="s">
        <v>43</v>
      </c>
      <c r="M739" t="s">
        <v>43</v>
      </c>
      <c r="N739" t="s">
        <v>42</v>
      </c>
      <c r="O739">
        <v>4</v>
      </c>
      <c r="P739">
        <v>4</v>
      </c>
      <c r="Q739">
        <v>5</v>
      </c>
      <c r="R739">
        <v>1</v>
      </c>
      <c r="S739">
        <v>2</v>
      </c>
      <c r="T739">
        <f t="shared" si="55"/>
        <v>3</v>
      </c>
      <c r="U739" t="str" cm="1">
        <f t="array" ref="U739">_xlfn.IFS(T739&lt;3, "low", AND(T739&gt;=3, T739&lt;5), "med", T739&gt;=5, "high")</f>
        <v>med</v>
      </c>
      <c r="V739">
        <v>0</v>
      </c>
      <c r="W739" t="str" cm="1">
        <f t="array" ref="W739">_xlfn.IFS(V739&lt;5, "low", AND(V739&gt;=5, V739&lt;10), "med", V739&gt;=10, "high")</f>
        <v>low</v>
      </c>
      <c r="X739">
        <v>13</v>
      </c>
      <c r="Y739">
        <v>14</v>
      </c>
      <c r="Z739">
        <v>14</v>
      </c>
      <c r="AA739">
        <f t="shared" si="56"/>
        <v>0</v>
      </c>
      <c r="AB739">
        <f t="shared" si="57"/>
        <v>0</v>
      </c>
      <c r="AC739">
        <f t="shared" si="58"/>
        <v>0</v>
      </c>
      <c r="AD739" s="1">
        <f t="shared" si="59"/>
        <v>13.666666666666666</v>
      </c>
    </row>
    <row r="740" spans="1:30" x14ac:dyDescent="0.35">
      <c r="A740" t="s">
        <v>34</v>
      </c>
      <c r="B740">
        <v>18</v>
      </c>
      <c r="C740" t="s">
        <v>35</v>
      </c>
      <c r="D740" t="s">
        <v>36</v>
      </c>
      <c r="E740" t="s">
        <v>44</v>
      </c>
      <c r="F740" t="s">
        <v>45</v>
      </c>
      <c r="G740" t="s">
        <v>45</v>
      </c>
      <c r="H740">
        <v>4</v>
      </c>
      <c r="I740">
        <v>0</v>
      </c>
      <c r="J740" t="s">
        <v>43</v>
      </c>
      <c r="K740" t="s">
        <v>42</v>
      </c>
      <c r="L740" t="s">
        <v>43</v>
      </c>
      <c r="M740" t="s">
        <v>43</v>
      </c>
      <c r="N740" t="s">
        <v>43</v>
      </c>
      <c r="O740">
        <v>4</v>
      </c>
      <c r="P740">
        <v>3</v>
      </c>
      <c r="Q740">
        <v>3</v>
      </c>
      <c r="R740">
        <v>1</v>
      </c>
      <c r="S740">
        <v>1</v>
      </c>
      <c r="T740">
        <f t="shared" si="55"/>
        <v>2</v>
      </c>
      <c r="U740" t="str" cm="1">
        <f t="array" ref="U740">_xlfn.IFS(T740&lt;3, "low", AND(T740&gt;=3, T740&lt;5), "med", T740&gt;=5, "high")</f>
        <v>low</v>
      </c>
      <c r="V740">
        <v>0</v>
      </c>
      <c r="W740" t="str" cm="1">
        <f t="array" ref="W740">_xlfn.IFS(V740&lt;5, "low", AND(V740&gt;=5, V740&lt;10), "med", V740&gt;=10, "high")</f>
        <v>low</v>
      </c>
      <c r="X740">
        <v>16</v>
      </c>
      <c r="Y740">
        <v>17</v>
      </c>
      <c r="Z740">
        <v>17</v>
      </c>
      <c r="AA740">
        <f t="shared" si="56"/>
        <v>0</v>
      </c>
      <c r="AB740">
        <f t="shared" si="57"/>
        <v>0</v>
      </c>
      <c r="AC740">
        <f t="shared" si="58"/>
        <v>0</v>
      </c>
      <c r="AD740" s="1">
        <f t="shared" si="59"/>
        <v>16.666666666666668</v>
      </c>
    </row>
    <row r="741" spans="1:30" x14ac:dyDescent="0.35">
      <c r="A741" t="s">
        <v>50</v>
      </c>
      <c r="B741">
        <v>18</v>
      </c>
      <c r="C741" t="s">
        <v>35</v>
      </c>
      <c r="D741" t="s">
        <v>47</v>
      </c>
      <c r="E741" t="s">
        <v>44</v>
      </c>
      <c r="F741" t="s">
        <v>39</v>
      </c>
      <c r="G741" t="s">
        <v>39</v>
      </c>
      <c r="H741">
        <v>1</v>
      </c>
      <c r="I741">
        <v>0</v>
      </c>
      <c r="J741" t="s">
        <v>43</v>
      </c>
      <c r="K741" t="s">
        <v>42</v>
      </c>
      <c r="L741" t="s">
        <v>43</v>
      </c>
      <c r="M741" t="s">
        <v>43</v>
      </c>
      <c r="N741" t="s">
        <v>42</v>
      </c>
      <c r="O741">
        <v>1</v>
      </c>
      <c r="P741">
        <v>4</v>
      </c>
      <c r="Q741">
        <v>2</v>
      </c>
      <c r="R741">
        <v>2</v>
      </c>
      <c r="S741">
        <v>2</v>
      </c>
      <c r="T741">
        <f t="shared" si="55"/>
        <v>4</v>
      </c>
      <c r="U741" t="str" cm="1">
        <f t="array" ref="U741">_xlfn.IFS(T741&lt;3, "low", AND(T741&gt;=3, T741&lt;5), "med", T741&gt;=5, "high")</f>
        <v>med</v>
      </c>
      <c r="V741">
        <v>0</v>
      </c>
      <c r="W741" t="str" cm="1">
        <f t="array" ref="W741">_xlfn.IFS(V741&lt;5, "low", AND(V741&gt;=5, V741&lt;10), "med", V741&gt;=10, "high")</f>
        <v>low</v>
      </c>
      <c r="X741">
        <v>18</v>
      </c>
      <c r="Y741">
        <v>18</v>
      </c>
      <c r="Z741">
        <v>17</v>
      </c>
      <c r="AA741">
        <f t="shared" si="56"/>
        <v>0</v>
      </c>
      <c r="AB741">
        <f t="shared" si="57"/>
        <v>1</v>
      </c>
      <c r="AC741">
        <f t="shared" si="58"/>
        <v>1</v>
      </c>
      <c r="AD741" s="1">
        <f t="shared" si="59"/>
        <v>17.666666666666668</v>
      </c>
    </row>
    <row r="742" spans="1:30" x14ac:dyDescent="0.35">
      <c r="A742" t="s">
        <v>34</v>
      </c>
      <c r="B742">
        <v>18</v>
      </c>
      <c r="C742" t="s">
        <v>35</v>
      </c>
      <c r="D742" t="s">
        <v>47</v>
      </c>
      <c r="E742" t="s">
        <v>37</v>
      </c>
      <c r="F742" t="s">
        <v>28</v>
      </c>
      <c r="G742" t="s">
        <v>45</v>
      </c>
      <c r="H742">
        <v>2</v>
      </c>
      <c r="I742">
        <v>0</v>
      </c>
      <c r="J742" t="s">
        <v>43</v>
      </c>
      <c r="K742" t="s">
        <v>42</v>
      </c>
      <c r="L742" t="s">
        <v>42</v>
      </c>
      <c r="M742" t="s">
        <v>43</v>
      </c>
      <c r="N742" t="s">
        <v>42</v>
      </c>
      <c r="O742">
        <v>4</v>
      </c>
      <c r="P742">
        <v>2</v>
      </c>
      <c r="Q742">
        <v>4</v>
      </c>
      <c r="R742">
        <v>1</v>
      </c>
      <c r="S742">
        <v>1</v>
      </c>
      <c r="T742">
        <f t="shared" si="55"/>
        <v>2</v>
      </c>
      <c r="U742" t="str" cm="1">
        <f t="array" ref="U742">_xlfn.IFS(T742&lt;3, "low", AND(T742&gt;=3, T742&lt;5), "med", T742&gt;=5, "high")</f>
        <v>low</v>
      </c>
      <c r="V742">
        <v>0</v>
      </c>
      <c r="W742" t="str" cm="1">
        <f t="array" ref="W742">_xlfn.IFS(V742&lt;5, "low", AND(V742&gt;=5, V742&lt;10), "med", V742&gt;=10, "high")</f>
        <v>low</v>
      </c>
      <c r="X742">
        <v>14</v>
      </c>
      <c r="Y742">
        <v>15</v>
      </c>
      <c r="Z742">
        <v>15</v>
      </c>
      <c r="AA742">
        <f t="shared" si="56"/>
        <v>0</v>
      </c>
      <c r="AB742">
        <f t="shared" si="57"/>
        <v>0</v>
      </c>
      <c r="AC742">
        <f t="shared" si="58"/>
        <v>0</v>
      </c>
      <c r="AD742" s="1">
        <f t="shared" si="59"/>
        <v>14.666666666666666</v>
      </c>
    </row>
    <row r="743" spans="1:30" x14ac:dyDescent="0.35">
      <c r="A743" t="s">
        <v>50</v>
      </c>
      <c r="B743">
        <v>17</v>
      </c>
      <c r="C743" t="s">
        <v>35</v>
      </c>
      <c r="D743" t="s">
        <v>47</v>
      </c>
      <c r="E743" t="s">
        <v>44</v>
      </c>
      <c r="F743" t="s">
        <v>45</v>
      </c>
      <c r="G743" t="s">
        <v>39</v>
      </c>
      <c r="H743">
        <v>1</v>
      </c>
      <c r="I743">
        <v>0</v>
      </c>
      <c r="J743" t="s">
        <v>43</v>
      </c>
      <c r="K743" t="s">
        <v>43</v>
      </c>
      <c r="L743" t="s">
        <v>43</v>
      </c>
      <c r="M743" t="s">
        <v>43</v>
      </c>
      <c r="N743" t="s">
        <v>43</v>
      </c>
      <c r="O743">
        <v>4</v>
      </c>
      <c r="P743">
        <v>1</v>
      </c>
      <c r="Q743">
        <v>1</v>
      </c>
      <c r="R743">
        <v>2</v>
      </c>
      <c r="S743">
        <v>2</v>
      </c>
      <c r="T743">
        <f t="shared" si="55"/>
        <v>4</v>
      </c>
      <c r="U743" t="str" cm="1">
        <f t="array" ref="U743">_xlfn.IFS(T743&lt;3, "low", AND(T743&gt;=3, T743&lt;5), "med", T743&gt;=5, "high")</f>
        <v>med</v>
      </c>
      <c r="V743">
        <v>0</v>
      </c>
      <c r="W743" t="str" cm="1">
        <f t="array" ref="W743">_xlfn.IFS(V743&lt;5, "low", AND(V743&gt;=5, V743&lt;10), "med", V743&gt;=10, "high")</f>
        <v>low</v>
      </c>
      <c r="X743">
        <v>12</v>
      </c>
      <c r="Y743">
        <v>13</v>
      </c>
      <c r="Z743">
        <v>13</v>
      </c>
      <c r="AA743">
        <f t="shared" si="56"/>
        <v>0</v>
      </c>
      <c r="AB743">
        <f t="shared" si="57"/>
        <v>0</v>
      </c>
      <c r="AC743">
        <f t="shared" si="58"/>
        <v>0</v>
      </c>
      <c r="AD743" s="1">
        <f t="shared" si="59"/>
        <v>12.666666666666666</v>
      </c>
    </row>
    <row r="744" spans="1:30" x14ac:dyDescent="0.35">
      <c r="A744" t="s">
        <v>34</v>
      </c>
      <c r="B744">
        <v>17</v>
      </c>
      <c r="C744" t="s">
        <v>52</v>
      </c>
      <c r="D744" t="s">
        <v>36</v>
      </c>
      <c r="E744" t="s">
        <v>44</v>
      </c>
      <c r="F744" t="s">
        <v>48</v>
      </c>
      <c r="G744" t="s">
        <v>48</v>
      </c>
      <c r="H744">
        <v>3</v>
      </c>
      <c r="I744">
        <v>0</v>
      </c>
      <c r="J744" t="s">
        <v>43</v>
      </c>
      <c r="K744" t="s">
        <v>42</v>
      </c>
      <c r="L744" t="s">
        <v>43</v>
      </c>
      <c r="M744" t="s">
        <v>42</v>
      </c>
      <c r="N744" t="s">
        <v>43</v>
      </c>
      <c r="O744">
        <v>5</v>
      </c>
      <c r="P744">
        <v>3</v>
      </c>
      <c r="Q744">
        <v>4</v>
      </c>
      <c r="R744">
        <v>1</v>
      </c>
      <c r="S744">
        <v>1</v>
      </c>
      <c r="T744">
        <f t="shared" si="55"/>
        <v>2</v>
      </c>
      <c r="U744" t="str" cm="1">
        <f t="array" ref="U744">_xlfn.IFS(T744&lt;3, "low", AND(T744&gt;=3, T744&lt;5), "med", T744&gt;=5, "high")</f>
        <v>low</v>
      </c>
      <c r="V744">
        <v>0</v>
      </c>
      <c r="W744" t="str" cm="1">
        <f t="array" ref="W744">_xlfn.IFS(V744&lt;5, "low", AND(V744&gt;=5, V744&lt;10), "med", V744&gt;=10, "high")</f>
        <v>low</v>
      </c>
      <c r="X744">
        <v>7</v>
      </c>
      <c r="Y744">
        <v>7</v>
      </c>
      <c r="Z744">
        <v>8</v>
      </c>
      <c r="AA744">
        <f t="shared" si="56"/>
        <v>0</v>
      </c>
      <c r="AB744">
        <f t="shared" si="57"/>
        <v>0</v>
      </c>
      <c r="AC744">
        <f t="shared" si="58"/>
        <v>0</v>
      </c>
      <c r="AD744" s="1">
        <f t="shared" si="59"/>
        <v>7.333333333333333</v>
      </c>
    </row>
    <row r="745" spans="1:30" x14ac:dyDescent="0.35">
      <c r="A745" t="s">
        <v>34</v>
      </c>
      <c r="B745">
        <v>17</v>
      </c>
      <c r="C745" t="s">
        <v>35</v>
      </c>
      <c r="D745" t="s">
        <v>36</v>
      </c>
      <c r="E745" t="s">
        <v>44</v>
      </c>
      <c r="F745" t="s">
        <v>45</v>
      </c>
      <c r="G745" t="s">
        <v>45</v>
      </c>
      <c r="H745">
        <v>3</v>
      </c>
      <c r="I745">
        <v>0</v>
      </c>
      <c r="J745" t="s">
        <v>43</v>
      </c>
      <c r="K745" t="s">
        <v>42</v>
      </c>
      <c r="L745" t="s">
        <v>43</v>
      </c>
      <c r="M745" t="s">
        <v>43</v>
      </c>
      <c r="N745" t="s">
        <v>43</v>
      </c>
      <c r="O745">
        <v>4</v>
      </c>
      <c r="P745">
        <v>3</v>
      </c>
      <c r="Q745">
        <v>3</v>
      </c>
      <c r="R745">
        <v>1</v>
      </c>
      <c r="S745">
        <v>1</v>
      </c>
      <c r="T745">
        <f t="shared" si="55"/>
        <v>2</v>
      </c>
      <c r="U745" t="str" cm="1">
        <f t="array" ref="U745">_xlfn.IFS(T745&lt;3, "low", AND(T745&gt;=3, T745&lt;5), "med", T745&gt;=5, "high")</f>
        <v>low</v>
      </c>
      <c r="V745">
        <v>0</v>
      </c>
      <c r="W745" t="str" cm="1">
        <f t="array" ref="W745">_xlfn.IFS(V745&lt;5, "low", AND(V745&gt;=5, V745&lt;10), "med", V745&gt;=10, "high")</f>
        <v>low</v>
      </c>
      <c r="X745">
        <v>16</v>
      </c>
      <c r="Y745">
        <v>16</v>
      </c>
      <c r="Z745">
        <v>16</v>
      </c>
      <c r="AA745">
        <f t="shared" si="56"/>
        <v>0</v>
      </c>
      <c r="AB745">
        <f t="shared" si="57"/>
        <v>0</v>
      </c>
      <c r="AC745">
        <f t="shared" si="58"/>
        <v>0</v>
      </c>
      <c r="AD745" s="1">
        <f t="shared" si="59"/>
        <v>16</v>
      </c>
    </row>
    <row r="746" spans="1:30" x14ac:dyDescent="0.35">
      <c r="A746" t="s">
        <v>34</v>
      </c>
      <c r="B746">
        <v>17</v>
      </c>
      <c r="C746" t="s">
        <v>35</v>
      </c>
      <c r="D746" t="s">
        <v>36</v>
      </c>
      <c r="E746" t="s">
        <v>44</v>
      </c>
      <c r="F746" t="s">
        <v>28</v>
      </c>
      <c r="G746" t="s">
        <v>28</v>
      </c>
      <c r="H746">
        <v>4</v>
      </c>
      <c r="I746">
        <v>0</v>
      </c>
      <c r="J746" t="s">
        <v>43</v>
      </c>
      <c r="K746" t="s">
        <v>42</v>
      </c>
      <c r="L746" t="s">
        <v>43</v>
      </c>
      <c r="M746" t="s">
        <v>42</v>
      </c>
      <c r="N746" t="s">
        <v>43</v>
      </c>
      <c r="O746">
        <v>5</v>
      </c>
      <c r="P746">
        <v>2</v>
      </c>
      <c r="Q746">
        <v>2</v>
      </c>
      <c r="R746">
        <v>1</v>
      </c>
      <c r="S746">
        <v>2</v>
      </c>
      <c r="T746">
        <f t="shared" si="55"/>
        <v>3</v>
      </c>
      <c r="U746" t="str" cm="1">
        <f t="array" ref="U746">_xlfn.IFS(T746&lt;3, "low", AND(T746&gt;=3, T746&lt;5), "med", T746&gt;=5, "high")</f>
        <v>med</v>
      </c>
      <c r="V746">
        <v>0</v>
      </c>
      <c r="W746" t="str" cm="1">
        <f t="array" ref="W746">_xlfn.IFS(V746&lt;5, "low", AND(V746&gt;=5, V746&lt;10), "med", V746&gt;=10, "high")</f>
        <v>low</v>
      </c>
      <c r="X746">
        <v>18</v>
      </c>
      <c r="Y746">
        <v>18</v>
      </c>
      <c r="Z746">
        <v>18</v>
      </c>
      <c r="AA746">
        <f t="shared" si="56"/>
        <v>0</v>
      </c>
      <c r="AB746">
        <f t="shared" si="57"/>
        <v>0</v>
      </c>
      <c r="AC746">
        <f t="shared" si="58"/>
        <v>0</v>
      </c>
      <c r="AD746" s="1">
        <f t="shared" si="59"/>
        <v>18</v>
      </c>
    </row>
    <row r="747" spans="1:30" x14ac:dyDescent="0.35">
      <c r="A747" t="s">
        <v>50</v>
      </c>
      <c r="B747">
        <v>19</v>
      </c>
      <c r="C747" t="s">
        <v>52</v>
      </c>
      <c r="D747" t="s">
        <v>47</v>
      </c>
      <c r="E747" t="s">
        <v>44</v>
      </c>
      <c r="F747" t="s">
        <v>38</v>
      </c>
      <c r="G747" t="s">
        <v>48</v>
      </c>
      <c r="H747">
        <v>3</v>
      </c>
      <c r="I747">
        <v>1</v>
      </c>
      <c r="J747" t="s">
        <v>43</v>
      </c>
      <c r="K747" t="s">
        <v>43</v>
      </c>
      <c r="L747" t="s">
        <v>43</v>
      </c>
      <c r="M747" t="s">
        <v>42</v>
      </c>
      <c r="N747" t="s">
        <v>42</v>
      </c>
      <c r="O747">
        <v>4</v>
      </c>
      <c r="P747">
        <v>3</v>
      </c>
      <c r="Q747">
        <v>1</v>
      </c>
      <c r="R747">
        <v>1</v>
      </c>
      <c r="S747">
        <v>1</v>
      </c>
      <c r="T747">
        <f t="shared" si="55"/>
        <v>2</v>
      </c>
      <c r="U747" t="str" cm="1">
        <f t="array" ref="U747">_xlfn.IFS(T747&lt;3, "low", AND(T747&gt;=3, T747&lt;5), "med", T747&gt;=5, "high")</f>
        <v>low</v>
      </c>
      <c r="V747">
        <v>0</v>
      </c>
      <c r="W747" t="str" cm="1">
        <f t="array" ref="W747">_xlfn.IFS(V747&lt;5, "low", AND(V747&gt;=5, V747&lt;10), "med", V747&gt;=10, "high")</f>
        <v>low</v>
      </c>
      <c r="X747">
        <v>9</v>
      </c>
      <c r="Y747">
        <v>10</v>
      </c>
      <c r="Z747">
        <v>11</v>
      </c>
      <c r="AA747">
        <f t="shared" si="56"/>
        <v>0</v>
      </c>
      <c r="AB747">
        <f t="shared" si="57"/>
        <v>0</v>
      </c>
      <c r="AC747">
        <f t="shared" si="58"/>
        <v>0</v>
      </c>
      <c r="AD747" s="1">
        <f t="shared" si="59"/>
        <v>10</v>
      </c>
    </row>
    <row r="748" spans="1:30" x14ac:dyDescent="0.35">
      <c r="A748" t="s">
        <v>50</v>
      </c>
      <c r="B748">
        <v>20</v>
      </c>
      <c r="C748" t="s">
        <v>35</v>
      </c>
      <c r="D748" t="s">
        <v>36</v>
      </c>
      <c r="E748" t="s">
        <v>37</v>
      </c>
      <c r="F748" t="s">
        <v>48</v>
      </c>
      <c r="G748" t="s">
        <v>45</v>
      </c>
      <c r="H748">
        <v>1</v>
      </c>
      <c r="I748">
        <v>2</v>
      </c>
      <c r="J748" t="s">
        <v>43</v>
      </c>
      <c r="K748" t="s">
        <v>43</v>
      </c>
      <c r="L748" t="s">
        <v>43</v>
      </c>
      <c r="M748" t="s">
        <v>42</v>
      </c>
      <c r="N748" t="s">
        <v>43</v>
      </c>
      <c r="O748">
        <v>5</v>
      </c>
      <c r="P748">
        <v>5</v>
      </c>
      <c r="Q748">
        <v>3</v>
      </c>
      <c r="R748">
        <v>1</v>
      </c>
      <c r="S748">
        <v>1</v>
      </c>
      <c r="T748">
        <f t="shared" si="55"/>
        <v>2</v>
      </c>
      <c r="U748" t="str" cm="1">
        <f t="array" ref="U748">_xlfn.IFS(T748&lt;3, "low", AND(T748&gt;=3, T748&lt;5), "med", T748&gt;=5, "high")</f>
        <v>low</v>
      </c>
      <c r="V748">
        <v>0</v>
      </c>
      <c r="W748" t="str" cm="1">
        <f t="array" ref="W748">_xlfn.IFS(V748&lt;5, "low", AND(V748&gt;=5, V748&lt;10), "med", V748&gt;=10, "high")</f>
        <v>low</v>
      </c>
      <c r="X748">
        <v>14</v>
      </c>
      <c r="Y748">
        <v>15</v>
      </c>
      <c r="Z748">
        <v>15</v>
      </c>
      <c r="AA748">
        <f t="shared" si="56"/>
        <v>0</v>
      </c>
      <c r="AB748">
        <f t="shared" si="57"/>
        <v>0</v>
      </c>
      <c r="AC748">
        <f t="shared" si="58"/>
        <v>0</v>
      </c>
      <c r="AD748" s="1">
        <f t="shared" si="59"/>
        <v>14.666666666666666</v>
      </c>
    </row>
    <row r="749" spans="1:30" x14ac:dyDescent="0.35">
      <c r="A749" t="s">
        <v>50</v>
      </c>
      <c r="B749">
        <v>19</v>
      </c>
      <c r="C749" t="s">
        <v>52</v>
      </c>
      <c r="D749" t="s">
        <v>36</v>
      </c>
      <c r="E749" t="s">
        <v>44</v>
      </c>
      <c r="F749" t="s">
        <v>45</v>
      </c>
      <c r="G749" t="s">
        <v>48</v>
      </c>
      <c r="H749">
        <v>2</v>
      </c>
      <c r="I749">
        <v>0</v>
      </c>
      <c r="J749" t="s">
        <v>43</v>
      </c>
      <c r="K749" t="s">
        <v>43</v>
      </c>
      <c r="L749" t="s">
        <v>43</v>
      </c>
      <c r="M749" t="s">
        <v>42</v>
      </c>
      <c r="N749" t="s">
        <v>42</v>
      </c>
      <c r="O749">
        <v>4</v>
      </c>
      <c r="P749">
        <v>5</v>
      </c>
      <c r="Q749">
        <v>3</v>
      </c>
      <c r="R749">
        <v>1</v>
      </c>
      <c r="S749">
        <v>2</v>
      </c>
      <c r="T749">
        <f t="shared" si="55"/>
        <v>3</v>
      </c>
      <c r="U749" t="str" cm="1">
        <f t="array" ref="U749">_xlfn.IFS(T749&lt;3, "low", AND(T749&gt;=3, T749&lt;5), "med", T749&gt;=5, "high")</f>
        <v>med</v>
      </c>
      <c r="V749">
        <v>0</v>
      </c>
      <c r="W749" t="str" cm="1">
        <f t="array" ref="W749">_xlfn.IFS(V749&lt;5, "low", AND(V749&gt;=5, V749&lt;10), "med", V749&gt;=10, "high")</f>
        <v>low</v>
      </c>
      <c r="X749">
        <v>10</v>
      </c>
      <c r="Y749">
        <v>10</v>
      </c>
      <c r="Z749">
        <v>11</v>
      </c>
      <c r="AA749">
        <f t="shared" si="56"/>
        <v>0</v>
      </c>
      <c r="AB749">
        <f t="shared" si="57"/>
        <v>0</v>
      </c>
      <c r="AC749">
        <f t="shared" si="58"/>
        <v>0</v>
      </c>
      <c r="AD749" s="1">
        <f t="shared" si="59"/>
        <v>10.333333333333334</v>
      </c>
    </row>
    <row r="750" spans="1:30" x14ac:dyDescent="0.35">
      <c r="A750" t="s">
        <v>34</v>
      </c>
      <c r="B750">
        <v>18</v>
      </c>
      <c r="C750" t="s">
        <v>35</v>
      </c>
      <c r="D750" t="s">
        <v>36</v>
      </c>
      <c r="E750" t="s">
        <v>44</v>
      </c>
      <c r="F750" t="s">
        <v>45</v>
      </c>
      <c r="G750" t="s">
        <v>39</v>
      </c>
      <c r="H750">
        <v>2</v>
      </c>
      <c r="I750">
        <v>0</v>
      </c>
      <c r="J750" t="s">
        <v>42</v>
      </c>
      <c r="K750" t="s">
        <v>42</v>
      </c>
      <c r="L750" t="s">
        <v>43</v>
      </c>
      <c r="M750" t="s">
        <v>43</v>
      </c>
      <c r="N750" t="s">
        <v>42</v>
      </c>
      <c r="O750">
        <v>3</v>
      </c>
      <c r="P750">
        <v>4</v>
      </c>
      <c r="Q750">
        <v>4</v>
      </c>
      <c r="R750">
        <v>1</v>
      </c>
      <c r="S750">
        <v>2</v>
      </c>
      <c r="T750">
        <f t="shared" si="55"/>
        <v>3</v>
      </c>
      <c r="U750" t="str" cm="1">
        <f t="array" ref="U750">_xlfn.IFS(T750&lt;3, "low", AND(T750&gt;=3, T750&lt;5), "med", T750&gt;=5, "high")</f>
        <v>med</v>
      </c>
      <c r="V750">
        <v>2</v>
      </c>
      <c r="W750" t="str" cm="1">
        <f t="array" ref="W750">_xlfn.IFS(V750&lt;5, "low", AND(V750&gt;=5, V750&lt;10), "med", V750&gt;=10, "high")</f>
        <v>low</v>
      </c>
      <c r="X750">
        <v>10</v>
      </c>
      <c r="Y750">
        <v>10</v>
      </c>
      <c r="Z750">
        <v>11</v>
      </c>
      <c r="AA750">
        <f t="shared" si="56"/>
        <v>0</v>
      </c>
      <c r="AB750">
        <f t="shared" si="57"/>
        <v>0</v>
      </c>
      <c r="AC750">
        <f t="shared" si="58"/>
        <v>0</v>
      </c>
      <c r="AD750" s="1">
        <f t="shared" si="59"/>
        <v>10.333333333333334</v>
      </c>
    </row>
    <row r="751" spans="1:30" x14ac:dyDescent="0.35">
      <c r="A751" t="s">
        <v>34</v>
      </c>
      <c r="B751">
        <v>18</v>
      </c>
      <c r="C751" t="s">
        <v>35</v>
      </c>
      <c r="D751" t="s">
        <v>36</v>
      </c>
      <c r="E751" t="s">
        <v>44</v>
      </c>
      <c r="F751" t="s">
        <v>48</v>
      </c>
      <c r="G751" t="s">
        <v>45</v>
      </c>
      <c r="H751">
        <v>2</v>
      </c>
      <c r="I751">
        <v>0</v>
      </c>
      <c r="J751" t="s">
        <v>43</v>
      </c>
      <c r="K751" t="s">
        <v>42</v>
      </c>
      <c r="L751" t="s">
        <v>43</v>
      </c>
      <c r="M751" t="s">
        <v>42</v>
      </c>
      <c r="N751" t="s">
        <v>43</v>
      </c>
      <c r="O751">
        <v>5</v>
      </c>
      <c r="P751">
        <v>3</v>
      </c>
      <c r="Q751">
        <v>3</v>
      </c>
      <c r="R751">
        <v>1</v>
      </c>
      <c r="S751">
        <v>2</v>
      </c>
      <c r="T751">
        <f t="shared" si="55"/>
        <v>3</v>
      </c>
      <c r="U751" t="str" cm="1">
        <f t="array" ref="U751">_xlfn.IFS(T751&lt;3, "low", AND(T751&gt;=3, T751&lt;5), "med", T751&gt;=5, "high")</f>
        <v>med</v>
      </c>
      <c r="V751">
        <v>2</v>
      </c>
      <c r="W751" t="str" cm="1">
        <f t="array" ref="W751">_xlfn.IFS(V751&lt;5, "low", AND(V751&gt;=5, V751&lt;10), "med", V751&gt;=10, "high")</f>
        <v>low</v>
      </c>
      <c r="X751">
        <v>12</v>
      </c>
      <c r="Y751">
        <v>12</v>
      </c>
      <c r="Z751">
        <v>15</v>
      </c>
      <c r="AA751">
        <f t="shared" si="56"/>
        <v>0</v>
      </c>
      <c r="AB751">
        <f t="shared" si="57"/>
        <v>0</v>
      </c>
      <c r="AC751">
        <f t="shared" si="58"/>
        <v>0</v>
      </c>
      <c r="AD751" s="1">
        <f t="shared" si="59"/>
        <v>13</v>
      </c>
    </row>
    <row r="752" spans="1:30" x14ac:dyDescent="0.35">
      <c r="A752" t="s">
        <v>34</v>
      </c>
      <c r="B752">
        <v>17</v>
      </c>
      <c r="C752" t="s">
        <v>35</v>
      </c>
      <c r="D752" t="s">
        <v>36</v>
      </c>
      <c r="E752" t="s">
        <v>44</v>
      </c>
      <c r="F752" t="s">
        <v>45</v>
      </c>
      <c r="G752" t="s">
        <v>45</v>
      </c>
      <c r="H752">
        <v>2</v>
      </c>
      <c r="I752">
        <v>0</v>
      </c>
      <c r="J752" t="s">
        <v>43</v>
      </c>
      <c r="K752" t="s">
        <v>43</v>
      </c>
      <c r="L752" t="s">
        <v>43</v>
      </c>
      <c r="M752" t="s">
        <v>42</v>
      </c>
      <c r="N752" t="s">
        <v>42</v>
      </c>
      <c r="O752">
        <v>4</v>
      </c>
      <c r="P752">
        <v>2</v>
      </c>
      <c r="Q752">
        <v>1</v>
      </c>
      <c r="R752">
        <v>1</v>
      </c>
      <c r="S752">
        <v>1</v>
      </c>
      <c r="T752">
        <f t="shared" si="55"/>
        <v>2</v>
      </c>
      <c r="U752" t="str" cm="1">
        <f t="array" ref="U752">_xlfn.IFS(T752&lt;3, "low", AND(T752&gt;=3, T752&lt;5), "med", T752&gt;=5, "high")</f>
        <v>low</v>
      </c>
      <c r="V752">
        <v>2</v>
      </c>
      <c r="W752" t="str" cm="1">
        <f t="array" ref="W752">_xlfn.IFS(V752&lt;5, "low", AND(V752&gt;=5, V752&lt;10), "med", V752&gt;=10, "high")</f>
        <v>low</v>
      </c>
      <c r="X752">
        <v>11</v>
      </c>
      <c r="Y752">
        <v>12</v>
      </c>
      <c r="Z752">
        <v>14</v>
      </c>
      <c r="AA752">
        <f t="shared" si="56"/>
        <v>0</v>
      </c>
      <c r="AB752">
        <f t="shared" si="57"/>
        <v>0</v>
      </c>
      <c r="AC752">
        <f t="shared" si="58"/>
        <v>0</v>
      </c>
      <c r="AD752" s="1">
        <f t="shared" si="59"/>
        <v>12.333333333333334</v>
      </c>
    </row>
    <row r="753" spans="1:30" x14ac:dyDescent="0.35">
      <c r="A753" t="s">
        <v>34</v>
      </c>
      <c r="B753">
        <v>17</v>
      </c>
      <c r="C753" t="s">
        <v>52</v>
      </c>
      <c r="D753" t="s">
        <v>36</v>
      </c>
      <c r="E753" t="s">
        <v>44</v>
      </c>
      <c r="F753" t="s">
        <v>39</v>
      </c>
      <c r="G753" t="s">
        <v>39</v>
      </c>
      <c r="H753">
        <v>1</v>
      </c>
      <c r="I753">
        <v>0</v>
      </c>
      <c r="J753" t="s">
        <v>43</v>
      </c>
      <c r="K753" t="s">
        <v>43</v>
      </c>
      <c r="L753" t="s">
        <v>43</v>
      </c>
      <c r="M753" t="s">
        <v>42</v>
      </c>
      <c r="N753" t="s">
        <v>43</v>
      </c>
      <c r="O753">
        <v>4</v>
      </c>
      <c r="P753">
        <v>4</v>
      </c>
      <c r="Q753">
        <v>4</v>
      </c>
      <c r="R753">
        <v>1</v>
      </c>
      <c r="S753">
        <v>1</v>
      </c>
      <c r="T753">
        <f t="shared" si="55"/>
        <v>2</v>
      </c>
      <c r="U753" t="str" cm="1">
        <f t="array" ref="U753">_xlfn.IFS(T753&lt;3, "low", AND(T753&gt;=3, T753&lt;5), "med", T753&gt;=5, "high")</f>
        <v>low</v>
      </c>
      <c r="V753">
        <v>2</v>
      </c>
      <c r="W753" t="str" cm="1">
        <f t="array" ref="W753">_xlfn.IFS(V753&lt;5, "low", AND(V753&gt;=5, V753&lt;10), "med", V753&gt;=10, "high")</f>
        <v>low</v>
      </c>
      <c r="X753">
        <v>15</v>
      </c>
      <c r="Y753">
        <v>16</v>
      </c>
      <c r="Z753">
        <v>17</v>
      </c>
      <c r="AA753">
        <f t="shared" si="56"/>
        <v>0</v>
      </c>
      <c r="AB753">
        <f t="shared" si="57"/>
        <v>0</v>
      </c>
      <c r="AC753">
        <f t="shared" si="58"/>
        <v>0</v>
      </c>
      <c r="AD753" s="1">
        <f t="shared" si="59"/>
        <v>16</v>
      </c>
    </row>
    <row r="754" spans="1:30" x14ac:dyDescent="0.35">
      <c r="A754" t="s">
        <v>34</v>
      </c>
      <c r="B754">
        <v>18</v>
      </c>
      <c r="C754" t="s">
        <v>35</v>
      </c>
      <c r="D754" t="s">
        <v>36</v>
      </c>
      <c r="E754" t="s">
        <v>44</v>
      </c>
      <c r="F754" t="s">
        <v>45</v>
      </c>
      <c r="G754" t="s">
        <v>45</v>
      </c>
      <c r="H754">
        <v>3</v>
      </c>
      <c r="I754">
        <v>0</v>
      </c>
      <c r="J754" t="s">
        <v>43</v>
      </c>
      <c r="K754" t="s">
        <v>42</v>
      </c>
      <c r="L754" t="s">
        <v>43</v>
      </c>
      <c r="M754" t="s">
        <v>42</v>
      </c>
      <c r="N754" t="s">
        <v>42</v>
      </c>
      <c r="O754">
        <v>4</v>
      </c>
      <c r="P754">
        <v>3</v>
      </c>
      <c r="Q754">
        <v>4</v>
      </c>
      <c r="R754">
        <v>1</v>
      </c>
      <c r="S754">
        <v>1</v>
      </c>
      <c r="T754">
        <f t="shared" si="55"/>
        <v>2</v>
      </c>
      <c r="U754" t="str" cm="1">
        <f t="array" ref="U754">_xlfn.IFS(T754&lt;3, "low", AND(T754&gt;=3, T754&lt;5), "med", T754&gt;=5, "high")</f>
        <v>low</v>
      </c>
      <c r="V754">
        <v>2</v>
      </c>
      <c r="W754" t="str" cm="1">
        <f t="array" ref="W754">_xlfn.IFS(V754&lt;5, "low", AND(V754&gt;=5, V754&lt;10), "med", V754&gt;=10, "high")</f>
        <v>low</v>
      </c>
      <c r="X754">
        <v>14</v>
      </c>
      <c r="Y754">
        <v>15</v>
      </c>
      <c r="Z754">
        <v>17</v>
      </c>
      <c r="AA754">
        <f t="shared" si="56"/>
        <v>0</v>
      </c>
      <c r="AB754">
        <f t="shared" si="57"/>
        <v>0</v>
      </c>
      <c r="AC754">
        <f t="shared" si="58"/>
        <v>0</v>
      </c>
      <c r="AD754" s="1">
        <f t="shared" si="59"/>
        <v>15.333333333333334</v>
      </c>
    </row>
    <row r="755" spans="1:30" x14ac:dyDescent="0.35">
      <c r="A755" t="s">
        <v>34</v>
      </c>
      <c r="B755">
        <v>18</v>
      </c>
      <c r="C755" t="s">
        <v>35</v>
      </c>
      <c r="D755" t="s">
        <v>47</v>
      </c>
      <c r="E755" t="s">
        <v>44</v>
      </c>
      <c r="F755" t="s">
        <v>28</v>
      </c>
      <c r="G755" t="s">
        <v>48</v>
      </c>
      <c r="H755">
        <v>1</v>
      </c>
      <c r="I755">
        <v>0</v>
      </c>
      <c r="J755" t="s">
        <v>43</v>
      </c>
      <c r="K755" t="s">
        <v>42</v>
      </c>
      <c r="L755" t="s">
        <v>43</v>
      </c>
      <c r="M755" t="s">
        <v>43</v>
      </c>
      <c r="N755" t="s">
        <v>43</v>
      </c>
      <c r="O755">
        <v>3</v>
      </c>
      <c r="P755">
        <v>2</v>
      </c>
      <c r="Q755">
        <v>4</v>
      </c>
      <c r="R755">
        <v>1</v>
      </c>
      <c r="S755">
        <v>4</v>
      </c>
      <c r="T755">
        <f t="shared" si="55"/>
        <v>5</v>
      </c>
      <c r="U755" t="str" cm="1">
        <f t="array" ref="U755">_xlfn.IFS(T755&lt;3, "low", AND(T755&gt;=3, T755&lt;5), "med", T755&gt;=5, "high")</f>
        <v>high</v>
      </c>
      <c r="V755">
        <v>8</v>
      </c>
      <c r="W755" t="str" cm="1">
        <f t="array" ref="W755">_xlfn.IFS(V755&lt;5, "low", AND(V755&gt;=5, V755&lt;10), "med", V755&gt;=10, "high")</f>
        <v>med</v>
      </c>
      <c r="X755">
        <v>12</v>
      </c>
      <c r="Y755">
        <v>12</v>
      </c>
      <c r="Z755">
        <v>15</v>
      </c>
      <c r="AA755">
        <f t="shared" si="56"/>
        <v>0</v>
      </c>
      <c r="AB755">
        <f t="shared" si="57"/>
        <v>0</v>
      </c>
      <c r="AC755">
        <f t="shared" si="58"/>
        <v>0</v>
      </c>
      <c r="AD755" s="1">
        <f t="shared" si="59"/>
        <v>13</v>
      </c>
    </row>
    <row r="756" spans="1:30" x14ac:dyDescent="0.35">
      <c r="A756" t="s">
        <v>34</v>
      </c>
      <c r="B756">
        <v>17</v>
      </c>
      <c r="C756" t="s">
        <v>52</v>
      </c>
      <c r="D756" t="s">
        <v>36</v>
      </c>
      <c r="E756" t="s">
        <v>44</v>
      </c>
      <c r="F756" t="s">
        <v>38</v>
      </c>
      <c r="G756" t="s">
        <v>48</v>
      </c>
      <c r="H756">
        <v>3</v>
      </c>
      <c r="I756">
        <v>0</v>
      </c>
      <c r="J756" t="s">
        <v>43</v>
      </c>
      <c r="K756" t="s">
        <v>42</v>
      </c>
      <c r="L756" t="s">
        <v>43</v>
      </c>
      <c r="M756" t="s">
        <v>42</v>
      </c>
      <c r="N756" t="s">
        <v>43</v>
      </c>
      <c r="O756">
        <v>4</v>
      </c>
      <c r="P756">
        <v>3</v>
      </c>
      <c r="Q756">
        <v>4</v>
      </c>
      <c r="R756">
        <v>2</v>
      </c>
      <c r="S756">
        <v>5</v>
      </c>
      <c r="T756">
        <f t="shared" si="55"/>
        <v>7</v>
      </c>
      <c r="U756" t="str" cm="1">
        <f t="array" ref="U756">_xlfn.IFS(T756&lt;3, "low", AND(T756&gt;=3, T756&lt;5), "med", T756&gt;=5, "high")</f>
        <v>high</v>
      </c>
      <c r="V756">
        <v>2</v>
      </c>
      <c r="W756" t="str" cm="1">
        <f t="array" ref="W756">_xlfn.IFS(V756&lt;5, "low", AND(V756&gt;=5, V756&lt;10), "med", V756&gt;=10, "high")</f>
        <v>low</v>
      </c>
      <c r="X756">
        <v>15</v>
      </c>
      <c r="Y756">
        <v>15</v>
      </c>
      <c r="Z756">
        <v>17</v>
      </c>
      <c r="AA756">
        <f t="shared" si="56"/>
        <v>0</v>
      </c>
      <c r="AB756">
        <f t="shared" si="57"/>
        <v>0</v>
      </c>
      <c r="AC756">
        <f t="shared" si="58"/>
        <v>0</v>
      </c>
      <c r="AD756" s="1">
        <f t="shared" si="59"/>
        <v>15.666666666666666</v>
      </c>
    </row>
    <row r="757" spans="1:30" x14ac:dyDescent="0.35">
      <c r="A757" t="s">
        <v>34</v>
      </c>
      <c r="B757">
        <v>18</v>
      </c>
      <c r="C757" t="s">
        <v>35</v>
      </c>
      <c r="D757" t="s">
        <v>36</v>
      </c>
      <c r="E757" t="s">
        <v>44</v>
      </c>
      <c r="F757" t="s">
        <v>38</v>
      </c>
      <c r="G757" t="s">
        <v>45</v>
      </c>
      <c r="H757">
        <v>2</v>
      </c>
      <c r="I757">
        <v>0</v>
      </c>
      <c r="J757" t="s">
        <v>43</v>
      </c>
      <c r="K757" t="s">
        <v>42</v>
      </c>
      <c r="L757" t="s">
        <v>43</v>
      </c>
      <c r="M757" t="s">
        <v>43</v>
      </c>
      <c r="N757" t="s">
        <v>43</v>
      </c>
      <c r="O757">
        <v>4</v>
      </c>
      <c r="P757">
        <v>1</v>
      </c>
      <c r="Q757">
        <v>4</v>
      </c>
      <c r="R757">
        <v>1</v>
      </c>
      <c r="S757">
        <v>1</v>
      </c>
      <c r="T757">
        <f t="shared" si="55"/>
        <v>2</v>
      </c>
      <c r="U757" t="str" cm="1">
        <f t="array" ref="U757">_xlfn.IFS(T757&lt;3, "low", AND(T757&gt;=3, T757&lt;5), "med", T757&gt;=5, "high")</f>
        <v>low</v>
      </c>
      <c r="V757">
        <v>8</v>
      </c>
      <c r="W757" t="str" cm="1">
        <f t="array" ref="W757">_xlfn.IFS(V757&lt;5, "low", AND(V757&gt;=5, V757&lt;10), "med", V757&gt;=10, "high")</f>
        <v>med</v>
      </c>
      <c r="X757">
        <v>11</v>
      </c>
      <c r="Y757">
        <v>12</v>
      </c>
      <c r="Z757">
        <v>14</v>
      </c>
      <c r="AA757">
        <f t="shared" si="56"/>
        <v>0</v>
      </c>
      <c r="AB757">
        <f t="shared" si="57"/>
        <v>0</v>
      </c>
      <c r="AC757">
        <f t="shared" si="58"/>
        <v>0</v>
      </c>
      <c r="AD757" s="1">
        <f t="shared" si="59"/>
        <v>12.333333333333334</v>
      </c>
    </row>
    <row r="758" spans="1:30" x14ac:dyDescent="0.35">
      <c r="A758" t="s">
        <v>50</v>
      </c>
      <c r="B758">
        <v>19</v>
      </c>
      <c r="C758" t="s">
        <v>35</v>
      </c>
      <c r="D758" t="s">
        <v>36</v>
      </c>
      <c r="E758" t="s">
        <v>44</v>
      </c>
      <c r="F758" t="s">
        <v>28</v>
      </c>
      <c r="G758" t="s">
        <v>45</v>
      </c>
      <c r="H758">
        <v>2</v>
      </c>
      <c r="I758">
        <v>0</v>
      </c>
      <c r="J758" t="s">
        <v>43</v>
      </c>
      <c r="K758" t="s">
        <v>42</v>
      </c>
      <c r="L758" t="s">
        <v>43</v>
      </c>
      <c r="M758" t="s">
        <v>42</v>
      </c>
      <c r="N758" t="s">
        <v>42</v>
      </c>
      <c r="O758">
        <v>5</v>
      </c>
      <c r="P758">
        <v>4</v>
      </c>
      <c r="Q758">
        <v>4</v>
      </c>
      <c r="R758">
        <v>1</v>
      </c>
      <c r="S758">
        <v>1</v>
      </c>
      <c r="T758">
        <f t="shared" si="55"/>
        <v>2</v>
      </c>
      <c r="U758" t="str" cm="1">
        <f t="array" ref="U758">_xlfn.IFS(T758&lt;3, "low", AND(T758&gt;=3, T758&lt;5), "med", T758&gt;=5, "high")</f>
        <v>low</v>
      </c>
      <c r="V758">
        <v>9</v>
      </c>
      <c r="W758" t="str" cm="1">
        <f t="array" ref="W758">_xlfn.IFS(V758&lt;5, "low", AND(V758&gt;=5, V758&lt;10), "med", V758&gt;=10, "high")</f>
        <v>med</v>
      </c>
      <c r="X758">
        <v>11</v>
      </c>
      <c r="Y758">
        <v>10</v>
      </c>
      <c r="Z758">
        <v>10</v>
      </c>
      <c r="AA758">
        <f t="shared" si="56"/>
        <v>1</v>
      </c>
      <c r="AB758">
        <f t="shared" si="57"/>
        <v>0</v>
      </c>
      <c r="AC758">
        <f t="shared" si="58"/>
        <v>1</v>
      </c>
      <c r="AD758" s="1">
        <f t="shared" si="59"/>
        <v>10.333333333333334</v>
      </c>
    </row>
    <row r="759" spans="1:30" x14ac:dyDescent="0.35">
      <c r="A759" t="s">
        <v>34</v>
      </c>
      <c r="B759">
        <v>18</v>
      </c>
      <c r="C759" t="s">
        <v>35</v>
      </c>
      <c r="D759" t="s">
        <v>36</v>
      </c>
      <c r="E759" t="s">
        <v>44</v>
      </c>
      <c r="F759" t="s">
        <v>39</v>
      </c>
      <c r="G759" t="s">
        <v>45</v>
      </c>
      <c r="H759">
        <v>2</v>
      </c>
      <c r="I759">
        <v>0</v>
      </c>
      <c r="J759" t="s">
        <v>43</v>
      </c>
      <c r="K759" t="s">
        <v>42</v>
      </c>
      <c r="L759" t="s">
        <v>43</v>
      </c>
      <c r="M759" t="s">
        <v>43</v>
      </c>
      <c r="N759" t="s">
        <v>43</v>
      </c>
      <c r="O759">
        <v>4</v>
      </c>
      <c r="P759">
        <v>4</v>
      </c>
      <c r="Q759">
        <v>4</v>
      </c>
      <c r="R759">
        <v>3</v>
      </c>
      <c r="S759">
        <v>3</v>
      </c>
      <c r="T759">
        <f t="shared" si="55"/>
        <v>6</v>
      </c>
      <c r="U759" t="str" cm="1">
        <f t="array" ref="U759">_xlfn.IFS(T759&lt;3, "low", AND(T759&gt;=3, T759&lt;5), "med", T759&gt;=5, "high")</f>
        <v>high</v>
      </c>
      <c r="V759">
        <v>0</v>
      </c>
      <c r="W759" t="str" cm="1">
        <f t="array" ref="W759">_xlfn.IFS(V759&lt;5, "low", AND(V759&gt;=5, V759&lt;10), "med", V759&gt;=10, "high")</f>
        <v>low</v>
      </c>
      <c r="X759">
        <v>12</v>
      </c>
      <c r="Y759">
        <v>11</v>
      </c>
      <c r="Z759">
        <v>13</v>
      </c>
      <c r="AA759">
        <f t="shared" si="56"/>
        <v>1</v>
      </c>
      <c r="AB759">
        <f t="shared" si="57"/>
        <v>0</v>
      </c>
      <c r="AC759">
        <f t="shared" si="58"/>
        <v>1</v>
      </c>
      <c r="AD759" s="1">
        <f t="shared" si="59"/>
        <v>12</v>
      </c>
    </row>
    <row r="760" spans="1:30" x14ac:dyDescent="0.35">
      <c r="A760" t="s">
        <v>34</v>
      </c>
      <c r="B760">
        <v>18</v>
      </c>
      <c r="C760" t="s">
        <v>35</v>
      </c>
      <c r="D760" t="s">
        <v>36</v>
      </c>
      <c r="E760" t="s">
        <v>44</v>
      </c>
      <c r="F760" t="s">
        <v>45</v>
      </c>
      <c r="G760" t="s">
        <v>45</v>
      </c>
      <c r="H760">
        <v>1</v>
      </c>
      <c r="I760">
        <v>0</v>
      </c>
      <c r="J760" t="s">
        <v>43</v>
      </c>
      <c r="K760" t="s">
        <v>42</v>
      </c>
      <c r="L760" t="s">
        <v>43</v>
      </c>
      <c r="M760" t="s">
        <v>42</v>
      </c>
      <c r="N760" t="s">
        <v>42</v>
      </c>
      <c r="O760">
        <v>5</v>
      </c>
      <c r="P760">
        <v>4</v>
      </c>
      <c r="Q760">
        <v>4</v>
      </c>
      <c r="R760">
        <v>1</v>
      </c>
      <c r="S760">
        <v>1</v>
      </c>
      <c r="T760">
        <f t="shared" si="55"/>
        <v>2</v>
      </c>
      <c r="U760" t="str" cm="1">
        <f t="array" ref="U760">_xlfn.IFS(T760&lt;3, "low", AND(T760&gt;=3, T760&lt;5), "med", T760&gt;=5, "high")</f>
        <v>low</v>
      </c>
      <c r="V760">
        <v>4</v>
      </c>
      <c r="W760" t="str" cm="1">
        <f t="array" ref="W760">_xlfn.IFS(V760&lt;5, "low", AND(V760&gt;=5, V760&lt;10), "med", V760&gt;=10, "high")</f>
        <v>low</v>
      </c>
      <c r="X760">
        <v>11</v>
      </c>
      <c r="Y760">
        <v>12</v>
      </c>
      <c r="Z760">
        <v>14</v>
      </c>
      <c r="AA760">
        <f t="shared" si="56"/>
        <v>0</v>
      </c>
      <c r="AB760">
        <f t="shared" si="57"/>
        <v>0</v>
      </c>
      <c r="AC760">
        <f t="shared" si="58"/>
        <v>0</v>
      </c>
      <c r="AD760" s="1">
        <f t="shared" si="59"/>
        <v>12.333333333333334</v>
      </c>
    </row>
    <row r="761" spans="1:30" x14ac:dyDescent="0.35">
      <c r="A761" t="s">
        <v>34</v>
      </c>
      <c r="B761">
        <v>17</v>
      </c>
      <c r="C761" t="s">
        <v>35</v>
      </c>
      <c r="D761" t="s">
        <v>36</v>
      </c>
      <c r="E761" t="s">
        <v>44</v>
      </c>
      <c r="F761" t="s">
        <v>28</v>
      </c>
      <c r="G761" t="s">
        <v>28</v>
      </c>
      <c r="H761">
        <v>1</v>
      </c>
      <c r="I761">
        <v>0</v>
      </c>
      <c r="J761" t="s">
        <v>43</v>
      </c>
      <c r="K761" t="s">
        <v>43</v>
      </c>
      <c r="L761" t="s">
        <v>43</v>
      </c>
      <c r="M761" t="s">
        <v>42</v>
      </c>
      <c r="N761" t="s">
        <v>43</v>
      </c>
      <c r="O761">
        <v>5</v>
      </c>
      <c r="P761">
        <v>3</v>
      </c>
      <c r="Q761">
        <v>4</v>
      </c>
      <c r="R761">
        <v>1</v>
      </c>
      <c r="S761">
        <v>2</v>
      </c>
      <c r="T761">
        <f t="shared" si="55"/>
        <v>3</v>
      </c>
      <c r="U761" t="str" cm="1">
        <f t="array" ref="U761">_xlfn.IFS(T761&lt;3, "low", AND(T761&gt;=3, T761&lt;5), "med", T761&gt;=5, "high")</f>
        <v>med</v>
      </c>
      <c r="V761">
        <v>2</v>
      </c>
      <c r="W761" t="str" cm="1">
        <f t="array" ref="W761">_xlfn.IFS(V761&lt;5, "low", AND(V761&gt;=5, V761&lt;10), "med", V761&gt;=10, "high")</f>
        <v>low</v>
      </c>
      <c r="X761">
        <v>14</v>
      </c>
      <c r="Y761">
        <v>15</v>
      </c>
      <c r="Z761">
        <v>17</v>
      </c>
      <c r="AA761">
        <f t="shared" si="56"/>
        <v>0</v>
      </c>
      <c r="AB761">
        <f t="shared" si="57"/>
        <v>0</v>
      </c>
      <c r="AC761">
        <f t="shared" si="58"/>
        <v>0</v>
      </c>
      <c r="AD761" s="1">
        <f t="shared" si="59"/>
        <v>15.333333333333334</v>
      </c>
    </row>
    <row r="762" spans="1:30" x14ac:dyDescent="0.35">
      <c r="A762" t="s">
        <v>34</v>
      </c>
      <c r="B762">
        <v>17</v>
      </c>
      <c r="C762" t="s">
        <v>35</v>
      </c>
      <c r="D762" t="s">
        <v>36</v>
      </c>
      <c r="E762" t="s">
        <v>37</v>
      </c>
      <c r="F762" t="s">
        <v>48</v>
      </c>
      <c r="G762" t="s">
        <v>48</v>
      </c>
      <c r="H762">
        <v>2</v>
      </c>
      <c r="I762">
        <v>0</v>
      </c>
      <c r="J762" t="s">
        <v>43</v>
      </c>
      <c r="K762" t="s">
        <v>42</v>
      </c>
      <c r="L762" t="s">
        <v>43</v>
      </c>
      <c r="M762" t="s">
        <v>43</v>
      </c>
      <c r="N762" t="s">
        <v>42</v>
      </c>
      <c r="O762">
        <v>5</v>
      </c>
      <c r="P762">
        <v>2</v>
      </c>
      <c r="Q762">
        <v>2</v>
      </c>
      <c r="R762">
        <v>1</v>
      </c>
      <c r="S762">
        <v>2</v>
      </c>
      <c r="T762">
        <f t="shared" si="55"/>
        <v>3</v>
      </c>
      <c r="U762" t="str" cm="1">
        <f t="array" ref="U762">_xlfn.IFS(T762&lt;3, "low", AND(T762&gt;=3, T762&lt;5), "med", T762&gt;=5, "high")</f>
        <v>med</v>
      </c>
      <c r="V762">
        <v>14</v>
      </c>
      <c r="W762" t="str" cm="1">
        <f t="array" ref="W762">_xlfn.IFS(V762&lt;5, "low", AND(V762&gt;=5, V762&lt;10), "med", V762&gt;=10, "high")</f>
        <v>high</v>
      </c>
      <c r="X762">
        <v>15</v>
      </c>
      <c r="Y762">
        <v>14</v>
      </c>
      <c r="Z762">
        <v>17</v>
      </c>
      <c r="AA762">
        <f t="shared" si="56"/>
        <v>1</v>
      </c>
      <c r="AB762">
        <f t="shared" si="57"/>
        <v>0</v>
      </c>
      <c r="AC762">
        <f t="shared" si="58"/>
        <v>1</v>
      </c>
      <c r="AD762" s="1">
        <f t="shared" si="59"/>
        <v>15.333333333333334</v>
      </c>
    </row>
    <row r="763" spans="1:30" x14ac:dyDescent="0.35">
      <c r="A763" t="s">
        <v>34</v>
      </c>
      <c r="B763">
        <v>17</v>
      </c>
      <c r="C763" t="s">
        <v>35</v>
      </c>
      <c r="D763" t="s">
        <v>47</v>
      </c>
      <c r="E763" t="s">
        <v>37</v>
      </c>
      <c r="F763" t="s">
        <v>48</v>
      </c>
      <c r="G763" t="s">
        <v>45</v>
      </c>
      <c r="H763">
        <v>2</v>
      </c>
      <c r="I763">
        <v>0</v>
      </c>
      <c r="J763" t="s">
        <v>42</v>
      </c>
      <c r="K763" t="s">
        <v>42</v>
      </c>
      <c r="L763" t="s">
        <v>43</v>
      </c>
      <c r="M763" t="s">
        <v>43</v>
      </c>
      <c r="N763" t="s">
        <v>43</v>
      </c>
      <c r="O763">
        <v>5</v>
      </c>
      <c r="P763">
        <v>3</v>
      </c>
      <c r="Q763">
        <v>3</v>
      </c>
      <c r="R763">
        <v>1</v>
      </c>
      <c r="S763">
        <v>1</v>
      </c>
      <c r="T763">
        <f t="shared" si="55"/>
        <v>2</v>
      </c>
      <c r="U763" t="str" cm="1">
        <f t="array" ref="U763">_xlfn.IFS(T763&lt;3, "low", AND(T763&gt;=3, T763&lt;5), "med", T763&gt;=5, "high")</f>
        <v>low</v>
      </c>
      <c r="V763">
        <v>0</v>
      </c>
      <c r="W763" t="str" cm="1">
        <f t="array" ref="W763">_xlfn.IFS(V763&lt;5, "low", AND(V763&gt;=5, V763&lt;10), "med", V763&gt;=10, "high")</f>
        <v>low</v>
      </c>
      <c r="X763">
        <v>12</v>
      </c>
      <c r="Y763">
        <v>12</v>
      </c>
      <c r="Z763">
        <v>13</v>
      </c>
      <c r="AA763">
        <f t="shared" si="56"/>
        <v>0</v>
      </c>
      <c r="AB763">
        <f t="shared" si="57"/>
        <v>0</v>
      </c>
      <c r="AC763">
        <f t="shared" si="58"/>
        <v>0</v>
      </c>
      <c r="AD763" s="1">
        <f t="shared" si="59"/>
        <v>12.333333333333334</v>
      </c>
    </row>
    <row r="764" spans="1:30" x14ac:dyDescent="0.35">
      <c r="A764" t="s">
        <v>34</v>
      </c>
      <c r="B764">
        <v>17</v>
      </c>
      <c r="C764" t="s">
        <v>35</v>
      </c>
      <c r="D764" t="s">
        <v>47</v>
      </c>
      <c r="E764" t="s">
        <v>44</v>
      </c>
      <c r="F764" t="s">
        <v>45</v>
      </c>
      <c r="G764" t="s">
        <v>45</v>
      </c>
      <c r="H764">
        <v>2</v>
      </c>
      <c r="I764">
        <v>0</v>
      </c>
      <c r="J764" t="s">
        <v>43</v>
      </c>
      <c r="K764" t="s">
        <v>43</v>
      </c>
      <c r="L764" t="s">
        <v>43</v>
      </c>
      <c r="M764" t="s">
        <v>42</v>
      </c>
      <c r="N764" t="s">
        <v>43</v>
      </c>
      <c r="O764">
        <v>4</v>
      </c>
      <c r="P764">
        <v>2</v>
      </c>
      <c r="Q764">
        <v>3</v>
      </c>
      <c r="R764">
        <v>2</v>
      </c>
      <c r="S764">
        <v>2</v>
      </c>
      <c r="T764">
        <f t="shared" si="55"/>
        <v>4</v>
      </c>
      <c r="U764" t="str" cm="1">
        <f t="array" ref="U764">_xlfn.IFS(T764&lt;3, "low", AND(T764&gt;=3, T764&lt;5), "med", T764&gt;=5, "high")</f>
        <v>med</v>
      </c>
      <c r="V764">
        <v>2</v>
      </c>
      <c r="W764" t="str" cm="1">
        <f t="array" ref="W764">_xlfn.IFS(V764&lt;5, "low", AND(V764&gt;=5, V764&lt;10), "med", V764&gt;=10, "high")</f>
        <v>low</v>
      </c>
      <c r="X764">
        <v>11</v>
      </c>
      <c r="Y764">
        <v>12</v>
      </c>
      <c r="Z764">
        <v>14</v>
      </c>
      <c r="AA764">
        <f t="shared" si="56"/>
        <v>0</v>
      </c>
      <c r="AB764">
        <f t="shared" si="57"/>
        <v>0</v>
      </c>
      <c r="AC764">
        <f t="shared" si="58"/>
        <v>0</v>
      </c>
      <c r="AD764" s="1">
        <f t="shared" si="59"/>
        <v>12.333333333333334</v>
      </c>
    </row>
    <row r="765" spans="1:30" x14ac:dyDescent="0.35">
      <c r="A765" t="s">
        <v>50</v>
      </c>
      <c r="B765">
        <v>18</v>
      </c>
      <c r="C765" t="s">
        <v>35</v>
      </c>
      <c r="D765" t="s">
        <v>47</v>
      </c>
      <c r="E765" t="s">
        <v>44</v>
      </c>
      <c r="F765" t="s">
        <v>45</v>
      </c>
      <c r="G765" t="s">
        <v>45</v>
      </c>
      <c r="H765">
        <v>1</v>
      </c>
      <c r="I765">
        <v>0</v>
      </c>
      <c r="J765" t="s">
        <v>43</v>
      </c>
      <c r="K765" t="s">
        <v>42</v>
      </c>
      <c r="L765" t="s">
        <v>43</v>
      </c>
      <c r="M765" t="s">
        <v>43</v>
      </c>
      <c r="N765" t="s">
        <v>43</v>
      </c>
      <c r="O765">
        <v>4</v>
      </c>
      <c r="P765">
        <v>2</v>
      </c>
      <c r="Q765">
        <v>5</v>
      </c>
      <c r="R765">
        <v>3</v>
      </c>
      <c r="S765">
        <v>4</v>
      </c>
      <c r="T765">
        <f t="shared" si="55"/>
        <v>7</v>
      </c>
      <c r="U765" t="str" cm="1">
        <f t="array" ref="U765">_xlfn.IFS(T765&lt;3, "low", AND(T765&gt;=3, T765&lt;5), "med", T765&gt;=5, "high")</f>
        <v>high</v>
      </c>
      <c r="V765">
        <v>2</v>
      </c>
      <c r="W765" t="str" cm="1">
        <f t="array" ref="W765">_xlfn.IFS(V765&lt;5, "low", AND(V765&gt;=5, V765&lt;10), "med", V765&gt;=10, "high")</f>
        <v>low</v>
      </c>
      <c r="X765">
        <v>8</v>
      </c>
      <c r="Y765">
        <v>9</v>
      </c>
      <c r="Z765">
        <v>11</v>
      </c>
      <c r="AA765">
        <f t="shared" si="56"/>
        <v>0</v>
      </c>
      <c r="AB765">
        <f t="shared" si="57"/>
        <v>0</v>
      </c>
      <c r="AC765">
        <f t="shared" si="58"/>
        <v>0</v>
      </c>
      <c r="AD765" s="1">
        <f t="shared" si="59"/>
        <v>9.3333333333333339</v>
      </c>
    </row>
    <row r="766" spans="1:30" x14ac:dyDescent="0.35">
      <c r="A766" t="s">
        <v>34</v>
      </c>
      <c r="B766">
        <v>19</v>
      </c>
      <c r="C766" t="s">
        <v>35</v>
      </c>
      <c r="D766" t="s">
        <v>36</v>
      </c>
      <c r="E766" t="s">
        <v>44</v>
      </c>
      <c r="F766" t="s">
        <v>45</v>
      </c>
      <c r="G766" t="s">
        <v>45</v>
      </c>
      <c r="H766">
        <v>3</v>
      </c>
      <c r="I766">
        <v>0</v>
      </c>
      <c r="J766" t="s">
        <v>43</v>
      </c>
      <c r="K766" t="s">
        <v>43</v>
      </c>
      <c r="L766" t="s">
        <v>43</v>
      </c>
      <c r="M766" t="s">
        <v>42</v>
      </c>
      <c r="N766" t="s">
        <v>42</v>
      </c>
      <c r="O766">
        <v>1</v>
      </c>
      <c r="P766">
        <v>5</v>
      </c>
      <c r="Q766">
        <v>5</v>
      </c>
      <c r="R766">
        <v>4</v>
      </c>
      <c r="S766">
        <v>3</v>
      </c>
      <c r="T766">
        <f t="shared" si="55"/>
        <v>7</v>
      </c>
      <c r="U766" t="str" cm="1">
        <f t="array" ref="U766">_xlfn.IFS(T766&lt;3, "low", AND(T766&gt;=3, T766&lt;5), "med", T766&gt;=5, "high")</f>
        <v>high</v>
      </c>
      <c r="V766">
        <v>12</v>
      </c>
      <c r="W766" t="str" cm="1">
        <f t="array" ref="W766">_xlfn.IFS(V766&lt;5, "low", AND(V766&gt;=5, V766&lt;10), "med", V766&gt;=10, "high")</f>
        <v>high</v>
      </c>
      <c r="X766">
        <v>10</v>
      </c>
      <c r="Y766">
        <v>10</v>
      </c>
      <c r="Z766">
        <v>11</v>
      </c>
      <c r="AA766">
        <f t="shared" si="56"/>
        <v>0</v>
      </c>
      <c r="AB766">
        <f t="shared" si="57"/>
        <v>0</v>
      </c>
      <c r="AC766">
        <f t="shared" si="58"/>
        <v>0</v>
      </c>
      <c r="AD766" s="1">
        <f t="shared" si="59"/>
        <v>10.333333333333334</v>
      </c>
    </row>
    <row r="767" spans="1:30" x14ac:dyDescent="0.35">
      <c r="A767" t="s">
        <v>34</v>
      </c>
      <c r="B767">
        <v>19</v>
      </c>
      <c r="C767" t="s">
        <v>35</v>
      </c>
      <c r="D767" t="s">
        <v>47</v>
      </c>
      <c r="E767" t="s">
        <v>37</v>
      </c>
      <c r="F767" t="s">
        <v>45</v>
      </c>
      <c r="G767" t="s">
        <v>45</v>
      </c>
      <c r="H767">
        <v>2</v>
      </c>
      <c r="I767">
        <v>2</v>
      </c>
      <c r="J767" t="s">
        <v>43</v>
      </c>
      <c r="K767" t="s">
        <v>42</v>
      </c>
      <c r="L767" t="s">
        <v>43</v>
      </c>
      <c r="M767" t="s">
        <v>43</v>
      </c>
      <c r="N767" t="s">
        <v>42</v>
      </c>
      <c r="O767">
        <v>5</v>
      </c>
      <c r="P767">
        <v>3</v>
      </c>
      <c r="Q767">
        <v>4</v>
      </c>
      <c r="R767">
        <v>1</v>
      </c>
      <c r="S767">
        <v>1</v>
      </c>
      <c r="T767">
        <f t="shared" si="55"/>
        <v>2</v>
      </c>
      <c r="U767" t="str" cm="1">
        <f t="array" ref="U767">_xlfn.IFS(T767&lt;3, "low", AND(T767&gt;=3, T767&lt;5), "med", T767&gt;=5, "high")</f>
        <v>low</v>
      </c>
      <c r="V767">
        <v>2</v>
      </c>
      <c r="W767" t="str" cm="1">
        <f t="array" ref="W767">_xlfn.IFS(V767&lt;5, "low", AND(V767&gt;=5, V767&lt;10), "med", V767&gt;=10, "high")</f>
        <v>low</v>
      </c>
      <c r="X767">
        <v>8</v>
      </c>
      <c r="Y767">
        <v>8</v>
      </c>
      <c r="Z767">
        <v>9</v>
      </c>
      <c r="AA767">
        <f t="shared" si="56"/>
        <v>0</v>
      </c>
      <c r="AB767">
        <f t="shared" si="57"/>
        <v>0</v>
      </c>
      <c r="AC767">
        <f t="shared" si="58"/>
        <v>0</v>
      </c>
      <c r="AD767" s="1">
        <f t="shared" si="59"/>
        <v>8.3333333333333339</v>
      </c>
    </row>
    <row r="768" spans="1:30" x14ac:dyDescent="0.35">
      <c r="A768" t="s">
        <v>34</v>
      </c>
      <c r="B768">
        <v>18</v>
      </c>
      <c r="C768" t="s">
        <v>35</v>
      </c>
      <c r="D768" t="s">
        <v>36</v>
      </c>
      <c r="E768" t="s">
        <v>44</v>
      </c>
      <c r="F768" t="s">
        <v>45</v>
      </c>
      <c r="G768" t="s">
        <v>45</v>
      </c>
      <c r="H768">
        <v>1</v>
      </c>
      <c r="I768">
        <v>0</v>
      </c>
      <c r="J768" t="s">
        <v>43</v>
      </c>
      <c r="K768" t="s">
        <v>42</v>
      </c>
      <c r="L768" t="s">
        <v>43</v>
      </c>
      <c r="M768" t="s">
        <v>42</v>
      </c>
      <c r="N768" t="s">
        <v>42</v>
      </c>
      <c r="O768">
        <v>4</v>
      </c>
      <c r="P768">
        <v>3</v>
      </c>
      <c r="Q768">
        <v>5</v>
      </c>
      <c r="R768">
        <v>2</v>
      </c>
      <c r="S768">
        <v>4</v>
      </c>
      <c r="T768">
        <f t="shared" si="55"/>
        <v>6</v>
      </c>
      <c r="U768" t="str" cm="1">
        <f t="array" ref="U768">_xlfn.IFS(T768&lt;3, "low", AND(T768&gt;=3, T768&lt;5), "med", T768&gt;=5, "high")</f>
        <v>high</v>
      </c>
      <c r="V768">
        <v>2</v>
      </c>
      <c r="W768" t="str" cm="1">
        <f t="array" ref="W768">_xlfn.IFS(V768&lt;5, "low", AND(V768&gt;=5, V768&lt;10), "med", V768&gt;=10, "high")</f>
        <v>low</v>
      </c>
      <c r="X768">
        <v>10</v>
      </c>
      <c r="Y768">
        <v>10</v>
      </c>
      <c r="Z768">
        <v>10</v>
      </c>
      <c r="AA768">
        <f t="shared" si="56"/>
        <v>0</v>
      </c>
      <c r="AB768">
        <f t="shared" si="57"/>
        <v>0</v>
      </c>
      <c r="AC768">
        <f t="shared" si="58"/>
        <v>0</v>
      </c>
      <c r="AD768" s="1">
        <f t="shared" si="59"/>
        <v>10</v>
      </c>
    </row>
    <row r="769" spans="1:30" x14ac:dyDescent="0.35">
      <c r="A769" t="s">
        <v>34</v>
      </c>
      <c r="B769">
        <v>17</v>
      </c>
      <c r="C769" t="s">
        <v>35</v>
      </c>
      <c r="D769" t="s">
        <v>36</v>
      </c>
      <c r="E769" t="s">
        <v>44</v>
      </c>
      <c r="F769" t="s">
        <v>45</v>
      </c>
      <c r="G769" t="s">
        <v>45</v>
      </c>
      <c r="H769">
        <v>2</v>
      </c>
      <c r="I769">
        <v>0</v>
      </c>
      <c r="J769" t="s">
        <v>43</v>
      </c>
      <c r="K769" t="s">
        <v>42</v>
      </c>
      <c r="L769" t="s">
        <v>43</v>
      </c>
      <c r="M769" t="s">
        <v>43</v>
      </c>
      <c r="N769" t="s">
        <v>42</v>
      </c>
      <c r="O769">
        <v>4</v>
      </c>
      <c r="P769">
        <v>2</v>
      </c>
      <c r="Q769">
        <v>2</v>
      </c>
      <c r="R769">
        <v>1</v>
      </c>
      <c r="S769">
        <v>1</v>
      </c>
      <c r="T769">
        <f t="shared" si="55"/>
        <v>2</v>
      </c>
      <c r="U769" t="str" cm="1">
        <f t="array" ref="U769">_xlfn.IFS(T769&lt;3, "low", AND(T769&gt;=3, T769&lt;5), "med", T769&gt;=5, "high")</f>
        <v>low</v>
      </c>
      <c r="V769">
        <v>4</v>
      </c>
      <c r="W769" t="str" cm="1">
        <f t="array" ref="W769">_xlfn.IFS(V769&lt;5, "low", AND(V769&gt;=5, V769&lt;10), "med", V769&gt;=10, "high")</f>
        <v>low</v>
      </c>
      <c r="X769">
        <v>14</v>
      </c>
      <c r="Y769">
        <v>13</v>
      </c>
      <c r="Z769">
        <v>13</v>
      </c>
      <c r="AA769">
        <f t="shared" si="56"/>
        <v>1</v>
      </c>
      <c r="AB769">
        <f t="shared" si="57"/>
        <v>0</v>
      </c>
      <c r="AC769">
        <f t="shared" si="58"/>
        <v>1</v>
      </c>
      <c r="AD769" s="1">
        <f t="shared" si="59"/>
        <v>13.333333333333334</v>
      </c>
    </row>
    <row r="770" spans="1:30" x14ac:dyDescent="0.35">
      <c r="A770" t="s">
        <v>34</v>
      </c>
      <c r="B770">
        <v>17</v>
      </c>
      <c r="C770" t="s">
        <v>52</v>
      </c>
      <c r="D770" t="s">
        <v>47</v>
      </c>
      <c r="E770" t="s">
        <v>44</v>
      </c>
      <c r="F770" t="s">
        <v>48</v>
      </c>
      <c r="G770" t="s">
        <v>48</v>
      </c>
      <c r="H770">
        <v>3</v>
      </c>
      <c r="I770">
        <v>0</v>
      </c>
      <c r="J770" t="s">
        <v>43</v>
      </c>
      <c r="K770" t="s">
        <v>42</v>
      </c>
      <c r="L770" t="s">
        <v>43</v>
      </c>
      <c r="M770" t="s">
        <v>42</v>
      </c>
      <c r="N770" t="s">
        <v>43</v>
      </c>
      <c r="O770">
        <v>3</v>
      </c>
      <c r="P770">
        <v>3</v>
      </c>
      <c r="Q770">
        <v>2</v>
      </c>
      <c r="R770">
        <v>2</v>
      </c>
      <c r="S770">
        <v>2</v>
      </c>
      <c r="T770">
        <f t="shared" si="55"/>
        <v>4</v>
      </c>
      <c r="U770" t="str" cm="1">
        <f t="array" ref="U770">_xlfn.IFS(T770&lt;3, "low", AND(T770&gt;=3, T770&lt;5), "med", T770&gt;=5, "high")</f>
        <v>med</v>
      </c>
      <c r="V770">
        <v>0</v>
      </c>
      <c r="W770" t="str" cm="1">
        <f t="array" ref="W770">_xlfn.IFS(V770&lt;5, "low", AND(V770&gt;=5, V770&lt;10), "med", V770&gt;=10, "high")</f>
        <v>low</v>
      </c>
      <c r="X770">
        <v>11</v>
      </c>
      <c r="Y770">
        <v>11</v>
      </c>
      <c r="Z770">
        <v>10</v>
      </c>
      <c r="AA770">
        <f t="shared" si="56"/>
        <v>0</v>
      </c>
      <c r="AB770">
        <f t="shared" si="57"/>
        <v>1</v>
      </c>
      <c r="AC770">
        <f t="shared" si="58"/>
        <v>1</v>
      </c>
      <c r="AD770" s="1">
        <f t="shared" si="59"/>
        <v>10.666666666666666</v>
      </c>
    </row>
    <row r="771" spans="1:30" x14ac:dyDescent="0.35">
      <c r="A771" t="s">
        <v>34</v>
      </c>
      <c r="B771">
        <v>17</v>
      </c>
      <c r="C771" t="s">
        <v>35</v>
      </c>
      <c r="D771" t="s">
        <v>36</v>
      </c>
      <c r="E771" t="s">
        <v>44</v>
      </c>
      <c r="F771" t="s">
        <v>48</v>
      </c>
      <c r="G771" t="s">
        <v>48</v>
      </c>
      <c r="H771">
        <v>3</v>
      </c>
      <c r="I771">
        <v>0</v>
      </c>
      <c r="J771" t="s">
        <v>43</v>
      </c>
      <c r="K771" t="s">
        <v>42</v>
      </c>
      <c r="L771" t="s">
        <v>43</v>
      </c>
      <c r="M771" t="s">
        <v>43</v>
      </c>
      <c r="N771" t="s">
        <v>43</v>
      </c>
      <c r="O771">
        <v>3</v>
      </c>
      <c r="P771">
        <v>4</v>
      </c>
      <c r="Q771">
        <v>3</v>
      </c>
      <c r="R771">
        <v>2</v>
      </c>
      <c r="S771">
        <v>3</v>
      </c>
      <c r="T771">
        <f t="shared" ref="T771:T834" si="60">R771+S771</f>
        <v>5</v>
      </c>
      <c r="U771" t="str" cm="1">
        <f t="array" ref="U771">_xlfn.IFS(T771&lt;3, "low", AND(T771&gt;=3, T771&lt;5), "med", T771&gt;=5, "high")</f>
        <v>high</v>
      </c>
      <c r="V771">
        <v>0</v>
      </c>
      <c r="W771" t="str" cm="1">
        <f t="array" ref="W771">_xlfn.IFS(V771&lt;5, "low", AND(V771&gt;=5, V771&lt;10), "med", V771&gt;=10, "high")</f>
        <v>low</v>
      </c>
      <c r="X771">
        <v>17</v>
      </c>
      <c r="Y771">
        <v>18</v>
      </c>
      <c r="Z771">
        <v>17</v>
      </c>
      <c r="AA771">
        <f t="shared" ref="AA771:AA834" si="61">IF(Y771&lt;X771,1,0)</f>
        <v>0</v>
      </c>
      <c r="AB771">
        <f t="shared" ref="AB771:AB834" si="62">IF(Z771&lt;Y771,1,0)</f>
        <v>1</v>
      </c>
      <c r="AC771">
        <f t="shared" ref="AC771:AC834" si="63">SUM(AA771:AB771)</f>
        <v>1</v>
      </c>
      <c r="AD771" s="1">
        <f t="shared" ref="AD771:AD834" si="64">AVERAGE(X771:Z771)</f>
        <v>17.333333333333332</v>
      </c>
    </row>
    <row r="772" spans="1:30" x14ac:dyDescent="0.35">
      <c r="A772" t="s">
        <v>34</v>
      </c>
      <c r="B772">
        <v>17</v>
      </c>
      <c r="C772" t="s">
        <v>35</v>
      </c>
      <c r="D772" t="s">
        <v>47</v>
      </c>
      <c r="E772" t="s">
        <v>44</v>
      </c>
      <c r="F772" t="s">
        <v>38</v>
      </c>
      <c r="G772" t="s">
        <v>38</v>
      </c>
      <c r="H772">
        <v>3</v>
      </c>
      <c r="I772">
        <v>0</v>
      </c>
      <c r="J772" t="s">
        <v>43</v>
      </c>
      <c r="K772" t="s">
        <v>43</v>
      </c>
      <c r="L772" t="s">
        <v>43</v>
      </c>
      <c r="M772" t="s">
        <v>43</v>
      </c>
      <c r="N772" t="s">
        <v>43</v>
      </c>
      <c r="O772">
        <v>3</v>
      </c>
      <c r="P772">
        <v>3</v>
      </c>
      <c r="Q772">
        <v>3</v>
      </c>
      <c r="R772">
        <v>2</v>
      </c>
      <c r="S772">
        <v>3</v>
      </c>
      <c r="T772">
        <f t="shared" si="60"/>
        <v>5</v>
      </c>
      <c r="U772" t="str" cm="1">
        <f t="array" ref="U772">_xlfn.IFS(T772&lt;3, "low", AND(T772&gt;=3, T772&lt;5), "med", T772&gt;=5, "high")</f>
        <v>high</v>
      </c>
      <c r="V772">
        <v>0</v>
      </c>
      <c r="W772" t="str" cm="1">
        <f t="array" ref="W772">_xlfn.IFS(V772&lt;5, "low", AND(V772&gt;=5, V772&lt;10), "med", V772&gt;=10, "high")</f>
        <v>low</v>
      </c>
      <c r="X772">
        <v>14</v>
      </c>
      <c r="Y772">
        <v>14</v>
      </c>
      <c r="Z772">
        <v>15</v>
      </c>
      <c r="AA772">
        <f t="shared" si="61"/>
        <v>0</v>
      </c>
      <c r="AB772">
        <f t="shared" si="62"/>
        <v>0</v>
      </c>
      <c r="AC772">
        <f t="shared" si="63"/>
        <v>0</v>
      </c>
      <c r="AD772" s="1">
        <f t="shared" si="64"/>
        <v>14.333333333333334</v>
      </c>
    </row>
    <row r="773" spans="1:30" x14ac:dyDescent="0.35">
      <c r="A773" t="s">
        <v>34</v>
      </c>
      <c r="B773">
        <v>18</v>
      </c>
      <c r="C773" t="s">
        <v>35</v>
      </c>
      <c r="D773" t="s">
        <v>36</v>
      </c>
      <c r="E773" t="s">
        <v>44</v>
      </c>
      <c r="F773" t="s">
        <v>45</v>
      </c>
      <c r="G773" t="s">
        <v>45</v>
      </c>
      <c r="H773">
        <v>3</v>
      </c>
      <c r="I773">
        <v>0</v>
      </c>
      <c r="J773" t="s">
        <v>43</v>
      </c>
      <c r="K773" t="s">
        <v>43</v>
      </c>
      <c r="L773" t="s">
        <v>43</v>
      </c>
      <c r="M773" t="s">
        <v>42</v>
      </c>
      <c r="N773" t="s">
        <v>43</v>
      </c>
      <c r="O773">
        <v>4</v>
      </c>
      <c r="P773">
        <v>5</v>
      </c>
      <c r="Q773">
        <v>5</v>
      </c>
      <c r="R773">
        <v>1</v>
      </c>
      <c r="S773">
        <v>2</v>
      </c>
      <c r="T773">
        <f t="shared" si="60"/>
        <v>3</v>
      </c>
      <c r="U773" t="str" cm="1">
        <f t="array" ref="U773">_xlfn.IFS(T773&lt;3, "low", AND(T773&gt;=3, T773&lt;5), "med", T773&gt;=5, "high")</f>
        <v>med</v>
      </c>
      <c r="V773">
        <v>0</v>
      </c>
      <c r="W773" t="str" cm="1">
        <f t="array" ref="W773">_xlfn.IFS(V773&lt;5, "low", AND(V773&gt;=5, V773&lt;10), "med", V773&gt;=10, "high")</f>
        <v>low</v>
      </c>
      <c r="X773">
        <v>14</v>
      </c>
      <c r="Y773">
        <v>14</v>
      </c>
      <c r="Z773">
        <v>14</v>
      </c>
      <c r="AA773">
        <f t="shared" si="61"/>
        <v>0</v>
      </c>
      <c r="AB773">
        <f t="shared" si="62"/>
        <v>0</v>
      </c>
      <c r="AC773">
        <f t="shared" si="63"/>
        <v>0</v>
      </c>
      <c r="AD773" s="1">
        <f t="shared" si="64"/>
        <v>14</v>
      </c>
    </row>
    <row r="774" spans="1:30" x14ac:dyDescent="0.35">
      <c r="A774" t="s">
        <v>50</v>
      </c>
      <c r="B774">
        <v>18</v>
      </c>
      <c r="C774" t="s">
        <v>35</v>
      </c>
      <c r="D774" t="s">
        <v>36</v>
      </c>
      <c r="E774" t="s">
        <v>44</v>
      </c>
      <c r="F774" t="s">
        <v>45</v>
      </c>
      <c r="G774" t="s">
        <v>45</v>
      </c>
      <c r="H774">
        <v>3</v>
      </c>
      <c r="I774">
        <v>0</v>
      </c>
      <c r="J774" t="s">
        <v>43</v>
      </c>
      <c r="K774" t="s">
        <v>43</v>
      </c>
      <c r="L774" t="s">
        <v>43</v>
      </c>
      <c r="M774" t="s">
        <v>42</v>
      </c>
      <c r="N774" t="s">
        <v>43</v>
      </c>
      <c r="O774">
        <v>4</v>
      </c>
      <c r="P774">
        <v>3</v>
      </c>
      <c r="Q774">
        <v>3</v>
      </c>
      <c r="R774">
        <v>2</v>
      </c>
      <c r="S774">
        <v>2</v>
      </c>
      <c r="T774">
        <f t="shared" si="60"/>
        <v>4</v>
      </c>
      <c r="U774" t="str" cm="1">
        <f t="array" ref="U774">_xlfn.IFS(T774&lt;3, "low", AND(T774&gt;=3, T774&lt;5), "med", T774&gt;=5, "high")</f>
        <v>med</v>
      </c>
      <c r="V774">
        <v>0</v>
      </c>
      <c r="W774" t="str" cm="1">
        <f t="array" ref="W774">_xlfn.IFS(V774&lt;5, "low", AND(V774&gt;=5, V774&lt;10), "med", V774&gt;=10, "high")</f>
        <v>low</v>
      </c>
      <c r="X774">
        <v>13</v>
      </c>
      <c r="Y774">
        <v>14</v>
      </c>
      <c r="Z774">
        <v>13</v>
      </c>
      <c r="AA774">
        <f t="shared" si="61"/>
        <v>0</v>
      </c>
      <c r="AB774">
        <f t="shared" si="62"/>
        <v>1</v>
      </c>
      <c r="AC774">
        <f t="shared" si="63"/>
        <v>1</v>
      </c>
      <c r="AD774" s="1">
        <f t="shared" si="64"/>
        <v>13.333333333333334</v>
      </c>
    </row>
    <row r="775" spans="1:30" x14ac:dyDescent="0.35">
      <c r="A775" t="s">
        <v>50</v>
      </c>
      <c r="B775">
        <v>17</v>
      </c>
      <c r="C775" t="s">
        <v>35</v>
      </c>
      <c r="D775" t="s">
        <v>36</v>
      </c>
      <c r="E775" t="s">
        <v>44</v>
      </c>
      <c r="F775" t="s">
        <v>45</v>
      </c>
      <c r="G775" t="s">
        <v>48</v>
      </c>
      <c r="H775">
        <v>1</v>
      </c>
      <c r="I775">
        <v>0</v>
      </c>
      <c r="J775" t="s">
        <v>43</v>
      </c>
      <c r="K775" t="s">
        <v>43</v>
      </c>
      <c r="L775" t="s">
        <v>43</v>
      </c>
      <c r="M775" t="s">
        <v>42</v>
      </c>
      <c r="N775" t="s">
        <v>43</v>
      </c>
      <c r="O775">
        <v>4</v>
      </c>
      <c r="P775">
        <v>3</v>
      </c>
      <c r="Q775">
        <v>5</v>
      </c>
      <c r="R775">
        <v>3</v>
      </c>
      <c r="S775">
        <v>5</v>
      </c>
      <c r="T775">
        <f t="shared" si="60"/>
        <v>8</v>
      </c>
      <c r="U775" t="str" cm="1">
        <f t="array" ref="U775">_xlfn.IFS(T775&lt;3, "low", AND(T775&gt;=3, T775&lt;5), "med", T775&gt;=5, "high")</f>
        <v>high</v>
      </c>
      <c r="V775">
        <v>0</v>
      </c>
      <c r="W775" t="str" cm="1">
        <f t="array" ref="W775">_xlfn.IFS(V775&lt;5, "low", AND(V775&gt;=5, V775&lt;10), "med", V775&gt;=10, "high")</f>
        <v>low</v>
      </c>
      <c r="X775">
        <v>17</v>
      </c>
      <c r="Y775">
        <v>18</v>
      </c>
      <c r="Z775">
        <v>17</v>
      </c>
      <c r="AA775">
        <f t="shared" si="61"/>
        <v>0</v>
      </c>
      <c r="AB775">
        <f t="shared" si="62"/>
        <v>1</v>
      </c>
      <c r="AC775">
        <f t="shared" si="63"/>
        <v>1</v>
      </c>
      <c r="AD775" s="1">
        <f t="shared" si="64"/>
        <v>17.333333333333332</v>
      </c>
    </row>
    <row r="776" spans="1:30" x14ac:dyDescent="0.35">
      <c r="A776" t="s">
        <v>50</v>
      </c>
      <c r="B776">
        <v>17</v>
      </c>
      <c r="C776" t="s">
        <v>52</v>
      </c>
      <c r="D776" t="s">
        <v>36</v>
      </c>
      <c r="E776" t="s">
        <v>44</v>
      </c>
      <c r="F776" t="s">
        <v>48</v>
      </c>
      <c r="G776" t="s">
        <v>45</v>
      </c>
      <c r="H776">
        <v>1</v>
      </c>
      <c r="I776">
        <v>0</v>
      </c>
      <c r="J776" t="s">
        <v>43</v>
      </c>
      <c r="K776" t="s">
        <v>42</v>
      </c>
      <c r="L776" t="s">
        <v>43</v>
      </c>
      <c r="M776" t="s">
        <v>43</v>
      </c>
      <c r="N776" t="s">
        <v>43</v>
      </c>
      <c r="O776">
        <v>4</v>
      </c>
      <c r="P776">
        <v>4</v>
      </c>
      <c r="Q776">
        <v>5</v>
      </c>
      <c r="R776">
        <v>5</v>
      </c>
      <c r="S776">
        <v>5</v>
      </c>
      <c r="T776">
        <f t="shared" si="60"/>
        <v>10</v>
      </c>
      <c r="U776" t="str" cm="1">
        <f t="array" ref="U776">_xlfn.IFS(T776&lt;3, "low", AND(T776&gt;=3, T776&lt;5), "med", T776&gt;=5, "high")</f>
        <v>high</v>
      </c>
      <c r="V776">
        <v>2</v>
      </c>
      <c r="W776" t="str" cm="1">
        <f t="array" ref="W776">_xlfn.IFS(V776&lt;5, "low", AND(V776&gt;=5, V776&lt;10), "med", V776&gt;=10, "high")</f>
        <v>low</v>
      </c>
      <c r="X776">
        <v>11</v>
      </c>
      <c r="Y776">
        <v>10</v>
      </c>
      <c r="Z776">
        <v>10</v>
      </c>
      <c r="AA776">
        <f t="shared" si="61"/>
        <v>1</v>
      </c>
      <c r="AB776">
        <f t="shared" si="62"/>
        <v>0</v>
      </c>
      <c r="AC776">
        <f t="shared" si="63"/>
        <v>1</v>
      </c>
      <c r="AD776" s="1">
        <f t="shared" si="64"/>
        <v>10.333333333333334</v>
      </c>
    </row>
    <row r="777" spans="1:30" x14ac:dyDescent="0.35">
      <c r="A777" t="s">
        <v>34</v>
      </c>
      <c r="B777">
        <v>17</v>
      </c>
      <c r="C777" t="s">
        <v>35</v>
      </c>
      <c r="D777" t="s">
        <v>36</v>
      </c>
      <c r="E777" t="s">
        <v>44</v>
      </c>
      <c r="F777" t="s">
        <v>39</v>
      </c>
      <c r="G777" t="s">
        <v>48</v>
      </c>
      <c r="H777">
        <v>3</v>
      </c>
      <c r="I777">
        <v>0</v>
      </c>
      <c r="J777" t="s">
        <v>43</v>
      </c>
      <c r="K777" t="s">
        <v>42</v>
      </c>
      <c r="L777" t="s">
        <v>43</v>
      </c>
      <c r="M777" t="s">
        <v>42</v>
      </c>
      <c r="N777" t="s">
        <v>43</v>
      </c>
      <c r="O777">
        <v>5</v>
      </c>
      <c r="P777">
        <v>4</v>
      </c>
      <c r="Q777">
        <v>4</v>
      </c>
      <c r="R777">
        <v>1</v>
      </c>
      <c r="S777">
        <v>3</v>
      </c>
      <c r="T777">
        <f t="shared" si="60"/>
        <v>4</v>
      </c>
      <c r="U777" t="str" cm="1">
        <f t="array" ref="U777">_xlfn.IFS(T777&lt;3, "low", AND(T777&gt;=3, T777&lt;5), "med", T777&gt;=5, "high")</f>
        <v>med</v>
      </c>
      <c r="V777">
        <v>0</v>
      </c>
      <c r="W777" t="str" cm="1">
        <f t="array" ref="W777">_xlfn.IFS(V777&lt;5, "low", AND(V777&gt;=5, V777&lt;10), "med", V777&gt;=10, "high")</f>
        <v>low</v>
      </c>
      <c r="X777">
        <v>13</v>
      </c>
      <c r="Y777">
        <v>12</v>
      </c>
      <c r="Z777">
        <v>13</v>
      </c>
      <c r="AA777">
        <f t="shared" si="61"/>
        <v>1</v>
      </c>
      <c r="AB777">
        <f t="shared" si="62"/>
        <v>0</v>
      </c>
      <c r="AC777">
        <f t="shared" si="63"/>
        <v>1</v>
      </c>
      <c r="AD777" s="1">
        <f t="shared" si="64"/>
        <v>12.666666666666666</v>
      </c>
    </row>
    <row r="778" spans="1:30" x14ac:dyDescent="0.35">
      <c r="A778" t="s">
        <v>34</v>
      </c>
      <c r="B778">
        <v>17</v>
      </c>
      <c r="C778" t="s">
        <v>35</v>
      </c>
      <c r="D778" t="s">
        <v>36</v>
      </c>
      <c r="E778" t="s">
        <v>44</v>
      </c>
      <c r="F778" t="s">
        <v>39</v>
      </c>
      <c r="G778" t="s">
        <v>39</v>
      </c>
      <c r="H778">
        <v>3</v>
      </c>
      <c r="I778">
        <v>0</v>
      </c>
      <c r="J778" t="s">
        <v>43</v>
      </c>
      <c r="K778" t="s">
        <v>42</v>
      </c>
      <c r="L778" t="s">
        <v>43</v>
      </c>
      <c r="M778" t="s">
        <v>43</v>
      </c>
      <c r="N778" t="s">
        <v>42</v>
      </c>
      <c r="O778">
        <v>4</v>
      </c>
      <c r="P778">
        <v>3</v>
      </c>
      <c r="Q778">
        <v>3</v>
      </c>
      <c r="R778">
        <v>1</v>
      </c>
      <c r="S778">
        <v>2</v>
      </c>
      <c r="T778">
        <f t="shared" si="60"/>
        <v>3</v>
      </c>
      <c r="U778" t="str" cm="1">
        <f t="array" ref="U778">_xlfn.IFS(T778&lt;3, "low", AND(T778&gt;=3, T778&lt;5), "med", T778&gt;=5, "high")</f>
        <v>med</v>
      </c>
      <c r="V778">
        <v>4</v>
      </c>
      <c r="W778" t="str" cm="1">
        <f t="array" ref="W778">_xlfn.IFS(V778&lt;5, "low", AND(V778&gt;=5, V778&lt;10), "med", V778&gt;=10, "high")</f>
        <v>low</v>
      </c>
      <c r="X778">
        <v>15</v>
      </c>
      <c r="Y778">
        <v>14</v>
      </c>
      <c r="Z778">
        <v>15</v>
      </c>
      <c r="AA778">
        <f t="shared" si="61"/>
        <v>1</v>
      </c>
      <c r="AB778">
        <f t="shared" si="62"/>
        <v>0</v>
      </c>
      <c r="AC778">
        <f t="shared" si="63"/>
        <v>1</v>
      </c>
      <c r="AD778" s="1">
        <f t="shared" si="64"/>
        <v>14.666666666666666</v>
      </c>
    </row>
    <row r="779" spans="1:30" x14ac:dyDescent="0.35">
      <c r="A779" t="s">
        <v>34</v>
      </c>
      <c r="B779">
        <v>17</v>
      </c>
      <c r="C779" t="s">
        <v>35</v>
      </c>
      <c r="D779" t="s">
        <v>36</v>
      </c>
      <c r="E779" t="s">
        <v>44</v>
      </c>
      <c r="F779" t="s">
        <v>38</v>
      </c>
      <c r="G779" t="s">
        <v>45</v>
      </c>
      <c r="H779">
        <v>1</v>
      </c>
      <c r="I779">
        <v>0</v>
      </c>
      <c r="J779" t="s">
        <v>43</v>
      </c>
      <c r="K779" t="s">
        <v>42</v>
      </c>
      <c r="L779" t="s">
        <v>42</v>
      </c>
      <c r="M779" t="s">
        <v>42</v>
      </c>
      <c r="N779" t="s">
        <v>43</v>
      </c>
      <c r="O779">
        <v>4</v>
      </c>
      <c r="P779">
        <v>2</v>
      </c>
      <c r="Q779">
        <v>5</v>
      </c>
      <c r="R779">
        <v>2</v>
      </c>
      <c r="S779">
        <v>5</v>
      </c>
      <c r="T779">
        <f t="shared" si="60"/>
        <v>7</v>
      </c>
      <c r="U779" t="str" cm="1">
        <f t="array" ref="U779">_xlfn.IFS(T779&lt;3, "low", AND(T779&gt;=3, T779&lt;5), "med", T779&gt;=5, "high")</f>
        <v>high</v>
      </c>
      <c r="V779">
        <v>2</v>
      </c>
      <c r="W779" t="str" cm="1">
        <f t="array" ref="W779">_xlfn.IFS(V779&lt;5, "low", AND(V779&gt;=5, V779&lt;10), "med", V779&gt;=10, "high")</f>
        <v>low</v>
      </c>
      <c r="X779">
        <v>11</v>
      </c>
      <c r="Y779">
        <v>12</v>
      </c>
      <c r="Z779">
        <v>11</v>
      </c>
      <c r="AA779">
        <f t="shared" si="61"/>
        <v>0</v>
      </c>
      <c r="AB779">
        <f t="shared" si="62"/>
        <v>1</v>
      </c>
      <c r="AC779">
        <f t="shared" si="63"/>
        <v>1</v>
      </c>
      <c r="AD779" s="1">
        <f t="shared" si="64"/>
        <v>11.333333333333334</v>
      </c>
    </row>
    <row r="780" spans="1:30" x14ac:dyDescent="0.35">
      <c r="A780" t="s">
        <v>50</v>
      </c>
      <c r="B780">
        <v>18</v>
      </c>
      <c r="C780" t="s">
        <v>35</v>
      </c>
      <c r="D780" t="s">
        <v>47</v>
      </c>
      <c r="E780" t="s">
        <v>44</v>
      </c>
      <c r="F780" t="s">
        <v>45</v>
      </c>
      <c r="G780" t="s">
        <v>45</v>
      </c>
      <c r="H780">
        <v>4</v>
      </c>
      <c r="I780">
        <v>0</v>
      </c>
      <c r="J780" t="s">
        <v>43</v>
      </c>
      <c r="K780" t="s">
        <v>42</v>
      </c>
      <c r="L780" t="s">
        <v>42</v>
      </c>
      <c r="M780" t="s">
        <v>42</v>
      </c>
      <c r="N780" t="s">
        <v>43</v>
      </c>
      <c r="O780">
        <v>4</v>
      </c>
      <c r="P780">
        <v>5</v>
      </c>
      <c r="Q780">
        <v>5</v>
      </c>
      <c r="R780">
        <v>2</v>
      </c>
      <c r="S780">
        <v>4</v>
      </c>
      <c r="T780">
        <f t="shared" si="60"/>
        <v>6</v>
      </c>
      <c r="U780" t="str" cm="1">
        <f t="array" ref="U780">_xlfn.IFS(T780&lt;3, "low", AND(T780&gt;=3, T780&lt;5), "med", T780&gt;=5, "high")</f>
        <v>high</v>
      </c>
      <c r="V780">
        <v>0</v>
      </c>
      <c r="W780" t="str" cm="1">
        <f t="array" ref="W780">_xlfn.IFS(V780&lt;5, "low", AND(V780&gt;=5, V780&lt;10), "med", V780&gt;=10, "high")</f>
        <v>low</v>
      </c>
      <c r="X780">
        <v>11</v>
      </c>
      <c r="Y780">
        <v>11</v>
      </c>
      <c r="Z780">
        <v>12</v>
      </c>
      <c r="AA780">
        <f t="shared" si="61"/>
        <v>0</v>
      </c>
      <c r="AB780">
        <f t="shared" si="62"/>
        <v>0</v>
      </c>
      <c r="AC780">
        <f t="shared" si="63"/>
        <v>0</v>
      </c>
      <c r="AD780" s="1">
        <f t="shared" si="64"/>
        <v>11.333333333333334</v>
      </c>
    </row>
    <row r="781" spans="1:30" x14ac:dyDescent="0.35">
      <c r="A781" t="s">
        <v>50</v>
      </c>
      <c r="B781">
        <v>19</v>
      </c>
      <c r="C781" t="s">
        <v>52</v>
      </c>
      <c r="D781" t="s">
        <v>36</v>
      </c>
      <c r="E781" t="s">
        <v>44</v>
      </c>
      <c r="F781" t="s">
        <v>38</v>
      </c>
      <c r="G781" t="s">
        <v>48</v>
      </c>
      <c r="H781">
        <v>1</v>
      </c>
      <c r="I781">
        <v>0</v>
      </c>
      <c r="J781" t="s">
        <v>43</v>
      </c>
      <c r="K781" t="s">
        <v>42</v>
      </c>
      <c r="L781" t="s">
        <v>43</v>
      </c>
      <c r="M781" t="s">
        <v>43</v>
      </c>
      <c r="N781" t="s">
        <v>42</v>
      </c>
      <c r="O781">
        <v>5</v>
      </c>
      <c r="P781">
        <v>3</v>
      </c>
      <c r="Q781">
        <v>4</v>
      </c>
      <c r="R781">
        <v>2</v>
      </c>
      <c r="S781">
        <v>2</v>
      </c>
      <c r="T781">
        <f t="shared" si="60"/>
        <v>4</v>
      </c>
      <c r="U781" t="str" cm="1">
        <f t="array" ref="U781">_xlfn.IFS(T781&lt;3, "low", AND(T781&gt;=3, T781&lt;5), "med", T781&gt;=5, "high")</f>
        <v>med</v>
      </c>
      <c r="V781">
        <v>0</v>
      </c>
      <c r="W781" t="str" cm="1">
        <f t="array" ref="W781">_xlfn.IFS(V781&lt;5, "low", AND(V781&gt;=5, V781&lt;10), "med", V781&gt;=10, "high")</f>
        <v>low</v>
      </c>
      <c r="X781">
        <v>11</v>
      </c>
      <c r="Y781">
        <v>10</v>
      </c>
      <c r="Z781">
        <v>10</v>
      </c>
      <c r="AA781">
        <f t="shared" si="61"/>
        <v>1</v>
      </c>
      <c r="AB781">
        <f t="shared" si="62"/>
        <v>0</v>
      </c>
      <c r="AC781">
        <f t="shared" si="63"/>
        <v>1</v>
      </c>
      <c r="AD781" s="1">
        <f t="shared" si="64"/>
        <v>10.333333333333334</v>
      </c>
    </row>
    <row r="782" spans="1:30" x14ac:dyDescent="0.35">
      <c r="A782" t="s">
        <v>34</v>
      </c>
      <c r="B782">
        <v>18</v>
      </c>
      <c r="C782" t="s">
        <v>35</v>
      </c>
      <c r="D782" t="s">
        <v>36</v>
      </c>
      <c r="E782" t="s">
        <v>44</v>
      </c>
      <c r="F782" t="s">
        <v>38</v>
      </c>
      <c r="G782" t="s">
        <v>45</v>
      </c>
      <c r="H782">
        <v>2</v>
      </c>
      <c r="I782">
        <v>0</v>
      </c>
      <c r="J782" t="s">
        <v>43</v>
      </c>
      <c r="K782" t="s">
        <v>43</v>
      </c>
      <c r="L782" t="s">
        <v>43</v>
      </c>
      <c r="M782" t="s">
        <v>42</v>
      </c>
      <c r="N782" t="s">
        <v>42</v>
      </c>
      <c r="O782">
        <v>4</v>
      </c>
      <c r="P782">
        <v>2</v>
      </c>
      <c r="Q782">
        <v>5</v>
      </c>
      <c r="R782">
        <v>1</v>
      </c>
      <c r="S782">
        <v>1</v>
      </c>
      <c r="T782">
        <f t="shared" si="60"/>
        <v>2</v>
      </c>
      <c r="U782" t="str" cm="1">
        <f t="array" ref="U782">_xlfn.IFS(T782&lt;3, "low", AND(T782&gt;=3, T782&lt;5), "med", T782&gt;=5, "high")</f>
        <v>low</v>
      </c>
      <c r="V782">
        <v>2</v>
      </c>
      <c r="W782" t="str" cm="1">
        <f t="array" ref="W782">_xlfn.IFS(V782&lt;5, "low", AND(V782&gt;=5, V782&lt;10), "med", V782&gt;=10, "high")</f>
        <v>low</v>
      </c>
      <c r="X782">
        <v>10</v>
      </c>
      <c r="Y782">
        <v>9</v>
      </c>
      <c r="Z782">
        <v>10</v>
      </c>
      <c r="AA782">
        <f t="shared" si="61"/>
        <v>1</v>
      </c>
      <c r="AB782">
        <f t="shared" si="62"/>
        <v>0</v>
      </c>
      <c r="AC782">
        <f t="shared" si="63"/>
        <v>1</v>
      </c>
      <c r="AD782" s="1">
        <f t="shared" si="64"/>
        <v>9.6666666666666661</v>
      </c>
    </row>
    <row r="783" spans="1:30" x14ac:dyDescent="0.35">
      <c r="A783" t="s">
        <v>34</v>
      </c>
      <c r="B783">
        <v>17</v>
      </c>
      <c r="C783" t="s">
        <v>52</v>
      </c>
      <c r="D783" t="s">
        <v>36</v>
      </c>
      <c r="E783" t="s">
        <v>44</v>
      </c>
      <c r="F783" t="s">
        <v>38</v>
      </c>
      <c r="G783" t="s">
        <v>45</v>
      </c>
      <c r="H783">
        <v>3</v>
      </c>
      <c r="I783">
        <v>0</v>
      </c>
      <c r="J783" t="s">
        <v>43</v>
      </c>
      <c r="K783" t="s">
        <v>42</v>
      </c>
      <c r="L783" t="s">
        <v>43</v>
      </c>
      <c r="M783" t="s">
        <v>43</v>
      </c>
      <c r="N783" t="s">
        <v>42</v>
      </c>
      <c r="O783">
        <v>4</v>
      </c>
      <c r="P783">
        <v>4</v>
      </c>
      <c r="Q783">
        <v>3</v>
      </c>
      <c r="R783">
        <v>1</v>
      </c>
      <c r="S783">
        <v>1</v>
      </c>
      <c r="T783">
        <f t="shared" si="60"/>
        <v>2</v>
      </c>
      <c r="U783" t="str" cm="1">
        <f t="array" ref="U783">_xlfn.IFS(T783&lt;3, "low", AND(T783&gt;=3, T783&lt;5), "med", T783&gt;=5, "high")</f>
        <v>low</v>
      </c>
      <c r="V783">
        <v>0</v>
      </c>
      <c r="W783" t="str" cm="1">
        <f t="array" ref="W783">_xlfn.IFS(V783&lt;5, "low", AND(V783&gt;=5, V783&lt;10), "med", V783&gt;=10, "high")</f>
        <v>low</v>
      </c>
      <c r="X783">
        <v>15</v>
      </c>
      <c r="Y783">
        <v>15</v>
      </c>
      <c r="Z783">
        <v>15</v>
      </c>
      <c r="AA783">
        <f t="shared" si="61"/>
        <v>0</v>
      </c>
      <c r="AB783">
        <f t="shared" si="62"/>
        <v>0</v>
      </c>
      <c r="AC783">
        <f t="shared" si="63"/>
        <v>0</v>
      </c>
      <c r="AD783" s="1">
        <f t="shared" si="64"/>
        <v>15</v>
      </c>
    </row>
    <row r="784" spans="1:30" x14ac:dyDescent="0.35">
      <c r="A784" t="s">
        <v>50</v>
      </c>
      <c r="B784">
        <v>18</v>
      </c>
      <c r="C784" t="s">
        <v>35</v>
      </c>
      <c r="D784" t="s">
        <v>36</v>
      </c>
      <c r="E784" t="s">
        <v>44</v>
      </c>
      <c r="F784" t="s">
        <v>45</v>
      </c>
      <c r="G784" t="s">
        <v>45</v>
      </c>
      <c r="H784">
        <v>1</v>
      </c>
      <c r="I784">
        <v>0</v>
      </c>
      <c r="J784" t="s">
        <v>43</v>
      </c>
      <c r="K784" t="s">
        <v>43</v>
      </c>
      <c r="L784" t="s">
        <v>43</v>
      </c>
      <c r="M784" t="s">
        <v>43</v>
      </c>
      <c r="N784" t="s">
        <v>43</v>
      </c>
      <c r="O784">
        <v>5</v>
      </c>
      <c r="P784">
        <v>4</v>
      </c>
      <c r="Q784">
        <v>2</v>
      </c>
      <c r="R784">
        <v>1</v>
      </c>
      <c r="S784">
        <v>2</v>
      </c>
      <c r="T784">
        <f t="shared" si="60"/>
        <v>3</v>
      </c>
      <c r="U784" t="str" cm="1">
        <f t="array" ref="U784">_xlfn.IFS(T784&lt;3, "low", AND(T784&gt;=3, T784&lt;5), "med", T784&gt;=5, "high")</f>
        <v>med</v>
      </c>
      <c r="V784">
        <v>6</v>
      </c>
      <c r="W784" t="str" cm="1">
        <f t="array" ref="W784">_xlfn.IFS(V784&lt;5, "low", AND(V784&gt;=5, V784&lt;10), "med", V784&gt;=10, "high")</f>
        <v>med</v>
      </c>
      <c r="X784">
        <v>15</v>
      </c>
      <c r="Y784">
        <v>14</v>
      </c>
      <c r="Z784">
        <v>15</v>
      </c>
      <c r="AA784">
        <f t="shared" si="61"/>
        <v>1</v>
      </c>
      <c r="AB784">
        <f t="shared" si="62"/>
        <v>0</v>
      </c>
      <c r="AC784">
        <f t="shared" si="63"/>
        <v>1</v>
      </c>
      <c r="AD784" s="1">
        <f t="shared" si="64"/>
        <v>14.666666666666666</v>
      </c>
    </row>
    <row r="785" spans="1:30" x14ac:dyDescent="0.35">
      <c r="A785" t="s">
        <v>34</v>
      </c>
      <c r="B785">
        <v>18</v>
      </c>
      <c r="C785" t="s">
        <v>35</v>
      </c>
      <c r="D785" t="s">
        <v>36</v>
      </c>
      <c r="E785" t="s">
        <v>44</v>
      </c>
      <c r="F785" t="s">
        <v>48</v>
      </c>
      <c r="G785" t="s">
        <v>48</v>
      </c>
      <c r="H785">
        <v>2</v>
      </c>
      <c r="I785">
        <v>0</v>
      </c>
      <c r="J785" t="s">
        <v>43</v>
      </c>
      <c r="K785" t="s">
        <v>43</v>
      </c>
      <c r="L785" t="s">
        <v>43</v>
      </c>
      <c r="M785" t="s">
        <v>42</v>
      </c>
      <c r="N785" t="s">
        <v>43</v>
      </c>
      <c r="O785">
        <v>5</v>
      </c>
      <c r="P785">
        <v>3</v>
      </c>
      <c r="Q785">
        <v>4</v>
      </c>
      <c r="R785">
        <v>1</v>
      </c>
      <c r="S785">
        <v>1</v>
      </c>
      <c r="T785">
        <f t="shared" si="60"/>
        <v>2</v>
      </c>
      <c r="U785" t="str" cm="1">
        <f t="array" ref="U785">_xlfn.IFS(T785&lt;3, "low", AND(T785&gt;=3, T785&lt;5), "med", T785&gt;=5, "high")</f>
        <v>low</v>
      </c>
      <c r="V785">
        <v>8</v>
      </c>
      <c r="W785" t="str" cm="1">
        <f t="array" ref="W785">_xlfn.IFS(V785&lt;5, "low", AND(V785&gt;=5, V785&lt;10), "med", V785&gt;=10, "high")</f>
        <v>med</v>
      </c>
      <c r="X785">
        <v>10</v>
      </c>
      <c r="Y785">
        <v>11</v>
      </c>
      <c r="Z785">
        <v>12</v>
      </c>
      <c r="AA785">
        <f t="shared" si="61"/>
        <v>0</v>
      </c>
      <c r="AB785">
        <f t="shared" si="62"/>
        <v>0</v>
      </c>
      <c r="AC785">
        <f t="shared" si="63"/>
        <v>0</v>
      </c>
      <c r="AD785" s="1">
        <f t="shared" si="64"/>
        <v>11</v>
      </c>
    </row>
    <row r="786" spans="1:30" x14ac:dyDescent="0.35">
      <c r="A786" t="s">
        <v>34</v>
      </c>
      <c r="B786">
        <v>18</v>
      </c>
      <c r="C786" t="s">
        <v>35</v>
      </c>
      <c r="D786" t="s">
        <v>47</v>
      </c>
      <c r="E786" t="s">
        <v>44</v>
      </c>
      <c r="F786" t="s">
        <v>45</v>
      </c>
      <c r="G786" t="s">
        <v>45</v>
      </c>
      <c r="H786">
        <v>2</v>
      </c>
      <c r="I786">
        <v>0</v>
      </c>
      <c r="J786" t="s">
        <v>43</v>
      </c>
      <c r="K786" t="s">
        <v>43</v>
      </c>
      <c r="L786" t="s">
        <v>43</v>
      </c>
      <c r="M786" t="s">
        <v>42</v>
      </c>
      <c r="N786" t="s">
        <v>42</v>
      </c>
      <c r="O786">
        <v>4</v>
      </c>
      <c r="P786">
        <v>3</v>
      </c>
      <c r="Q786">
        <v>3</v>
      </c>
      <c r="R786">
        <v>1</v>
      </c>
      <c r="S786">
        <v>1</v>
      </c>
      <c r="T786">
        <f t="shared" si="60"/>
        <v>2</v>
      </c>
      <c r="U786" t="str" cm="1">
        <f t="array" ref="U786">_xlfn.IFS(T786&lt;3, "low", AND(T786&gt;=3, T786&lt;5), "med", T786&gt;=5, "high")</f>
        <v>low</v>
      </c>
      <c r="V786">
        <v>0</v>
      </c>
      <c r="W786" t="str" cm="1">
        <f t="array" ref="W786">_xlfn.IFS(V786&lt;5, "low", AND(V786&gt;=5, V786&lt;10), "med", V786&gt;=10, "high")</f>
        <v>low</v>
      </c>
      <c r="X786">
        <v>10</v>
      </c>
      <c r="Y786">
        <v>9</v>
      </c>
      <c r="Z786">
        <v>12</v>
      </c>
      <c r="AA786">
        <f t="shared" si="61"/>
        <v>1</v>
      </c>
      <c r="AB786">
        <f t="shared" si="62"/>
        <v>0</v>
      </c>
      <c r="AC786">
        <f t="shared" si="63"/>
        <v>1</v>
      </c>
      <c r="AD786" s="1">
        <f t="shared" si="64"/>
        <v>10.333333333333334</v>
      </c>
    </row>
    <row r="787" spans="1:30" x14ac:dyDescent="0.35">
      <c r="A787" t="s">
        <v>34</v>
      </c>
      <c r="B787">
        <v>18</v>
      </c>
      <c r="C787" t="s">
        <v>52</v>
      </c>
      <c r="D787" t="s">
        <v>36</v>
      </c>
      <c r="E787" t="s">
        <v>44</v>
      </c>
      <c r="F787" t="s">
        <v>38</v>
      </c>
      <c r="G787" t="s">
        <v>45</v>
      </c>
      <c r="H787">
        <v>4</v>
      </c>
      <c r="I787">
        <v>0</v>
      </c>
      <c r="J787" t="s">
        <v>43</v>
      </c>
      <c r="K787" t="s">
        <v>43</v>
      </c>
      <c r="L787" t="s">
        <v>43</v>
      </c>
      <c r="M787" t="s">
        <v>42</v>
      </c>
      <c r="N787" t="s">
        <v>43</v>
      </c>
      <c r="O787">
        <v>4</v>
      </c>
      <c r="P787">
        <v>4</v>
      </c>
      <c r="Q787">
        <v>4</v>
      </c>
      <c r="R787">
        <v>1</v>
      </c>
      <c r="S787">
        <v>1</v>
      </c>
      <c r="T787">
        <f t="shared" si="60"/>
        <v>2</v>
      </c>
      <c r="U787" t="str" cm="1">
        <f t="array" ref="U787">_xlfn.IFS(T787&lt;3, "low", AND(T787&gt;=3, T787&lt;5), "med", T787&gt;=5, "high")</f>
        <v>low</v>
      </c>
      <c r="V787">
        <v>6</v>
      </c>
      <c r="W787" t="str" cm="1">
        <f t="array" ref="W787">_xlfn.IFS(V787&lt;5, "low", AND(V787&gt;=5, V787&lt;10), "med", V787&gt;=10, "high")</f>
        <v>med</v>
      </c>
      <c r="X787">
        <v>14</v>
      </c>
      <c r="Y787">
        <v>13</v>
      </c>
      <c r="Z787">
        <v>14</v>
      </c>
      <c r="AA787">
        <f t="shared" si="61"/>
        <v>1</v>
      </c>
      <c r="AB787">
        <f t="shared" si="62"/>
        <v>0</v>
      </c>
      <c r="AC787">
        <f t="shared" si="63"/>
        <v>1</v>
      </c>
      <c r="AD787" s="1">
        <f t="shared" si="64"/>
        <v>13.666666666666666</v>
      </c>
    </row>
    <row r="788" spans="1:30" x14ac:dyDescent="0.35">
      <c r="A788" t="s">
        <v>34</v>
      </c>
      <c r="B788">
        <v>17</v>
      </c>
      <c r="C788" t="s">
        <v>35</v>
      </c>
      <c r="D788" t="s">
        <v>36</v>
      </c>
      <c r="E788" t="s">
        <v>44</v>
      </c>
      <c r="F788" t="s">
        <v>48</v>
      </c>
      <c r="G788" t="s">
        <v>45</v>
      </c>
      <c r="H788">
        <v>3</v>
      </c>
      <c r="I788">
        <v>0</v>
      </c>
      <c r="J788" t="s">
        <v>43</v>
      </c>
      <c r="K788" t="s">
        <v>43</v>
      </c>
      <c r="L788" t="s">
        <v>43</v>
      </c>
      <c r="M788" t="s">
        <v>43</v>
      </c>
      <c r="N788" t="s">
        <v>43</v>
      </c>
      <c r="O788">
        <v>4</v>
      </c>
      <c r="P788">
        <v>4</v>
      </c>
      <c r="Q788">
        <v>5</v>
      </c>
      <c r="R788">
        <v>1</v>
      </c>
      <c r="S788">
        <v>3</v>
      </c>
      <c r="T788">
        <f t="shared" si="60"/>
        <v>4</v>
      </c>
      <c r="U788" t="str" cm="1">
        <f t="array" ref="U788">_xlfn.IFS(T788&lt;3, "low", AND(T788&gt;=3, T788&lt;5), "med", T788&gt;=5, "high")</f>
        <v>med</v>
      </c>
      <c r="V788">
        <v>8</v>
      </c>
      <c r="W788" t="str" cm="1">
        <f t="array" ref="W788">_xlfn.IFS(V788&lt;5, "low", AND(V788&gt;=5, V788&lt;10), "med", V788&gt;=10, "high")</f>
        <v>med</v>
      </c>
      <c r="X788">
        <v>11</v>
      </c>
      <c r="Y788">
        <v>13</v>
      </c>
      <c r="Z788">
        <v>14</v>
      </c>
      <c r="AA788">
        <f t="shared" si="61"/>
        <v>0</v>
      </c>
      <c r="AB788">
        <f t="shared" si="62"/>
        <v>0</v>
      </c>
      <c r="AC788">
        <f t="shared" si="63"/>
        <v>0</v>
      </c>
      <c r="AD788" s="1">
        <f t="shared" si="64"/>
        <v>12.666666666666666</v>
      </c>
    </row>
    <row r="789" spans="1:30" x14ac:dyDescent="0.35">
      <c r="A789" t="s">
        <v>34</v>
      </c>
      <c r="B789">
        <v>17</v>
      </c>
      <c r="C789" t="s">
        <v>35</v>
      </c>
      <c r="D789" t="s">
        <v>36</v>
      </c>
      <c r="E789" t="s">
        <v>44</v>
      </c>
      <c r="F789" t="s">
        <v>45</v>
      </c>
      <c r="G789" t="s">
        <v>45</v>
      </c>
      <c r="H789">
        <v>2</v>
      </c>
      <c r="I789">
        <v>0</v>
      </c>
      <c r="J789" t="s">
        <v>43</v>
      </c>
      <c r="K789" t="s">
        <v>42</v>
      </c>
      <c r="L789" t="s">
        <v>43</v>
      </c>
      <c r="M789" t="s">
        <v>43</v>
      </c>
      <c r="N789" t="s">
        <v>42</v>
      </c>
      <c r="O789">
        <v>4</v>
      </c>
      <c r="P789">
        <v>3</v>
      </c>
      <c r="Q789">
        <v>2</v>
      </c>
      <c r="R789">
        <v>2</v>
      </c>
      <c r="S789">
        <v>3</v>
      </c>
      <c r="T789">
        <f t="shared" si="60"/>
        <v>5</v>
      </c>
      <c r="U789" t="str" cm="1">
        <f t="array" ref="U789">_xlfn.IFS(T789&lt;3, "low", AND(T789&gt;=3, T789&lt;5), "med", T789&gt;=5, "high")</f>
        <v>high</v>
      </c>
      <c r="V789">
        <v>0</v>
      </c>
      <c r="W789" t="str" cm="1">
        <f t="array" ref="W789">_xlfn.IFS(V789&lt;5, "low", AND(V789&gt;=5, V789&lt;10), "med", V789&gt;=10, "high")</f>
        <v>low</v>
      </c>
      <c r="X789">
        <v>12</v>
      </c>
      <c r="Y789">
        <v>13</v>
      </c>
      <c r="Z789">
        <v>15</v>
      </c>
      <c r="AA789">
        <f t="shared" si="61"/>
        <v>0</v>
      </c>
      <c r="AB789">
        <f t="shared" si="62"/>
        <v>0</v>
      </c>
      <c r="AC789">
        <f t="shared" si="63"/>
        <v>0</v>
      </c>
      <c r="AD789" s="1">
        <f t="shared" si="64"/>
        <v>13.333333333333334</v>
      </c>
    </row>
    <row r="790" spans="1:30" x14ac:dyDescent="0.35">
      <c r="A790" t="s">
        <v>34</v>
      </c>
      <c r="B790">
        <v>18</v>
      </c>
      <c r="C790" t="s">
        <v>35</v>
      </c>
      <c r="D790" t="s">
        <v>47</v>
      </c>
      <c r="E790" t="s">
        <v>44</v>
      </c>
      <c r="F790" t="s">
        <v>48</v>
      </c>
      <c r="G790" t="s">
        <v>48</v>
      </c>
      <c r="H790">
        <v>4</v>
      </c>
      <c r="I790">
        <v>0</v>
      </c>
      <c r="J790" t="s">
        <v>43</v>
      </c>
      <c r="K790" t="s">
        <v>42</v>
      </c>
      <c r="L790" t="s">
        <v>43</v>
      </c>
      <c r="M790" t="s">
        <v>43</v>
      </c>
      <c r="N790" t="s">
        <v>43</v>
      </c>
      <c r="O790">
        <v>5</v>
      </c>
      <c r="P790">
        <v>3</v>
      </c>
      <c r="Q790">
        <v>3</v>
      </c>
      <c r="R790">
        <v>1</v>
      </c>
      <c r="S790">
        <v>1</v>
      </c>
      <c r="T790">
        <f t="shared" si="60"/>
        <v>2</v>
      </c>
      <c r="U790" t="str" cm="1">
        <f t="array" ref="U790">_xlfn.IFS(T790&lt;3, "low", AND(T790&gt;=3, T790&lt;5), "med", T790&gt;=5, "high")</f>
        <v>low</v>
      </c>
      <c r="V790">
        <v>4</v>
      </c>
      <c r="W790" t="str" cm="1">
        <f t="array" ref="W790">_xlfn.IFS(V790&lt;5, "low", AND(V790&gt;=5, V790&lt;10), "med", V790&gt;=10, "high")</f>
        <v>low</v>
      </c>
      <c r="X790">
        <v>14</v>
      </c>
      <c r="Y790">
        <v>14</v>
      </c>
      <c r="Z790">
        <v>15</v>
      </c>
      <c r="AA790">
        <f t="shared" si="61"/>
        <v>0</v>
      </c>
      <c r="AB790">
        <f t="shared" si="62"/>
        <v>0</v>
      </c>
      <c r="AC790">
        <f t="shared" si="63"/>
        <v>0</v>
      </c>
      <c r="AD790" s="1">
        <f t="shared" si="64"/>
        <v>14.333333333333334</v>
      </c>
    </row>
    <row r="791" spans="1:30" x14ac:dyDescent="0.35">
      <c r="A791" t="s">
        <v>34</v>
      </c>
      <c r="B791">
        <v>17</v>
      </c>
      <c r="C791" t="s">
        <v>52</v>
      </c>
      <c r="D791" t="s">
        <v>36</v>
      </c>
      <c r="E791" t="s">
        <v>37</v>
      </c>
      <c r="F791" t="s">
        <v>45</v>
      </c>
      <c r="G791" t="s">
        <v>45</v>
      </c>
      <c r="H791">
        <v>2</v>
      </c>
      <c r="I791">
        <v>0</v>
      </c>
      <c r="J791" t="s">
        <v>43</v>
      </c>
      <c r="K791" t="s">
        <v>42</v>
      </c>
      <c r="L791" t="s">
        <v>43</v>
      </c>
      <c r="M791" t="s">
        <v>43</v>
      </c>
      <c r="N791" t="s">
        <v>43</v>
      </c>
      <c r="O791">
        <v>4</v>
      </c>
      <c r="P791">
        <v>3</v>
      </c>
      <c r="Q791">
        <v>3</v>
      </c>
      <c r="R791">
        <v>2</v>
      </c>
      <c r="S791">
        <v>3</v>
      </c>
      <c r="T791">
        <f t="shared" si="60"/>
        <v>5</v>
      </c>
      <c r="U791" t="str" cm="1">
        <f t="array" ref="U791">_xlfn.IFS(T791&lt;3, "low", AND(T791&gt;=3, T791&lt;5), "med", T791&gt;=5, "high")</f>
        <v>high</v>
      </c>
      <c r="V791">
        <v>0</v>
      </c>
      <c r="W791" t="str" cm="1">
        <f t="array" ref="W791">_xlfn.IFS(V791&lt;5, "low", AND(V791&gt;=5, V791&lt;10), "med", V791&gt;=10, "high")</f>
        <v>low</v>
      </c>
      <c r="X791">
        <v>14</v>
      </c>
      <c r="Y791">
        <v>14</v>
      </c>
      <c r="Z791">
        <v>16</v>
      </c>
      <c r="AA791">
        <f t="shared" si="61"/>
        <v>0</v>
      </c>
      <c r="AB791">
        <f t="shared" si="62"/>
        <v>0</v>
      </c>
      <c r="AC791">
        <f t="shared" si="63"/>
        <v>0</v>
      </c>
      <c r="AD791" s="1">
        <f t="shared" si="64"/>
        <v>14.666666666666666</v>
      </c>
    </row>
    <row r="792" spans="1:30" x14ac:dyDescent="0.35">
      <c r="A792" t="s">
        <v>50</v>
      </c>
      <c r="B792">
        <v>18</v>
      </c>
      <c r="C792" t="s">
        <v>35</v>
      </c>
      <c r="D792" t="s">
        <v>36</v>
      </c>
      <c r="E792" t="s">
        <v>44</v>
      </c>
      <c r="F792" t="s">
        <v>39</v>
      </c>
      <c r="G792" t="s">
        <v>48</v>
      </c>
      <c r="H792">
        <v>2</v>
      </c>
      <c r="I792">
        <v>0</v>
      </c>
      <c r="J792" t="s">
        <v>43</v>
      </c>
      <c r="K792" t="s">
        <v>42</v>
      </c>
      <c r="L792" t="s">
        <v>43</v>
      </c>
      <c r="M792" t="s">
        <v>42</v>
      </c>
      <c r="N792" t="s">
        <v>43</v>
      </c>
      <c r="O792">
        <v>4</v>
      </c>
      <c r="P792">
        <v>3</v>
      </c>
      <c r="Q792">
        <v>3</v>
      </c>
      <c r="R792">
        <v>2</v>
      </c>
      <c r="S792">
        <v>2</v>
      </c>
      <c r="T792">
        <f t="shared" si="60"/>
        <v>4</v>
      </c>
      <c r="U792" t="str" cm="1">
        <f t="array" ref="U792">_xlfn.IFS(T792&lt;3, "low", AND(T792&gt;=3, T792&lt;5), "med", T792&gt;=5, "high")</f>
        <v>med</v>
      </c>
      <c r="V792">
        <v>0</v>
      </c>
      <c r="W792" t="str" cm="1">
        <f t="array" ref="W792">_xlfn.IFS(V792&lt;5, "low", AND(V792&gt;=5, V792&lt;10), "med", V792&gt;=10, "high")</f>
        <v>low</v>
      </c>
      <c r="X792">
        <v>12</v>
      </c>
      <c r="Y792">
        <v>12</v>
      </c>
      <c r="Z792">
        <v>13</v>
      </c>
      <c r="AA792">
        <f t="shared" si="61"/>
        <v>0</v>
      </c>
      <c r="AB792">
        <f t="shared" si="62"/>
        <v>0</v>
      </c>
      <c r="AC792">
        <f t="shared" si="63"/>
        <v>0</v>
      </c>
      <c r="AD792" s="1">
        <f t="shared" si="64"/>
        <v>12.333333333333334</v>
      </c>
    </row>
    <row r="793" spans="1:30" x14ac:dyDescent="0.35">
      <c r="A793" t="s">
        <v>50</v>
      </c>
      <c r="B793">
        <v>18</v>
      </c>
      <c r="C793" t="s">
        <v>35</v>
      </c>
      <c r="D793" t="s">
        <v>47</v>
      </c>
      <c r="E793" t="s">
        <v>44</v>
      </c>
      <c r="F793" t="s">
        <v>48</v>
      </c>
      <c r="G793" t="s">
        <v>45</v>
      </c>
      <c r="H793">
        <v>2</v>
      </c>
      <c r="I793">
        <v>0</v>
      </c>
      <c r="J793" t="s">
        <v>43</v>
      </c>
      <c r="K793" t="s">
        <v>43</v>
      </c>
      <c r="L793" t="s">
        <v>43</v>
      </c>
      <c r="M793" t="s">
        <v>42</v>
      </c>
      <c r="N793" t="s">
        <v>42</v>
      </c>
      <c r="O793">
        <v>4</v>
      </c>
      <c r="P793">
        <v>3</v>
      </c>
      <c r="Q793">
        <v>3</v>
      </c>
      <c r="R793">
        <v>1</v>
      </c>
      <c r="S793">
        <v>3</v>
      </c>
      <c r="T793">
        <f t="shared" si="60"/>
        <v>4</v>
      </c>
      <c r="U793" t="str" cm="1">
        <f t="array" ref="U793">_xlfn.IFS(T793&lt;3, "low", AND(T793&gt;=3, T793&lt;5), "med", T793&gt;=5, "high")</f>
        <v>med</v>
      </c>
      <c r="V793">
        <v>6</v>
      </c>
      <c r="W793" t="str" cm="1">
        <f t="array" ref="W793">_xlfn.IFS(V793&lt;5, "low", AND(V793&gt;=5, V793&lt;10), "med", V793&gt;=10, "high")</f>
        <v>med</v>
      </c>
      <c r="X793">
        <v>16</v>
      </c>
      <c r="Y793">
        <v>16</v>
      </c>
      <c r="Z793">
        <v>17</v>
      </c>
      <c r="AA793">
        <f t="shared" si="61"/>
        <v>0</v>
      </c>
      <c r="AB793">
        <f t="shared" si="62"/>
        <v>0</v>
      </c>
      <c r="AC793">
        <f t="shared" si="63"/>
        <v>0</v>
      </c>
      <c r="AD793" s="1">
        <f t="shared" si="64"/>
        <v>16.333333333333332</v>
      </c>
    </row>
    <row r="794" spans="1:30" x14ac:dyDescent="0.35">
      <c r="A794" t="s">
        <v>34</v>
      </c>
      <c r="B794">
        <v>17</v>
      </c>
      <c r="C794" t="s">
        <v>35</v>
      </c>
      <c r="D794" t="s">
        <v>36</v>
      </c>
      <c r="E794" t="s">
        <v>37</v>
      </c>
      <c r="F794" t="s">
        <v>38</v>
      </c>
      <c r="G794" t="s">
        <v>38</v>
      </c>
      <c r="H794">
        <v>2</v>
      </c>
      <c r="I794">
        <v>0</v>
      </c>
      <c r="J794" t="s">
        <v>43</v>
      </c>
      <c r="K794" t="s">
        <v>42</v>
      </c>
      <c r="L794" t="s">
        <v>43</v>
      </c>
      <c r="M794" t="s">
        <v>43</v>
      </c>
      <c r="N794" t="s">
        <v>42</v>
      </c>
      <c r="O794">
        <v>3</v>
      </c>
      <c r="P794">
        <v>3</v>
      </c>
      <c r="Q794">
        <v>1</v>
      </c>
      <c r="R794">
        <v>1</v>
      </c>
      <c r="S794">
        <v>2</v>
      </c>
      <c r="T794">
        <f t="shared" si="60"/>
        <v>3</v>
      </c>
      <c r="U794" t="str" cm="1">
        <f t="array" ref="U794">_xlfn.IFS(T794&lt;3, "low", AND(T794&gt;=3, T794&lt;5), "med", T794&gt;=5, "high")</f>
        <v>med</v>
      </c>
      <c r="V794">
        <v>18</v>
      </c>
      <c r="W794" t="str" cm="1">
        <f t="array" ref="W794">_xlfn.IFS(V794&lt;5, "low", AND(V794&gt;=5, V794&lt;10), "med", V794&gt;=10, "high")</f>
        <v>high</v>
      </c>
      <c r="X794">
        <v>10</v>
      </c>
      <c r="Y794">
        <v>12</v>
      </c>
      <c r="Z794">
        <v>14</v>
      </c>
      <c r="AA794">
        <f t="shared" si="61"/>
        <v>0</v>
      </c>
      <c r="AB794">
        <f t="shared" si="62"/>
        <v>0</v>
      </c>
      <c r="AC794">
        <f t="shared" si="63"/>
        <v>0</v>
      </c>
      <c r="AD794" s="1">
        <f t="shared" si="64"/>
        <v>12</v>
      </c>
    </row>
    <row r="795" spans="1:30" x14ac:dyDescent="0.35">
      <c r="A795" t="s">
        <v>34</v>
      </c>
      <c r="B795">
        <v>18</v>
      </c>
      <c r="C795" t="s">
        <v>35</v>
      </c>
      <c r="D795" t="s">
        <v>36</v>
      </c>
      <c r="E795" t="s">
        <v>44</v>
      </c>
      <c r="F795" t="s">
        <v>38</v>
      </c>
      <c r="G795" t="s">
        <v>45</v>
      </c>
      <c r="H795">
        <v>3</v>
      </c>
      <c r="I795">
        <v>0</v>
      </c>
      <c r="J795" t="s">
        <v>43</v>
      </c>
      <c r="K795" t="s">
        <v>42</v>
      </c>
      <c r="L795" t="s">
        <v>43</v>
      </c>
      <c r="M795" t="s">
        <v>43</v>
      </c>
      <c r="N795" t="s">
        <v>43</v>
      </c>
      <c r="O795">
        <v>4</v>
      </c>
      <c r="P795">
        <v>3</v>
      </c>
      <c r="Q795">
        <v>3</v>
      </c>
      <c r="R795">
        <v>1</v>
      </c>
      <c r="S795">
        <v>2</v>
      </c>
      <c r="T795">
        <f t="shared" si="60"/>
        <v>3</v>
      </c>
      <c r="U795" t="str" cm="1">
        <f t="array" ref="U795">_xlfn.IFS(T795&lt;3, "low", AND(T795&gt;=3, T795&lt;5), "med", T795&gt;=5, "high")</f>
        <v>med</v>
      </c>
      <c r="V795">
        <v>0</v>
      </c>
      <c r="W795" t="str" cm="1">
        <f t="array" ref="W795">_xlfn.IFS(V795&lt;5, "low", AND(V795&gt;=5, V795&lt;10), "med", V795&gt;=10, "high")</f>
        <v>low</v>
      </c>
      <c r="X795">
        <v>11</v>
      </c>
      <c r="Y795">
        <v>12</v>
      </c>
      <c r="Z795">
        <v>14</v>
      </c>
      <c r="AA795">
        <f t="shared" si="61"/>
        <v>0</v>
      </c>
      <c r="AB795">
        <f t="shared" si="62"/>
        <v>0</v>
      </c>
      <c r="AC795">
        <f t="shared" si="63"/>
        <v>0</v>
      </c>
      <c r="AD795" s="1">
        <f t="shared" si="64"/>
        <v>12.333333333333334</v>
      </c>
    </row>
    <row r="796" spans="1:30" x14ac:dyDescent="0.35">
      <c r="A796" t="s">
        <v>34</v>
      </c>
      <c r="B796">
        <v>18</v>
      </c>
      <c r="C796" t="s">
        <v>35</v>
      </c>
      <c r="D796" t="s">
        <v>36</v>
      </c>
      <c r="E796" t="s">
        <v>44</v>
      </c>
      <c r="F796" t="s">
        <v>45</v>
      </c>
      <c r="G796" t="s">
        <v>48</v>
      </c>
      <c r="H796">
        <v>3</v>
      </c>
      <c r="I796">
        <v>0</v>
      </c>
      <c r="J796" t="s">
        <v>43</v>
      </c>
      <c r="K796" t="s">
        <v>43</v>
      </c>
      <c r="L796" t="s">
        <v>43</v>
      </c>
      <c r="M796" t="s">
        <v>43</v>
      </c>
      <c r="N796" t="s">
        <v>42</v>
      </c>
      <c r="O796">
        <v>5</v>
      </c>
      <c r="P796">
        <v>4</v>
      </c>
      <c r="Q796">
        <v>3</v>
      </c>
      <c r="R796">
        <v>2</v>
      </c>
      <c r="S796">
        <v>3</v>
      </c>
      <c r="T796">
        <f t="shared" si="60"/>
        <v>5</v>
      </c>
      <c r="U796" t="str" cm="1">
        <f t="array" ref="U796">_xlfn.IFS(T796&lt;3, "low", AND(T796&gt;=3, T796&lt;5), "med", T796&gt;=5, "high")</f>
        <v>high</v>
      </c>
      <c r="V796">
        <v>4</v>
      </c>
      <c r="W796" t="str" cm="1">
        <f t="array" ref="W796">_xlfn.IFS(V796&lt;5, "low", AND(V796&gt;=5, V796&lt;10), "med", V796&gt;=10, "high")</f>
        <v>low</v>
      </c>
      <c r="X796">
        <v>14</v>
      </c>
      <c r="Y796">
        <v>16</v>
      </c>
      <c r="Z796">
        <v>17</v>
      </c>
      <c r="AA796">
        <f t="shared" si="61"/>
        <v>0</v>
      </c>
      <c r="AB796">
        <f t="shared" si="62"/>
        <v>0</v>
      </c>
      <c r="AC796">
        <f t="shared" si="63"/>
        <v>0</v>
      </c>
      <c r="AD796" s="1">
        <f t="shared" si="64"/>
        <v>15.666666666666666</v>
      </c>
    </row>
    <row r="797" spans="1:30" x14ac:dyDescent="0.35">
      <c r="A797" t="s">
        <v>50</v>
      </c>
      <c r="B797">
        <v>18</v>
      </c>
      <c r="C797" t="s">
        <v>52</v>
      </c>
      <c r="D797" t="s">
        <v>36</v>
      </c>
      <c r="E797" t="s">
        <v>44</v>
      </c>
      <c r="F797" t="s">
        <v>39</v>
      </c>
      <c r="G797" t="s">
        <v>48</v>
      </c>
      <c r="H797">
        <v>3</v>
      </c>
      <c r="I797">
        <v>0</v>
      </c>
      <c r="J797" t="s">
        <v>43</v>
      </c>
      <c r="K797" t="s">
        <v>43</v>
      </c>
      <c r="L797" t="s">
        <v>43</v>
      </c>
      <c r="M797" t="s">
        <v>43</v>
      </c>
      <c r="N797" t="s">
        <v>42</v>
      </c>
      <c r="O797">
        <v>5</v>
      </c>
      <c r="P797">
        <v>3</v>
      </c>
      <c r="Q797">
        <v>2</v>
      </c>
      <c r="R797">
        <v>1</v>
      </c>
      <c r="S797">
        <v>2</v>
      </c>
      <c r="T797">
        <f t="shared" si="60"/>
        <v>3</v>
      </c>
      <c r="U797" t="str" cm="1">
        <f t="array" ref="U797">_xlfn.IFS(T797&lt;3, "low", AND(T797&gt;=3, T797&lt;5), "med", T797&gt;=5, "high")</f>
        <v>med</v>
      </c>
      <c r="V797">
        <v>4</v>
      </c>
      <c r="W797" t="str" cm="1">
        <f t="array" ref="W797">_xlfn.IFS(V797&lt;5, "low", AND(V797&gt;=5, V797&lt;10), "med", V797&gt;=10, "high")</f>
        <v>low</v>
      </c>
      <c r="X797">
        <v>15</v>
      </c>
      <c r="Y797">
        <v>14</v>
      </c>
      <c r="Z797">
        <v>17</v>
      </c>
      <c r="AA797">
        <f t="shared" si="61"/>
        <v>1</v>
      </c>
      <c r="AB797">
        <f t="shared" si="62"/>
        <v>0</v>
      </c>
      <c r="AC797">
        <f t="shared" si="63"/>
        <v>1</v>
      </c>
      <c r="AD797" s="1">
        <f t="shared" si="64"/>
        <v>15.333333333333334</v>
      </c>
    </row>
    <row r="798" spans="1:30" x14ac:dyDescent="0.35">
      <c r="A798" t="s">
        <v>50</v>
      </c>
      <c r="B798">
        <v>18</v>
      </c>
      <c r="C798" t="s">
        <v>35</v>
      </c>
      <c r="D798" t="s">
        <v>36</v>
      </c>
      <c r="E798" t="s">
        <v>44</v>
      </c>
      <c r="F798" t="s">
        <v>39</v>
      </c>
      <c r="G798" t="s">
        <v>45</v>
      </c>
      <c r="H798">
        <v>3</v>
      </c>
      <c r="I798">
        <v>0</v>
      </c>
      <c r="J798" t="s">
        <v>43</v>
      </c>
      <c r="K798" t="s">
        <v>42</v>
      </c>
      <c r="L798" t="s">
        <v>43</v>
      </c>
      <c r="M798" t="s">
        <v>43</v>
      </c>
      <c r="N798" t="s">
        <v>42</v>
      </c>
      <c r="O798">
        <v>5</v>
      </c>
      <c r="P798">
        <v>4</v>
      </c>
      <c r="Q798">
        <v>5</v>
      </c>
      <c r="R798">
        <v>2</v>
      </c>
      <c r="S798">
        <v>3</v>
      </c>
      <c r="T798">
        <f t="shared" si="60"/>
        <v>5</v>
      </c>
      <c r="U798" t="str" cm="1">
        <f t="array" ref="U798">_xlfn.IFS(T798&lt;3, "low", AND(T798&gt;=3, T798&lt;5), "med", T798&gt;=5, "high")</f>
        <v>high</v>
      </c>
      <c r="V798">
        <v>0</v>
      </c>
      <c r="W798" t="str" cm="1">
        <f t="array" ref="W798">_xlfn.IFS(V798&lt;5, "low", AND(V798&gt;=5, V798&lt;10), "med", V798&gt;=10, "high")</f>
        <v>low</v>
      </c>
      <c r="X798">
        <v>14</v>
      </c>
      <c r="Y798">
        <v>13</v>
      </c>
      <c r="Z798">
        <v>14</v>
      </c>
      <c r="AA798">
        <f t="shared" si="61"/>
        <v>1</v>
      </c>
      <c r="AB798">
        <f t="shared" si="62"/>
        <v>0</v>
      </c>
      <c r="AC798">
        <f t="shared" si="63"/>
        <v>1</v>
      </c>
      <c r="AD798" s="1">
        <f t="shared" si="64"/>
        <v>13.666666666666666</v>
      </c>
    </row>
    <row r="799" spans="1:30" x14ac:dyDescent="0.35">
      <c r="A799" t="s">
        <v>34</v>
      </c>
      <c r="B799">
        <v>17</v>
      </c>
      <c r="C799" t="s">
        <v>35</v>
      </c>
      <c r="D799" t="s">
        <v>36</v>
      </c>
      <c r="E799" t="s">
        <v>44</v>
      </c>
      <c r="F799" t="s">
        <v>28</v>
      </c>
      <c r="G799" t="s">
        <v>45</v>
      </c>
      <c r="H799">
        <v>3</v>
      </c>
      <c r="I799">
        <v>0</v>
      </c>
      <c r="J799" t="s">
        <v>43</v>
      </c>
      <c r="K799" t="s">
        <v>42</v>
      </c>
      <c r="L799" t="s">
        <v>43</v>
      </c>
      <c r="M799" t="s">
        <v>42</v>
      </c>
      <c r="N799" t="s">
        <v>42</v>
      </c>
      <c r="O799">
        <v>4</v>
      </c>
      <c r="P799">
        <v>4</v>
      </c>
      <c r="Q799">
        <v>3</v>
      </c>
      <c r="R799">
        <v>1</v>
      </c>
      <c r="S799">
        <v>3</v>
      </c>
      <c r="T799">
        <f t="shared" si="60"/>
        <v>4</v>
      </c>
      <c r="U799" t="str" cm="1">
        <f t="array" ref="U799">_xlfn.IFS(T799&lt;3, "low", AND(T799&gt;=3, T799&lt;5), "med", T799&gt;=5, "high")</f>
        <v>med</v>
      </c>
      <c r="V799">
        <v>0</v>
      </c>
      <c r="W799" t="str" cm="1">
        <f t="array" ref="W799">_xlfn.IFS(V799&lt;5, "low", AND(V799&gt;=5, V799&lt;10), "med", V799&gt;=10, "high")</f>
        <v>low</v>
      </c>
      <c r="X799">
        <v>11</v>
      </c>
      <c r="Y799">
        <v>12</v>
      </c>
      <c r="Z799">
        <v>13</v>
      </c>
      <c r="AA799">
        <f t="shared" si="61"/>
        <v>0</v>
      </c>
      <c r="AB799">
        <f t="shared" si="62"/>
        <v>0</v>
      </c>
      <c r="AC799">
        <f t="shared" si="63"/>
        <v>0</v>
      </c>
      <c r="AD799" s="1">
        <f t="shared" si="64"/>
        <v>12</v>
      </c>
    </row>
    <row r="800" spans="1:30" x14ac:dyDescent="0.35">
      <c r="A800" t="s">
        <v>34</v>
      </c>
      <c r="B800">
        <v>17</v>
      </c>
      <c r="C800" t="s">
        <v>35</v>
      </c>
      <c r="D800" t="s">
        <v>36</v>
      </c>
      <c r="E800" t="s">
        <v>44</v>
      </c>
      <c r="F800" t="s">
        <v>48</v>
      </c>
      <c r="G800" t="s">
        <v>45</v>
      </c>
      <c r="H800">
        <v>2</v>
      </c>
      <c r="I800">
        <v>0</v>
      </c>
      <c r="J800" t="s">
        <v>43</v>
      </c>
      <c r="K800" t="s">
        <v>42</v>
      </c>
      <c r="L800" t="s">
        <v>43</v>
      </c>
      <c r="M800" t="s">
        <v>42</v>
      </c>
      <c r="N800" t="s">
        <v>42</v>
      </c>
      <c r="O800">
        <v>4</v>
      </c>
      <c r="P800">
        <v>3</v>
      </c>
      <c r="Q800">
        <v>4</v>
      </c>
      <c r="R800">
        <v>2</v>
      </c>
      <c r="S800">
        <v>2</v>
      </c>
      <c r="T800">
        <f t="shared" si="60"/>
        <v>4</v>
      </c>
      <c r="U800" t="str" cm="1">
        <f t="array" ref="U800">_xlfn.IFS(T800&lt;3, "low", AND(T800&gt;=3, T800&lt;5), "med", T800&gt;=5, "high")</f>
        <v>med</v>
      </c>
      <c r="V800">
        <v>10</v>
      </c>
      <c r="W800" t="str" cm="1">
        <f t="array" ref="W800">_xlfn.IFS(V800&lt;5, "low", AND(V800&gt;=5, V800&lt;10), "med", V800&gt;=10, "high")</f>
        <v>high</v>
      </c>
      <c r="X800">
        <v>12</v>
      </c>
      <c r="Y800">
        <v>15</v>
      </c>
      <c r="Z800">
        <v>15</v>
      </c>
      <c r="AA800">
        <f t="shared" si="61"/>
        <v>0</v>
      </c>
      <c r="AB800">
        <f t="shared" si="62"/>
        <v>0</v>
      </c>
      <c r="AC800">
        <f t="shared" si="63"/>
        <v>0</v>
      </c>
      <c r="AD800" s="1">
        <f t="shared" si="64"/>
        <v>14</v>
      </c>
    </row>
    <row r="801" spans="1:30" x14ac:dyDescent="0.35">
      <c r="A801" t="s">
        <v>34</v>
      </c>
      <c r="B801">
        <v>17</v>
      </c>
      <c r="C801" t="s">
        <v>35</v>
      </c>
      <c r="D801" t="s">
        <v>36</v>
      </c>
      <c r="E801" t="s">
        <v>44</v>
      </c>
      <c r="F801" t="s">
        <v>48</v>
      </c>
      <c r="G801" t="s">
        <v>45</v>
      </c>
      <c r="H801">
        <v>2</v>
      </c>
      <c r="I801">
        <v>0</v>
      </c>
      <c r="J801" t="s">
        <v>43</v>
      </c>
      <c r="K801" t="s">
        <v>42</v>
      </c>
      <c r="L801" t="s">
        <v>43</v>
      </c>
      <c r="M801" t="s">
        <v>42</v>
      </c>
      <c r="N801" t="s">
        <v>43</v>
      </c>
      <c r="O801">
        <v>4</v>
      </c>
      <c r="P801">
        <v>3</v>
      </c>
      <c r="Q801">
        <v>5</v>
      </c>
      <c r="R801">
        <v>2</v>
      </c>
      <c r="S801">
        <v>4</v>
      </c>
      <c r="T801">
        <f t="shared" si="60"/>
        <v>6</v>
      </c>
      <c r="U801" t="str" cm="1">
        <f t="array" ref="U801">_xlfn.IFS(T801&lt;3, "low", AND(T801&gt;=3, T801&lt;5), "med", T801&gt;=5, "high")</f>
        <v>high</v>
      </c>
      <c r="V801">
        <v>4</v>
      </c>
      <c r="W801" t="str" cm="1">
        <f t="array" ref="W801">_xlfn.IFS(V801&lt;5, "low", AND(V801&gt;=5, V801&lt;10), "med", V801&gt;=10, "high")</f>
        <v>low</v>
      </c>
      <c r="X801">
        <v>12</v>
      </c>
      <c r="Y801">
        <v>16</v>
      </c>
      <c r="Z801">
        <v>16</v>
      </c>
      <c r="AA801">
        <f t="shared" si="61"/>
        <v>0</v>
      </c>
      <c r="AB801">
        <f t="shared" si="62"/>
        <v>0</v>
      </c>
      <c r="AC801">
        <f t="shared" si="63"/>
        <v>0</v>
      </c>
      <c r="AD801" s="1">
        <f t="shared" si="64"/>
        <v>14.666666666666666</v>
      </c>
    </row>
    <row r="802" spans="1:30" x14ac:dyDescent="0.35">
      <c r="A802" t="s">
        <v>34</v>
      </c>
      <c r="B802">
        <v>19</v>
      </c>
      <c r="C802" t="s">
        <v>35</v>
      </c>
      <c r="D802" t="s">
        <v>47</v>
      </c>
      <c r="E802" t="s">
        <v>37</v>
      </c>
      <c r="F802" t="s">
        <v>38</v>
      </c>
      <c r="G802" t="s">
        <v>45</v>
      </c>
      <c r="H802">
        <v>1</v>
      </c>
      <c r="I802">
        <v>1</v>
      </c>
      <c r="J802" t="s">
        <v>43</v>
      </c>
      <c r="K802" t="s">
        <v>43</v>
      </c>
      <c r="L802" t="s">
        <v>43</v>
      </c>
      <c r="M802" t="s">
        <v>43</v>
      </c>
      <c r="N802" t="s">
        <v>43</v>
      </c>
      <c r="O802">
        <v>2</v>
      </c>
      <c r="P802">
        <v>2</v>
      </c>
      <c r="Q802">
        <v>3</v>
      </c>
      <c r="R802">
        <v>3</v>
      </c>
      <c r="S802">
        <v>4</v>
      </c>
      <c r="T802">
        <f t="shared" si="60"/>
        <v>7</v>
      </c>
      <c r="U802" t="str" cm="1">
        <f t="array" ref="U802">_xlfn.IFS(T802&lt;3, "low", AND(T802&gt;=3, T802&lt;5), "med", T802&gt;=5, "high")</f>
        <v>high</v>
      </c>
      <c r="V802">
        <v>16</v>
      </c>
      <c r="W802" t="str" cm="1">
        <f t="array" ref="W802">_xlfn.IFS(V802&lt;5, "low", AND(V802&gt;=5, V802&lt;10), "med", V802&gt;=10, "high")</f>
        <v>high</v>
      </c>
      <c r="X802">
        <v>10</v>
      </c>
      <c r="Y802">
        <v>11</v>
      </c>
      <c r="Z802">
        <v>11</v>
      </c>
      <c r="AA802">
        <f t="shared" si="61"/>
        <v>0</v>
      </c>
      <c r="AB802">
        <f t="shared" si="62"/>
        <v>0</v>
      </c>
      <c r="AC802">
        <f t="shared" si="63"/>
        <v>0</v>
      </c>
      <c r="AD802" s="1">
        <f t="shared" si="64"/>
        <v>10.666666666666666</v>
      </c>
    </row>
    <row r="803" spans="1:30" x14ac:dyDescent="0.35">
      <c r="A803" t="s">
        <v>34</v>
      </c>
      <c r="B803">
        <v>17</v>
      </c>
      <c r="C803" t="s">
        <v>35</v>
      </c>
      <c r="D803" t="s">
        <v>36</v>
      </c>
      <c r="E803" t="s">
        <v>44</v>
      </c>
      <c r="F803" t="s">
        <v>45</v>
      </c>
      <c r="G803" t="s">
        <v>38</v>
      </c>
      <c r="H803">
        <v>1</v>
      </c>
      <c r="I803">
        <v>1</v>
      </c>
      <c r="J803" t="s">
        <v>43</v>
      </c>
      <c r="K803" t="s">
        <v>42</v>
      </c>
      <c r="L803" t="s">
        <v>42</v>
      </c>
      <c r="M803" t="s">
        <v>43</v>
      </c>
      <c r="N803" t="s">
        <v>42</v>
      </c>
      <c r="O803">
        <v>4</v>
      </c>
      <c r="P803">
        <v>1</v>
      </c>
      <c r="Q803">
        <v>2</v>
      </c>
      <c r="R803">
        <v>1</v>
      </c>
      <c r="S803">
        <v>1</v>
      </c>
      <c r="T803">
        <f t="shared" si="60"/>
        <v>2</v>
      </c>
      <c r="U803" t="str" cm="1">
        <f t="array" ref="U803">_xlfn.IFS(T803&lt;3, "low", AND(T803&gt;=3, T803&lt;5), "med", T803&gt;=5, "high")</f>
        <v>low</v>
      </c>
      <c r="V803">
        <v>6</v>
      </c>
      <c r="W803" t="str" cm="1">
        <f t="array" ref="W803">_xlfn.IFS(V803&lt;5, "low", AND(V803&gt;=5, V803&lt;10), "med", V803&gt;=10, "high")</f>
        <v>med</v>
      </c>
      <c r="X803">
        <v>10</v>
      </c>
      <c r="Y803">
        <v>13</v>
      </c>
      <c r="Z803">
        <v>13</v>
      </c>
      <c r="AA803">
        <f t="shared" si="61"/>
        <v>0</v>
      </c>
      <c r="AB803">
        <f t="shared" si="62"/>
        <v>0</v>
      </c>
      <c r="AC803">
        <f t="shared" si="63"/>
        <v>0</v>
      </c>
      <c r="AD803" s="1">
        <f t="shared" si="64"/>
        <v>12</v>
      </c>
    </row>
    <row r="804" spans="1:30" x14ac:dyDescent="0.35">
      <c r="A804" t="s">
        <v>34</v>
      </c>
      <c r="B804">
        <v>21</v>
      </c>
      <c r="C804" t="s">
        <v>35</v>
      </c>
      <c r="D804" t="s">
        <v>47</v>
      </c>
      <c r="E804" t="s">
        <v>44</v>
      </c>
      <c r="F804" t="s">
        <v>45</v>
      </c>
      <c r="G804" t="s">
        <v>45</v>
      </c>
      <c r="H804">
        <v>3</v>
      </c>
      <c r="I804">
        <v>2</v>
      </c>
      <c r="J804" t="s">
        <v>43</v>
      </c>
      <c r="K804" t="s">
        <v>43</v>
      </c>
      <c r="L804" t="s">
        <v>42</v>
      </c>
      <c r="M804" t="s">
        <v>42</v>
      </c>
      <c r="N804" t="s">
        <v>43</v>
      </c>
      <c r="O804">
        <v>3</v>
      </c>
      <c r="P804">
        <v>3</v>
      </c>
      <c r="Q804">
        <v>2</v>
      </c>
      <c r="R804">
        <v>1</v>
      </c>
      <c r="S804">
        <v>1</v>
      </c>
      <c r="T804">
        <f t="shared" si="60"/>
        <v>2</v>
      </c>
      <c r="U804" t="str" cm="1">
        <f t="array" ref="U804">_xlfn.IFS(T804&lt;3, "low", AND(T804&gt;=3, T804&lt;5), "med", T804&gt;=5, "high")</f>
        <v>low</v>
      </c>
      <c r="V804">
        <v>0</v>
      </c>
      <c r="W804" t="str" cm="1">
        <f t="array" ref="W804">_xlfn.IFS(V804&lt;5, "low", AND(V804&gt;=5, V804&lt;10), "med", V804&gt;=10, "high")</f>
        <v>low</v>
      </c>
      <c r="X804">
        <v>9</v>
      </c>
      <c r="Y804">
        <v>12</v>
      </c>
      <c r="Z804">
        <v>12</v>
      </c>
      <c r="AA804">
        <f t="shared" si="61"/>
        <v>0</v>
      </c>
      <c r="AB804">
        <f t="shared" si="62"/>
        <v>0</v>
      </c>
      <c r="AC804">
        <f t="shared" si="63"/>
        <v>0</v>
      </c>
      <c r="AD804" s="1">
        <f t="shared" si="64"/>
        <v>11</v>
      </c>
    </row>
    <row r="805" spans="1:30" x14ac:dyDescent="0.35">
      <c r="A805" t="s">
        <v>50</v>
      </c>
      <c r="B805">
        <v>18</v>
      </c>
      <c r="C805" t="s">
        <v>35</v>
      </c>
      <c r="D805" t="s">
        <v>47</v>
      </c>
      <c r="E805" t="s">
        <v>44</v>
      </c>
      <c r="F805" t="s">
        <v>48</v>
      </c>
      <c r="G805" t="s">
        <v>48</v>
      </c>
      <c r="H805">
        <v>2</v>
      </c>
      <c r="I805">
        <v>0</v>
      </c>
      <c r="J805" t="s">
        <v>43</v>
      </c>
      <c r="K805" t="s">
        <v>42</v>
      </c>
      <c r="L805" t="s">
        <v>43</v>
      </c>
      <c r="M805" t="s">
        <v>42</v>
      </c>
      <c r="N805" t="s">
        <v>43</v>
      </c>
      <c r="O805">
        <v>4</v>
      </c>
      <c r="P805">
        <v>4</v>
      </c>
      <c r="Q805">
        <v>4</v>
      </c>
      <c r="R805">
        <v>1</v>
      </c>
      <c r="S805">
        <v>3</v>
      </c>
      <c r="T805">
        <f t="shared" si="60"/>
        <v>4</v>
      </c>
      <c r="U805" t="str" cm="1">
        <f t="array" ref="U805">_xlfn.IFS(T805&lt;3, "low", AND(T805&gt;=3, T805&lt;5), "med", T805&gt;=5, "high")</f>
        <v>med</v>
      </c>
      <c r="V805">
        <v>11</v>
      </c>
      <c r="W805" t="str" cm="1">
        <f t="array" ref="W805">_xlfn.IFS(V805&lt;5, "low", AND(V805&gt;=5, V805&lt;10), "med", V805&gt;=10, "high")</f>
        <v>high</v>
      </c>
      <c r="X805">
        <v>9</v>
      </c>
      <c r="Y805">
        <v>11</v>
      </c>
      <c r="Z805">
        <v>12</v>
      </c>
      <c r="AA805">
        <f t="shared" si="61"/>
        <v>0</v>
      </c>
      <c r="AB805">
        <f t="shared" si="62"/>
        <v>0</v>
      </c>
      <c r="AC805">
        <f t="shared" si="63"/>
        <v>0</v>
      </c>
      <c r="AD805" s="1">
        <f t="shared" si="64"/>
        <v>10.666666666666666</v>
      </c>
    </row>
    <row r="806" spans="1:30" x14ac:dyDescent="0.35">
      <c r="A806" t="s">
        <v>50</v>
      </c>
      <c r="B806">
        <v>18</v>
      </c>
      <c r="C806" t="s">
        <v>35</v>
      </c>
      <c r="D806" t="s">
        <v>47</v>
      </c>
      <c r="E806" t="s">
        <v>37</v>
      </c>
      <c r="F806" t="s">
        <v>45</v>
      </c>
      <c r="G806" t="s">
        <v>45</v>
      </c>
      <c r="H806">
        <v>2</v>
      </c>
      <c r="I806">
        <v>0</v>
      </c>
      <c r="J806" t="s">
        <v>43</v>
      </c>
      <c r="K806" t="s">
        <v>43</v>
      </c>
      <c r="L806" t="s">
        <v>43</v>
      </c>
      <c r="M806" t="s">
        <v>42</v>
      </c>
      <c r="N806" t="s">
        <v>42</v>
      </c>
      <c r="O806">
        <v>4</v>
      </c>
      <c r="P806">
        <v>3</v>
      </c>
      <c r="Q806">
        <v>5</v>
      </c>
      <c r="R806">
        <v>1</v>
      </c>
      <c r="S806">
        <v>4</v>
      </c>
      <c r="T806">
        <f t="shared" si="60"/>
        <v>5</v>
      </c>
      <c r="U806" t="str" cm="1">
        <f t="array" ref="U806">_xlfn.IFS(T806&lt;3, "low", AND(T806&gt;=3, T806&lt;5), "med", T806&gt;=5, "high")</f>
        <v>high</v>
      </c>
      <c r="V806">
        <v>9</v>
      </c>
      <c r="W806" t="str" cm="1">
        <f t="array" ref="W806">_xlfn.IFS(V806&lt;5, "low", AND(V806&gt;=5, V806&lt;10), "med", V806&gt;=10, "high")</f>
        <v>med</v>
      </c>
      <c r="X806">
        <v>13</v>
      </c>
      <c r="Y806">
        <v>14</v>
      </c>
      <c r="Z806">
        <v>15</v>
      </c>
      <c r="AA806">
        <f t="shared" si="61"/>
        <v>0</v>
      </c>
      <c r="AB806">
        <f t="shared" si="62"/>
        <v>0</v>
      </c>
      <c r="AC806">
        <f t="shared" si="63"/>
        <v>0</v>
      </c>
      <c r="AD806" s="1">
        <f t="shared" si="64"/>
        <v>14</v>
      </c>
    </row>
    <row r="807" spans="1:30" x14ac:dyDescent="0.35">
      <c r="A807" t="s">
        <v>34</v>
      </c>
      <c r="B807">
        <v>17</v>
      </c>
      <c r="C807" t="s">
        <v>35</v>
      </c>
      <c r="D807" t="s">
        <v>36</v>
      </c>
      <c r="E807" t="s">
        <v>44</v>
      </c>
      <c r="F807" t="s">
        <v>48</v>
      </c>
      <c r="G807" t="s">
        <v>48</v>
      </c>
      <c r="H807">
        <v>2</v>
      </c>
      <c r="I807">
        <v>0</v>
      </c>
      <c r="J807" t="s">
        <v>43</v>
      </c>
      <c r="K807" t="s">
        <v>42</v>
      </c>
      <c r="L807" t="s">
        <v>43</v>
      </c>
      <c r="M807" t="s">
        <v>42</v>
      </c>
      <c r="N807" t="s">
        <v>43</v>
      </c>
      <c r="O807">
        <v>4</v>
      </c>
      <c r="P807">
        <v>3</v>
      </c>
      <c r="Q807">
        <v>4</v>
      </c>
      <c r="R807">
        <v>1</v>
      </c>
      <c r="S807">
        <v>3</v>
      </c>
      <c r="T807">
        <f t="shared" si="60"/>
        <v>4</v>
      </c>
      <c r="U807" t="str" cm="1">
        <f t="array" ref="U807">_xlfn.IFS(T807&lt;3, "low", AND(T807&gt;=3, T807&lt;5), "med", T807&gt;=5, "high")</f>
        <v>med</v>
      </c>
      <c r="V807">
        <v>0</v>
      </c>
      <c r="W807" t="str" cm="1">
        <f t="array" ref="W807">_xlfn.IFS(V807&lt;5, "low", AND(V807&gt;=5, V807&lt;10), "med", V807&gt;=10, "high")</f>
        <v>low</v>
      </c>
      <c r="X807">
        <v>13</v>
      </c>
      <c r="Y807">
        <v>17</v>
      </c>
      <c r="Z807">
        <v>17</v>
      </c>
      <c r="AA807">
        <f t="shared" si="61"/>
        <v>0</v>
      </c>
      <c r="AB807">
        <f t="shared" si="62"/>
        <v>0</v>
      </c>
      <c r="AC807">
        <f t="shared" si="63"/>
        <v>0</v>
      </c>
      <c r="AD807" s="1">
        <f t="shared" si="64"/>
        <v>15.666666666666666</v>
      </c>
    </row>
    <row r="808" spans="1:30" x14ac:dyDescent="0.35">
      <c r="A808" t="s">
        <v>50</v>
      </c>
      <c r="B808">
        <v>17</v>
      </c>
      <c r="C808" t="s">
        <v>35</v>
      </c>
      <c r="D808" t="s">
        <v>47</v>
      </c>
      <c r="E808" t="s">
        <v>37</v>
      </c>
      <c r="F808" t="s">
        <v>28</v>
      </c>
      <c r="G808" t="s">
        <v>45</v>
      </c>
      <c r="H808">
        <v>3</v>
      </c>
      <c r="I808">
        <v>0</v>
      </c>
      <c r="J808" t="s">
        <v>43</v>
      </c>
      <c r="K808" t="s">
        <v>42</v>
      </c>
      <c r="L808" t="s">
        <v>43</v>
      </c>
      <c r="M808" t="s">
        <v>43</v>
      </c>
      <c r="N808" t="s">
        <v>43</v>
      </c>
      <c r="O808">
        <v>4</v>
      </c>
      <c r="P808">
        <v>4</v>
      </c>
      <c r="Q808">
        <v>2</v>
      </c>
      <c r="R808">
        <v>1</v>
      </c>
      <c r="S808">
        <v>2</v>
      </c>
      <c r="T808">
        <f t="shared" si="60"/>
        <v>3</v>
      </c>
      <c r="U808" t="str" cm="1">
        <f t="array" ref="U808">_xlfn.IFS(T808&lt;3, "low", AND(T808&gt;=3, T808&lt;5), "med", T808&gt;=5, "high")</f>
        <v>med</v>
      </c>
      <c r="V808">
        <v>2</v>
      </c>
      <c r="W808" t="str" cm="1">
        <f t="array" ref="W808">_xlfn.IFS(V808&lt;5, "low", AND(V808&gt;=5, V808&lt;10), "med", V808&gt;=10, "high")</f>
        <v>low</v>
      </c>
      <c r="X808">
        <v>12</v>
      </c>
      <c r="Y808">
        <v>15</v>
      </c>
      <c r="Z808">
        <v>15</v>
      </c>
      <c r="AA808">
        <f t="shared" si="61"/>
        <v>0</v>
      </c>
      <c r="AB808">
        <f t="shared" si="62"/>
        <v>0</v>
      </c>
      <c r="AC808">
        <f t="shared" si="63"/>
        <v>0</v>
      </c>
      <c r="AD808" s="1">
        <f t="shared" si="64"/>
        <v>14</v>
      </c>
    </row>
    <row r="809" spans="1:30" x14ac:dyDescent="0.35">
      <c r="A809" t="s">
        <v>34</v>
      </c>
      <c r="B809">
        <v>18</v>
      </c>
      <c r="C809" t="s">
        <v>35</v>
      </c>
      <c r="D809" t="s">
        <v>47</v>
      </c>
      <c r="E809" t="s">
        <v>44</v>
      </c>
      <c r="F809" t="s">
        <v>39</v>
      </c>
      <c r="G809" t="s">
        <v>45</v>
      </c>
      <c r="H809">
        <v>2</v>
      </c>
      <c r="I809">
        <v>0</v>
      </c>
      <c r="J809" t="s">
        <v>43</v>
      </c>
      <c r="K809" t="s">
        <v>42</v>
      </c>
      <c r="L809" t="s">
        <v>43</v>
      </c>
      <c r="M809" t="s">
        <v>42</v>
      </c>
      <c r="N809" t="s">
        <v>43</v>
      </c>
      <c r="O809">
        <v>4</v>
      </c>
      <c r="P809">
        <v>2</v>
      </c>
      <c r="Q809">
        <v>2</v>
      </c>
      <c r="R809">
        <v>1</v>
      </c>
      <c r="S809">
        <v>1</v>
      </c>
      <c r="T809">
        <f t="shared" si="60"/>
        <v>2</v>
      </c>
      <c r="U809" t="str" cm="1">
        <f t="array" ref="U809">_xlfn.IFS(T809&lt;3, "low", AND(T809&gt;=3, T809&lt;5), "med", T809&gt;=5, "high")</f>
        <v>low</v>
      </c>
      <c r="V809">
        <v>0</v>
      </c>
      <c r="W809" t="str" cm="1">
        <f t="array" ref="W809">_xlfn.IFS(V809&lt;5, "low", AND(V809&gt;=5, V809&lt;10), "med", V809&gt;=10, "high")</f>
        <v>low</v>
      </c>
      <c r="X809">
        <v>14</v>
      </c>
      <c r="Y809">
        <v>17</v>
      </c>
      <c r="Z809">
        <v>17</v>
      </c>
      <c r="AA809">
        <f t="shared" si="61"/>
        <v>0</v>
      </c>
      <c r="AB809">
        <f t="shared" si="62"/>
        <v>0</v>
      </c>
      <c r="AC809">
        <f t="shared" si="63"/>
        <v>0</v>
      </c>
      <c r="AD809" s="1">
        <f t="shared" si="64"/>
        <v>16</v>
      </c>
    </row>
    <row r="810" spans="1:30" x14ac:dyDescent="0.35">
      <c r="A810" t="s">
        <v>50</v>
      </c>
      <c r="B810">
        <v>21</v>
      </c>
      <c r="C810" t="s">
        <v>52</v>
      </c>
      <c r="D810" t="s">
        <v>47</v>
      </c>
      <c r="E810" t="s">
        <v>44</v>
      </c>
      <c r="F810" t="s">
        <v>38</v>
      </c>
      <c r="G810" t="s">
        <v>45</v>
      </c>
      <c r="H810">
        <v>2</v>
      </c>
      <c r="I810">
        <v>2</v>
      </c>
      <c r="J810" t="s">
        <v>43</v>
      </c>
      <c r="K810" t="s">
        <v>42</v>
      </c>
      <c r="L810" t="s">
        <v>43</v>
      </c>
      <c r="M810" t="s">
        <v>42</v>
      </c>
      <c r="N810" t="s">
        <v>42</v>
      </c>
      <c r="O810">
        <v>5</v>
      </c>
      <c r="P810">
        <v>3</v>
      </c>
      <c r="Q810">
        <v>3</v>
      </c>
      <c r="R810">
        <v>5</v>
      </c>
      <c r="S810">
        <v>2</v>
      </c>
      <c r="T810">
        <f t="shared" si="60"/>
        <v>7</v>
      </c>
      <c r="U810" t="str" cm="1">
        <f t="array" ref="U810">_xlfn.IFS(T810&lt;3, "low", AND(T810&gt;=3, T810&lt;5), "med", T810&gt;=5, "high")</f>
        <v>high</v>
      </c>
      <c r="V810">
        <v>21</v>
      </c>
      <c r="W810" t="str" cm="1">
        <f t="array" ref="W810">_xlfn.IFS(V810&lt;5, "low", AND(V810&gt;=5, V810&lt;10), "med", V810&gt;=10, "high")</f>
        <v>high</v>
      </c>
      <c r="X810">
        <v>9</v>
      </c>
      <c r="Y810">
        <v>10</v>
      </c>
      <c r="Z810">
        <v>10</v>
      </c>
      <c r="AA810">
        <f t="shared" si="61"/>
        <v>0</v>
      </c>
      <c r="AB810">
        <f t="shared" si="62"/>
        <v>0</v>
      </c>
      <c r="AC810">
        <f t="shared" si="63"/>
        <v>0</v>
      </c>
      <c r="AD810" s="1">
        <f t="shared" si="64"/>
        <v>9.6666666666666661</v>
      </c>
    </row>
    <row r="811" spans="1:30" x14ac:dyDescent="0.35">
      <c r="A811" t="s">
        <v>34</v>
      </c>
      <c r="B811">
        <v>20</v>
      </c>
      <c r="C811" t="s">
        <v>52</v>
      </c>
      <c r="D811" t="s">
        <v>36</v>
      </c>
      <c r="E811" t="s">
        <v>44</v>
      </c>
      <c r="F811" t="s">
        <v>45</v>
      </c>
      <c r="G811" t="s">
        <v>45</v>
      </c>
      <c r="H811">
        <v>3</v>
      </c>
      <c r="I811">
        <v>0</v>
      </c>
      <c r="J811" t="s">
        <v>43</v>
      </c>
      <c r="K811" t="s">
        <v>43</v>
      </c>
      <c r="L811" t="s">
        <v>43</v>
      </c>
      <c r="M811" t="s">
        <v>43</v>
      </c>
      <c r="N811" t="s">
        <v>42</v>
      </c>
      <c r="O811">
        <v>3</v>
      </c>
      <c r="P811">
        <v>2</v>
      </c>
      <c r="Q811">
        <v>2</v>
      </c>
      <c r="R811">
        <v>1</v>
      </c>
      <c r="S811">
        <v>3</v>
      </c>
      <c r="T811">
        <f t="shared" si="60"/>
        <v>4</v>
      </c>
      <c r="U811" t="str" cm="1">
        <f t="array" ref="U811">_xlfn.IFS(T811&lt;3, "low", AND(T811&gt;=3, T811&lt;5), "med", T811&gt;=5, "high")</f>
        <v>med</v>
      </c>
      <c r="V811">
        <v>8</v>
      </c>
      <c r="W811" t="str" cm="1">
        <f t="array" ref="W811">_xlfn.IFS(V811&lt;5, "low", AND(V811&gt;=5, V811&lt;10), "med", V811&gt;=10, "high")</f>
        <v>med</v>
      </c>
      <c r="X811">
        <v>11</v>
      </c>
      <c r="Y811">
        <v>15</v>
      </c>
      <c r="Z811">
        <v>15</v>
      </c>
      <c r="AA811">
        <f t="shared" si="61"/>
        <v>0</v>
      </c>
      <c r="AB811">
        <f t="shared" si="62"/>
        <v>0</v>
      </c>
      <c r="AC811">
        <f t="shared" si="63"/>
        <v>0</v>
      </c>
      <c r="AD811" s="1">
        <f t="shared" si="64"/>
        <v>13.666666666666666</v>
      </c>
    </row>
    <row r="812" spans="1:30" x14ac:dyDescent="0.35">
      <c r="A812" t="s">
        <v>34</v>
      </c>
      <c r="B812">
        <v>19</v>
      </c>
      <c r="C812" t="s">
        <v>35</v>
      </c>
      <c r="D812" t="s">
        <v>36</v>
      </c>
      <c r="E812" t="s">
        <v>44</v>
      </c>
      <c r="F812" t="s">
        <v>39</v>
      </c>
      <c r="G812" t="s">
        <v>45</v>
      </c>
      <c r="H812">
        <v>1</v>
      </c>
      <c r="I812">
        <v>1</v>
      </c>
      <c r="J812" t="s">
        <v>43</v>
      </c>
      <c r="K812" t="s">
        <v>42</v>
      </c>
      <c r="L812" t="s">
        <v>43</v>
      </c>
      <c r="M812" t="s">
        <v>43</v>
      </c>
      <c r="N812" t="s">
        <v>42</v>
      </c>
      <c r="O812">
        <v>3</v>
      </c>
      <c r="P812">
        <v>2</v>
      </c>
      <c r="Q812">
        <v>5</v>
      </c>
      <c r="R812">
        <v>4</v>
      </c>
      <c r="S812">
        <v>4</v>
      </c>
      <c r="T812">
        <f t="shared" si="60"/>
        <v>8</v>
      </c>
      <c r="U812" t="str" cm="1">
        <f t="array" ref="U812">_xlfn.IFS(T812&lt;3, "low", AND(T812&gt;=3, T812&lt;5), "med", T812&gt;=5, "high")</f>
        <v>high</v>
      </c>
      <c r="V812">
        <v>5</v>
      </c>
      <c r="W812" t="str" cm="1">
        <f t="array" ref="W812">_xlfn.IFS(V812&lt;5, "low", AND(V812&gt;=5, V812&lt;10), "med", V812&gt;=10, "high")</f>
        <v>med</v>
      </c>
      <c r="X812">
        <v>9</v>
      </c>
      <c r="Y812">
        <v>10</v>
      </c>
      <c r="Z812">
        <v>11</v>
      </c>
      <c r="AA812">
        <f t="shared" si="61"/>
        <v>0</v>
      </c>
      <c r="AB812">
        <f t="shared" si="62"/>
        <v>0</v>
      </c>
      <c r="AC812">
        <f t="shared" si="63"/>
        <v>0</v>
      </c>
      <c r="AD812" s="1">
        <f t="shared" si="64"/>
        <v>10</v>
      </c>
    </row>
    <row r="813" spans="1:30" x14ac:dyDescent="0.35">
      <c r="A813" t="s">
        <v>50</v>
      </c>
      <c r="B813">
        <v>17</v>
      </c>
      <c r="C813" t="s">
        <v>35</v>
      </c>
      <c r="D813" t="s">
        <v>47</v>
      </c>
      <c r="E813" t="s">
        <v>37</v>
      </c>
      <c r="F813" t="s">
        <v>45</v>
      </c>
      <c r="G813" t="s">
        <v>45</v>
      </c>
      <c r="H813">
        <v>2</v>
      </c>
      <c r="I813">
        <v>0</v>
      </c>
      <c r="J813" t="s">
        <v>43</v>
      </c>
      <c r="K813" t="s">
        <v>42</v>
      </c>
      <c r="L813" t="s">
        <v>43</v>
      </c>
      <c r="M813" t="s">
        <v>43</v>
      </c>
      <c r="N813" t="s">
        <v>43</v>
      </c>
      <c r="O813">
        <v>4</v>
      </c>
      <c r="P813">
        <v>4</v>
      </c>
      <c r="Q813">
        <v>4</v>
      </c>
      <c r="R813">
        <v>1</v>
      </c>
      <c r="S813">
        <v>2</v>
      </c>
      <c r="T813">
        <f t="shared" si="60"/>
        <v>3</v>
      </c>
      <c r="U813" t="str" cm="1">
        <f t="array" ref="U813">_xlfn.IFS(T813&lt;3, "low", AND(T813&gt;=3, T813&lt;5), "med", T813&gt;=5, "high")</f>
        <v>med</v>
      </c>
      <c r="V813">
        <v>10</v>
      </c>
      <c r="W813" t="str" cm="1">
        <f t="array" ref="W813">_xlfn.IFS(V813&lt;5, "low", AND(V813&gt;=5, V813&lt;10), "med", V813&gt;=10, "high")</f>
        <v>high</v>
      </c>
      <c r="X813">
        <v>16</v>
      </c>
      <c r="Y813">
        <v>18</v>
      </c>
      <c r="Z813">
        <v>18</v>
      </c>
      <c r="AA813">
        <f t="shared" si="61"/>
        <v>0</v>
      </c>
      <c r="AB813">
        <f t="shared" si="62"/>
        <v>0</v>
      </c>
      <c r="AC813">
        <f t="shared" si="63"/>
        <v>0</v>
      </c>
      <c r="AD813" s="1">
        <f t="shared" si="64"/>
        <v>17.333333333333332</v>
      </c>
    </row>
    <row r="814" spans="1:30" x14ac:dyDescent="0.35">
      <c r="A814" t="s">
        <v>34</v>
      </c>
      <c r="B814">
        <v>18</v>
      </c>
      <c r="C814" t="s">
        <v>35</v>
      </c>
      <c r="D814" t="s">
        <v>36</v>
      </c>
      <c r="E814" t="s">
        <v>44</v>
      </c>
      <c r="F814" t="s">
        <v>38</v>
      </c>
      <c r="G814" t="s">
        <v>45</v>
      </c>
      <c r="H814">
        <v>3</v>
      </c>
      <c r="I814">
        <v>0</v>
      </c>
      <c r="J814" t="s">
        <v>43</v>
      </c>
      <c r="K814" t="s">
        <v>42</v>
      </c>
      <c r="L814" t="s">
        <v>43</v>
      </c>
      <c r="M814" t="s">
        <v>43</v>
      </c>
      <c r="N814" t="s">
        <v>42</v>
      </c>
      <c r="O814">
        <v>4</v>
      </c>
      <c r="P814">
        <v>3</v>
      </c>
      <c r="Q814">
        <v>4</v>
      </c>
      <c r="R814">
        <v>1</v>
      </c>
      <c r="S814">
        <v>2</v>
      </c>
      <c r="T814">
        <f t="shared" si="60"/>
        <v>3</v>
      </c>
      <c r="U814" t="str" cm="1">
        <f t="array" ref="U814">_xlfn.IFS(T814&lt;3, "low", AND(T814&gt;=3, T814&lt;5), "med", T814&gt;=5, "high")</f>
        <v>med</v>
      </c>
      <c r="V814">
        <v>5</v>
      </c>
      <c r="W814" t="str" cm="1">
        <f t="array" ref="W814">_xlfn.IFS(V814&lt;5, "low", AND(V814&gt;=5, V814&lt;10), "med", V814&gt;=10, "high")</f>
        <v>med</v>
      </c>
      <c r="X814">
        <v>14</v>
      </c>
      <c r="Y814">
        <v>17</v>
      </c>
      <c r="Z814">
        <v>17</v>
      </c>
      <c r="AA814">
        <f t="shared" si="61"/>
        <v>0</v>
      </c>
      <c r="AB814">
        <f t="shared" si="62"/>
        <v>0</v>
      </c>
      <c r="AC814">
        <f t="shared" si="63"/>
        <v>0</v>
      </c>
      <c r="AD814" s="1">
        <f t="shared" si="64"/>
        <v>16</v>
      </c>
    </row>
    <row r="815" spans="1:30" x14ac:dyDescent="0.35">
      <c r="A815" t="s">
        <v>50</v>
      </c>
      <c r="B815">
        <v>18</v>
      </c>
      <c r="C815" t="s">
        <v>52</v>
      </c>
      <c r="D815" t="s">
        <v>36</v>
      </c>
      <c r="E815" t="s">
        <v>44</v>
      </c>
      <c r="F815" t="s">
        <v>45</v>
      </c>
      <c r="G815" t="s">
        <v>48</v>
      </c>
      <c r="H815">
        <v>1</v>
      </c>
      <c r="I815">
        <v>0</v>
      </c>
      <c r="J815" t="s">
        <v>43</v>
      </c>
      <c r="K815" t="s">
        <v>43</v>
      </c>
      <c r="L815" t="s">
        <v>43</v>
      </c>
      <c r="M815" t="s">
        <v>43</v>
      </c>
      <c r="N815" t="s">
        <v>43</v>
      </c>
      <c r="O815">
        <v>3</v>
      </c>
      <c r="P815">
        <v>1</v>
      </c>
      <c r="Q815">
        <v>3</v>
      </c>
      <c r="R815">
        <v>4</v>
      </c>
      <c r="S815">
        <v>5</v>
      </c>
      <c r="T815">
        <f t="shared" si="60"/>
        <v>9</v>
      </c>
      <c r="U815" t="str" cm="1">
        <f t="array" ref="U815">_xlfn.IFS(T815&lt;3, "low", AND(T815&gt;=3, T815&lt;5), "med", T815&gt;=5, "high")</f>
        <v>high</v>
      </c>
      <c r="V815">
        <v>13</v>
      </c>
      <c r="W815" t="str" cm="1">
        <f t="array" ref="W815">_xlfn.IFS(V815&lt;5, "low", AND(V815&gt;=5, V815&lt;10), "med", V815&gt;=10, "high")</f>
        <v>high</v>
      </c>
      <c r="X815">
        <v>13</v>
      </c>
      <c r="Y815">
        <v>14</v>
      </c>
      <c r="Z815">
        <v>14</v>
      </c>
      <c r="AA815">
        <f t="shared" si="61"/>
        <v>0</v>
      </c>
      <c r="AB815">
        <f t="shared" si="62"/>
        <v>0</v>
      </c>
      <c r="AC815">
        <f t="shared" si="63"/>
        <v>0</v>
      </c>
      <c r="AD815" s="1">
        <f t="shared" si="64"/>
        <v>13.666666666666666</v>
      </c>
    </row>
    <row r="816" spans="1:30" x14ac:dyDescent="0.35">
      <c r="A816" t="s">
        <v>50</v>
      </c>
      <c r="B816">
        <v>19</v>
      </c>
      <c r="C816" t="s">
        <v>35</v>
      </c>
      <c r="D816" t="s">
        <v>36</v>
      </c>
      <c r="E816" t="s">
        <v>44</v>
      </c>
      <c r="F816" t="s">
        <v>45</v>
      </c>
      <c r="G816" t="s">
        <v>45</v>
      </c>
      <c r="H816">
        <v>1</v>
      </c>
      <c r="I816">
        <v>0</v>
      </c>
      <c r="J816" t="s">
        <v>43</v>
      </c>
      <c r="K816" t="s">
        <v>43</v>
      </c>
      <c r="L816" t="s">
        <v>43</v>
      </c>
      <c r="M816" t="s">
        <v>43</v>
      </c>
      <c r="N816" t="s">
        <v>43</v>
      </c>
      <c r="O816">
        <v>5</v>
      </c>
      <c r="P816">
        <v>3</v>
      </c>
      <c r="Q816">
        <v>4</v>
      </c>
      <c r="R816">
        <v>1</v>
      </c>
      <c r="S816">
        <v>4</v>
      </c>
      <c r="T816">
        <f t="shared" si="60"/>
        <v>5</v>
      </c>
      <c r="U816" t="str" cm="1">
        <f t="array" ref="U816">_xlfn.IFS(T816&lt;3, "low", AND(T816&gt;=3, T816&lt;5), "med", T816&gt;=5, "high")</f>
        <v>high</v>
      </c>
      <c r="V816">
        <v>10</v>
      </c>
      <c r="W816" t="str" cm="1">
        <f t="array" ref="W816">_xlfn.IFS(V816&lt;5, "low", AND(V816&gt;=5, V816&lt;10), "med", V816&gt;=10, "high")</f>
        <v>high</v>
      </c>
      <c r="X816">
        <v>7</v>
      </c>
      <c r="Y816">
        <v>11</v>
      </c>
      <c r="Z816">
        <v>11</v>
      </c>
      <c r="AA816">
        <f t="shared" si="61"/>
        <v>0</v>
      </c>
      <c r="AB816">
        <f t="shared" si="62"/>
        <v>0</v>
      </c>
      <c r="AC816">
        <f t="shared" si="63"/>
        <v>0</v>
      </c>
      <c r="AD816" s="1">
        <f t="shared" si="64"/>
        <v>9.6666666666666661</v>
      </c>
    </row>
    <row r="817" spans="1:30" x14ac:dyDescent="0.35">
      <c r="A817" t="s">
        <v>34</v>
      </c>
      <c r="B817">
        <v>18</v>
      </c>
      <c r="C817" t="s">
        <v>35</v>
      </c>
      <c r="D817" t="s">
        <v>47</v>
      </c>
      <c r="E817" t="s">
        <v>37</v>
      </c>
      <c r="F817" t="s">
        <v>48</v>
      </c>
      <c r="G817" t="s">
        <v>45</v>
      </c>
      <c r="H817">
        <v>2</v>
      </c>
      <c r="I817">
        <v>0</v>
      </c>
      <c r="J817" t="s">
        <v>43</v>
      </c>
      <c r="K817" t="s">
        <v>42</v>
      </c>
      <c r="L817" t="s">
        <v>43</v>
      </c>
      <c r="M817" t="s">
        <v>43</v>
      </c>
      <c r="N817" t="s">
        <v>43</v>
      </c>
      <c r="O817">
        <v>4</v>
      </c>
      <c r="P817">
        <v>1</v>
      </c>
      <c r="Q817">
        <v>4</v>
      </c>
      <c r="R817">
        <v>1</v>
      </c>
      <c r="S817">
        <v>3</v>
      </c>
      <c r="T817">
        <f t="shared" si="60"/>
        <v>4</v>
      </c>
      <c r="U817" t="str" cm="1">
        <f t="array" ref="U817">_xlfn.IFS(T817&lt;3, "low", AND(T817&gt;=3, T817&lt;5), "med", T817&gt;=5, "high")</f>
        <v>med</v>
      </c>
      <c r="V817">
        <v>10</v>
      </c>
      <c r="W817" t="str" cm="1">
        <f t="array" ref="W817">_xlfn.IFS(V817&lt;5, "low", AND(V817&gt;=5, V817&lt;10), "med", V817&gt;=10, "high")</f>
        <v>high</v>
      </c>
      <c r="X817">
        <v>14</v>
      </c>
      <c r="Y817">
        <v>17</v>
      </c>
      <c r="Z817">
        <v>17</v>
      </c>
      <c r="AA817">
        <f t="shared" si="61"/>
        <v>0</v>
      </c>
      <c r="AB817">
        <f t="shared" si="62"/>
        <v>0</v>
      </c>
      <c r="AC817">
        <f t="shared" si="63"/>
        <v>0</v>
      </c>
      <c r="AD817" s="1">
        <f t="shared" si="64"/>
        <v>16</v>
      </c>
    </row>
    <row r="818" spans="1:30" x14ac:dyDescent="0.35">
      <c r="A818" t="s">
        <v>34</v>
      </c>
      <c r="B818">
        <v>20</v>
      </c>
      <c r="C818" t="s">
        <v>35</v>
      </c>
      <c r="D818" t="s">
        <v>36</v>
      </c>
      <c r="E818" t="s">
        <v>44</v>
      </c>
      <c r="F818" t="s">
        <v>45</v>
      </c>
      <c r="G818" t="s">
        <v>45</v>
      </c>
      <c r="H818">
        <v>1</v>
      </c>
      <c r="I818">
        <v>1</v>
      </c>
      <c r="J818" t="s">
        <v>42</v>
      </c>
      <c r="K818" t="s">
        <v>43</v>
      </c>
      <c r="L818" t="s">
        <v>43</v>
      </c>
      <c r="M818" t="s">
        <v>43</v>
      </c>
      <c r="N818" t="s">
        <v>42</v>
      </c>
      <c r="O818">
        <v>5</v>
      </c>
      <c r="P818">
        <v>3</v>
      </c>
      <c r="Q818">
        <v>1</v>
      </c>
      <c r="R818">
        <v>1</v>
      </c>
      <c r="S818">
        <v>1</v>
      </c>
      <c r="T818">
        <f t="shared" si="60"/>
        <v>2</v>
      </c>
      <c r="U818" t="str" cm="1">
        <f t="array" ref="U818">_xlfn.IFS(T818&lt;3, "low", AND(T818&gt;=3, T818&lt;5), "med", T818&gt;=5, "high")</f>
        <v>low</v>
      </c>
      <c r="V818">
        <v>5</v>
      </c>
      <c r="W818" t="str" cm="1">
        <f t="array" ref="W818">_xlfn.IFS(V818&lt;5, "low", AND(V818&gt;=5, V818&lt;10), "med", V818&gt;=10, "high")</f>
        <v>med</v>
      </c>
      <c r="X818">
        <v>8</v>
      </c>
      <c r="Y818">
        <v>10</v>
      </c>
      <c r="Z818">
        <v>10</v>
      </c>
      <c r="AA818">
        <f t="shared" si="61"/>
        <v>0</v>
      </c>
      <c r="AB818">
        <f t="shared" si="62"/>
        <v>0</v>
      </c>
      <c r="AC818">
        <f t="shared" si="63"/>
        <v>0</v>
      </c>
      <c r="AD818" s="1">
        <f t="shared" si="64"/>
        <v>9.3333333333333339</v>
      </c>
    </row>
    <row r="819" spans="1:30" x14ac:dyDescent="0.35">
      <c r="A819" t="s">
        <v>34</v>
      </c>
      <c r="B819">
        <v>18</v>
      </c>
      <c r="C819" t="s">
        <v>35</v>
      </c>
      <c r="D819" t="s">
        <v>36</v>
      </c>
      <c r="E819" t="s">
        <v>44</v>
      </c>
      <c r="F819" t="s">
        <v>48</v>
      </c>
      <c r="G819" t="s">
        <v>45</v>
      </c>
      <c r="H819">
        <v>2</v>
      </c>
      <c r="I819">
        <v>0</v>
      </c>
      <c r="J819" t="s">
        <v>43</v>
      </c>
      <c r="K819" t="s">
        <v>42</v>
      </c>
      <c r="L819" t="s">
        <v>43</v>
      </c>
      <c r="M819" t="s">
        <v>42</v>
      </c>
      <c r="N819" t="s">
        <v>42</v>
      </c>
      <c r="O819">
        <v>3</v>
      </c>
      <c r="P819">
        <v>1</v>
      </c>
      <c r="Q819">
        <v>2</v>
      </c>
      <c r="R819">
        <v>1</v>
      </c>
      <c r="S819">
        <v>2</v>
      </c>
      <c r="T819">
        <f t="shared" si="60"/>
        <v>3</v>
      </c>
      <c r="U819" t="str" cm="1">
        <f t="array" ref="U819">_xlfn.IFS(T819&lt;3, "low", AND(T819&gt;=3, T819&lt;5), "med", T819&gt;=5, "high")</f>
        <v>med</v>
      </c>
      <c r="V819">
        <v>4</v>
      </c>
      <c r="W819" t="str" cm="1">
        <f t="array" ref="W819">_xlfn.IFS(V819&lt;5, "low", AND(V819&gt;=5, V819&lt;10), "med", V819&gt;=10, "high")</f>
        <v>low</v>
      </c>
      <c r="X819">
        <v>10</v>
      </c>
      <c r="Y819">
        <v>13</v>
      </c>
      <c r="Z819">
        <v>13</v>
      </c>
      <c r="AA819">
        <f t="shared" si="61"/>
        <v>0</v>
      </c>
      <c r="AB819">
        <f t="shared" si="62"/>
        <v>0</v>
      </c>
      <c r="AC819">
        <f t="shared" si="63"/>
        <v>0</v>
      </c>
      <c r="AD819" s="1">
        <f t="shared" si="64"/>
        <v>12</v>
      </c>
    </row>
    <row r="820" spans="1:30" x14ac:dyDescent="0.35">
      <c r="A820" t="s">
        <v>34</v>
      </c>
      <c r="B820">
        <v>16</v>
      </c>
      <c r="C820" t="s">
        <v>35</v>
      </c>
      <c r="D820" t="s">
        <v>36</v>
      </c>
      <c r="E820" t="s">
        <v>44</v>
      </c>
      <c r="F820" t="s">
        <v>38</v>
      </c>
      <c r="G820" t="s">
        <v>45</v>
      </c>
      <c r="H820">
        <v>1</v>
      </c>
      <c r="I820">
        <v>0</v>
      </c>
      <c r="J820" t="s">
        <v>43</v>
      </c>
      <c r="K820" t="s">
        <v>42</v>
      </c>
      <c r="L820" t="s">
        <v>43</v>
      </c>
      <c r="M820" t="s">
        <v>43</v>
      </c>
      <c r="N820" t="s">
        <v>42</v>
      </c>
      <c r="O820">
        <v>4</v>
      </c>
      <c r="P820">
        <v>3</v>
      </c>
      <c r="Q820">
        <v>3</v>
      </c>
      <c r="R820">
        <v>1</v>
      </c>
      <c r="S820">
        <v>3</v>
      </c>
      <c r="T820">
        <f t="shared" si="60"/>
        <v>4</v>
      </c>
      <c r="U820" t="str" cm="1">
        <f t="array" ref="U820">_xlfn.IFS(T820&lt;3, "low", AND(T820&gt;=3, T820&lt;5), "med", T820&gt;=5, "high")</f>
        <v>med</v>
      </c>
      <c r="V820">
        <v>11</v>
      </c>
      <c r="W820" t="str" cm="1">
        <f t="array" ref="W820">_xlfn.IFS(V820&lt;5, "low", AND(V820&gt;=5, V820&lt;10), "med", V820&gt;=10, "high")</f>
        <v>high</v>
      </c>
      <c r="X820">
        <v>10</v>
      </c>
      <c r="Y820">
        <v>11</v>
      </c>
      <c r="Z820">
        <v>11</v>
      </c>
      <c r="AA820">
        <f t="shared" si="61"/>
        <v>0</v>
      </c>
      <c r="AB820">
        <f t="shared" si="62"/>
        <v>0</v>
      </c>
      <c r="AC820">
        <f t="shared" si="63"/>
        <v>0</v>
      </c>
      <c r="AD820" s="1">
        <f t="shared" si="64"/>
        <v>10.666666666666666</v>
      </c>
    </row>
    <row r="821" spans="1:30" x14ac:dyDescent="0.35">
      <c r="A821" t="s">
        <v>34</v>
      </c>
      <c r="B821">
        <v>16</v>
      </c>
      <c r="C821" t="s">
        <v>52</v>
      </c>
      <c r="D821" t="s">
        <v>36</v>
      </c>
      <c r="E821" t="s">
        <v>44</v>
      </c>
      <c r="F821" t="s">
        <v>45</v>
      </c>
      <c r="G821" t="s">
        <v>45</v>
      </c>
      <c r="H821">
        <v>2</v>
      </c>
      <c r="I821">
        <v>0</v>
      </c>
      <c r="J821" t="s">
        <v>43</v>
      </c>
      <c r="K821" t="s">
        <v>42</v>
      </c>
      <c r="L821" t="s">
        <v>43</v>
      </c>
      <c r="M821" t="s">
        <v>42</v>
      </c>
      <c r="N821" t="s">
        <v>43</v>
      </c>
      <c r="O821">
        <v>4</v>
      </c>
      <c r="P821">
        <v>4</v>
      </c>
      <c r="Q821">
        <v>4</v>
      </c>
      <c r="R821">
        <v>1</v>
      </c>
      <c r="S821">
        <v>1</v>
      </c>
      <c r="T821">
        <f t="shared" si="60"/>
        <v>2</v>
      </c>
      <c r="U821" t="str" cm="1">
        <f t="array" ref="U821">_xlfn.IFS(T821&lt;3, "low", AND(T821&gt;=3, T821&lt;5), "med", T821&gt;=5, "high")</f>
        <v>low</v>
      </c>
      <c r="V821">
        <v>0</v>
      </c>
      <c r="W821" t="str" cm="1">
        <f t="array" ref="W821">_xlfn.IFS(V821&lt;5, "low", AND(V821&gt;=5, V821&lt;10), "med", V821&gt;=10, "high")</f>
        <v>low</v>
      </c>
      <c r="X821">
        <v>12</v>
      </c>
      <c r="Y821">
        <v>12</v>
      </c>
      <c r="Z821">
        <v>12</v>
      </c>
      <c r="AA821">
        <f t="shared" si="61"/>
        <v>0</v>
      </c>
      <c r="AB821">
        <f t="shared" si="62"/>
        <v>0</v>
      </c>
      <c r="AC821">
        <f t="shared" si="63"/>
        <v>0</v>
      </c>
      <c r="AD821" s="1">
        <f t="shared" si="64"/>
        <v>12</v>
      </c>
    </row>
    <row r="822" spans="1:30" x14ac:dyDescent="0.35">
      <c r="A822" t="s">
        <v>34</v>
      </c>
      <c r="B822">
        <v>15</v>
      </c>
      <c r="C822" t="s">
        <v>52</v>
      </c>
      <c r="D822" t="s">
        <v>36</v>
      </c>
      <c r="E822" t="s">
        <v>44</v>
      </c>
      <c r="F822" t="s">
        <v>38</v>
      </c>
      <c r="G822" t="s">
        <v>48</v>
      </c>
      <c r="H822">
        <v>1</v>
      </c>
      <c r="I822">
        <v>1</v>
      </c>
      <c r="J822" t="s">
        <v>43</v>
      </c>
      <c r="K822" t="s">
        <v>42</v>
      </c>
      <c r="L822" t="s">
        <v>43</v>
      </c>
      <c r="M822" t="s">
        <v>43</v>
      </c>
      <c r="N822" t="s">
        <v>42</v>
      </c>
      <c r="O822">
        <v>4</v>
      </c>
      <c r="P822">
        <v>1</v>
      </c>
      <c r="Q822">
        <v>3</v>
      </c>
      <c r="R822">
        <v>1</v>
      </c>
      <c r="S822">
        <v>1</v>
      </c>
      <c r="T822">
        <f t="shared" si="60"/>
        <v>2</v>
      </c>
      <c r="U822" t="str" cm="1">
        <f t="array" ref="U822">_xlfn.IFS(T822&lt;3, "low", AND(T822&gt;=3, T822&lt;5), "med", T822&gt;=5, "high")</f>
        <v>low</v>
      </c>
      <c r="V822">
        <v>6</v>
      </c>
      <c r="W822" t="str" cm="1">
        <f t="array" ref="W822">_xlfn.IFS(V822&lt;5, "low", AND(V822&gt;=5, V822&lt;10), "med", V822&gt;=10, "high")</f>
        <v>med</v>
      </c>
      <c r="X822">
        <v>10</v>
      </c>
      <c r="Y822">
        <v>10</v>
      </c>
      <c r="Z822">
        <v>10</v>
      </c>
      <c r="AA822">
        <f t="shared" si="61"/>
        <v>0</v>
      </c>
      <c r="AB822">
        <f t="shared" si="62"/>
        <v>0</v>
      </c>
      <c r="AC822">
        <f t="shared" si="63"/>
        <v>0</v>
      </c>
      <c r="AD822" s="1">
        <f t="shared" si="64"/>
        <v>10</v>
      </c>
    </row>
    <row r="823" spans="1:30" x14ac:dyDescent="0.35">
      <c r="A823" t="s">
        <v>34</v>
      </c>
      <c r="B823">
        <v>15</v>
      </c>
      <c r="C823" t="s">
        <v>52</v>
      </c>
      <c r="D823" t="s">
        <v>36</v>
      </c>
      <c r="E823" t="s">
        <v>44</v>
      </c>
      <c r="F823" t="s">
        <v>38</v>
      </c>
      <c r="G823" t="s">
        <v>45</v>
      </c>
      <c r="H823">
        <v>1</v>
      </c>
      <c r="I823">
        <v>0</v>
      </c>
      <c r="J823" t="s">
        <v>43</v>
      </c>
      <c r="K823" t="s">
        <v>42</v>
      </c>
      <c r="L823" t="s">
        <v>43</v>
      </c>
      <c r="M823" t="s">
        <v>43</v>
      </c>
      <c r="N823" t="s">
        <v>43</v>
      </c>
      <c r="O823">
        <v>5</v>
      </c>
      <c r="P823">
        <v>4</v>
      </c>
      <c r="Q823">
        <v>4</v>
      </c>
      <c r="R823">
        <v>2</v>
      </c>
      <c r="S823">
        <v>3</v>
      </c>
      <c r="T823">
        <f t="shared" si="60"/>
        <v>5</v>
      </c>
      <c r="U823" t="str" cm="1">
        <f t="array" ref="U823">_xlfn.IFS(T823&lt;3, "low", AND(T823&gt;=3, T823&lt;5), "med", T823&gt;=5, "high")</f>
        <v>high</v>
      </c>
      <c r="V823">
        <v>4</v>
      </c>
      <c r="W823" t="str" cm="1">
        <f t="array" ref="W823">_xlfn.IFS(V823&lt;5, "low", AND(V823&gt;=5, V823&lt;10), "med", V823&gt;=10, "high")</f>
        <v>low</v>
      </c>
      <c r="X823">
        <v>10</v>
      </c>
      <c r="Y823">
        <v>10</v>
      </c>
      <c r="Z823">
        <v>11</v>
      </c>
      <c r="AA823">
        <f t="shared" si="61"/>
        <v>0</v>
      </c>
      <c r="AB823">
        <f t="shared" si="62"/>
        <v>0</v>
      </c>
      <c r="AC823">
        <f t="shared" si="63"/>
        <v>0</v>
      </c>
      <c r="AD823" s="1">
        <f t="shared" si="64"/>
        <v>10.333333333333334</v>
      </c>
    </row>
    <row r="824" spans="1:30" x14ac:dyDescent="0.35">
      <c r="A824" t="s">
        <v>34</v>
      </c>
      <c r="B824">
        <v>16</v>
      </c>
      <c r="C824" t="s">
        <v>52</v>
      </c>
      <c r="D824" t="s">
        <v>36</v>
      </c>
      <c r="E824" t="s">
        <v>44</v>
      </c>
      <c r="F824" t="s">
        <v>38</v>
      </c>
      <c r="G824" t="s">
        <v>48</v>
      </c>
      <c r="H824">
        <v>2</v>
      </c>
      <c r="I824">
        <v>0</v>
      </c>
      <c r="J824" t="s">
        <v>43</v>
      </c>
      <c r="K824" t="s">
        <v>43</v>
      </c>
      <c r="L824" t="s">
        <v>43</v>
      </c>
      <c r="M824" t="s">
        <v>43</v>
      </c>
      <c r="N824" t="s">
        <v>43</v>
      </c>
      <c r="O824">
        <v>4</v>
      </c>
      <c r="P824">
        <v>5</v>
      </c>
      <c r="Q824">
        <v>2</v>
      </c>
      <c r="R824">
        <v>1</v>
      </c>
      <c r="S824">
        <v>2</v>
      </c>
      <c r="T824">
        <f t="shared" si="60"/>
        <v>3</v>
      </c>
      <c r="U824" t="str" cm="1">
        <f t="array" ref="U824">_xlfn.IFS(T824&lt;3, "low", AND(T824&gt;=3, T824&lt;5), "med", T824&gt;=5, "high")</f>
        <v>med</v>
      </c>
      <c r="V824">
        <v>0</v>
      </c>
      <c r="W824" t="str" cm="1">
        <f t="array" ref="W824">_xlfn.IFS(V824&lt;5, "low", AND(V824&gt;=5, V824&lt;10), "med", V824&gt;=10, "high")</f>
        <v>low</v>
      </c>
      <c r="X824">
        <v>16</v>
      </c>
      <c r="Y824">
        <v>17</v>
      </c>
      <c r="Z824">
        <v>17</v>
      </c>
      <c r="AA824">
        <f t="shared" si="61"/>
        <v>0</v>
      </c>
      <c r="AB824">
        <f t="shared" si="62"/>
        <v>0</v>
      </c>
      <c r="AC824">
        <f t="shared" si="63"/>
        <v>0</v>
      </c>
      <c r="AD824" s="1">
        <f t="shared" si="64"/>
        <v>16.666666666666668</v>
      </c>
    </row>
    <row r="825" spans="1:30" x14ac:dyDescent="0.35">
      <c r="A825" t="s">
        <v>34</v>
      </c>
      <c r="B825">
        <v>15</v>
      </c>
      <c r="C825" t="s">
        <v>52</v>
      </c>
      <c r="D825" t="s">
        <v>47</v>
      </c>
      <c r="E825" t="s">
        <v>44</v>
      </c>
      <c r="F825" t="s">
        <v>38</v>
      </c>
      <c r="G825" t="s">
        <v>45</v>
      </c>
      <c r="H825">
        <v>1</v>
      </c>
      <c r="I825">
        <v>0</v>
      </c>
      <c r="J825" t="s">
        <v>43</v>
      </c>
      <c r="K825" t="s">
        <v>43</v>
      </c>
      <c r="L825" t="s">
        <v>43</v>
      </c>
      <c r="M825" t="s">
        <v>43</v>
      </c>
      <c r="N825" t="s">
        <v>43</v>
      </c>
      <c r="O825">
        <v>1</v>
      </c>
      <c r="P825">
        <v>3</v>
      </c>
      <c r="Q825">
        <v>4</v>
      </c>
      <c r="R825">
        <v>1</v>
      </c>
      <c r="S825">
        <v>1</v>
      </c>
      <c r="T825">
        <f t="shared" si="60"/>
        <v>2</v>
      </c>
      <c r="U825" t="str" cm="1">
        <f t="array" ref="U825">_xlfn.IFS(T825&lt;3, "low", AND(T825&gt;=3, T825&lt;5), "med", T825&gt;=5, "high")</f>
        <v>low</v>
      </c>
      <c r="V825">
        <v>0</v>
      </c>
      <c r="W825" t="str" cm="1">
        <f t="array" ref="W825">_xlfn.IFS(V825&lt;5, "low", AND(V825&gt;=5, V825&lt;10), "med", V825&gt;=10, "high")</f>
        <v>low</v>
      </c>
      <c r="X825">
        <v>6</v>
      </c>
      <c r="Y825">
        <v>8</v>
      </c>
      <c r="Z825">
        <v>9</v>
      </c>
      <c r="AA825">
        <f t="shared" si="61"/>
        <v>0</v>
      </c>
      <c r="AB825">
        <f t="shared" si="62"/>
        <v>0</v>
      </c>
      <c r="AC825">
        <f t="shared" si="63"/>
        <v>0</v>
      </c>
      <c r="AD825" s="1">
        <f t="shared" si="64"/>
        <v>7.666666666666667</v>
      </c>
    </row>
    <row r="826" spans="1:30" x14ac:dyDescent="0.35">
      <c r="A826" t="s">
        <v>50</v>
      </c>
      <c r="B826">
        <v>16</v>
      </c>
      <c r="C826" t="s">
        <v>52</v>
      </c>
      <c r="D826" t="s">
        <v>47</v>
      </c>
      <c r="E826" t="s">
        <v>37</v>
      </c>
      <c r="F826" t="s">
        <v>38</v>
      </c>
      <c r="G826" t="s">
        <v>45</v>
      </c>
      <c r="H826">
        <v>2</v>
      </c>
      <c r="I826">
        <v>0</v>
      </c>
      <c r="J826" t="s">
        <v>43</v>
      </c>
      <c r="K826" t="s">
        <v>42</v>
      </c>
      <c r="L826" t="s">
        <v>43</v>
      </c>
      <c r="M826" t="s">
        <v>43</v>
      </c>
      <c r="N826" t="s">
        <v>43</v>
      </c>
      <c r="O826">
        <v>5</v>
      </c>
      <c r="P826">
        <v>3</v>
      </c>
      <c r="Q826">
        <v>2</v>
      </c>
      <c r="R826">
        <v>1</v>
      </c>
      <c r="S826">
        <v>3</v>
      </c>
      <c r="T826">
        <f t="shared" si="60"/>
        <v>4</v>
      </c>
      <c r="U826" t="str" cm="1">
        <f t="array" ref="U826">_xlfn.IFS(T826&lt;3, "low", AND(T826&gt;=3, T826&lt;5), "med", T826&gt;=5, "high")</f>
        <v>med</v>
      </c>
      <c r="V826">
        <v>5</v>
      </c>
      <c r="W826" t="str" cm="1">
        <f t="array" ref="W826">_xlfn.IFS(V826&lt;5, "low", AND(V826&gt;=5, V826&lt;10), "med", V826&gt;=10, "high")</f>
        <v>med</v>
      </c>
      <c r="X826">
        <v>10</v>
      </c>
      <c r="Y826">
        <v>11</v>
      </c>
      <c r="Z826">
        <v>11</v>
      </c>
      <c r="AA826">
        <f t="shared" si="61"/>
        <v>0</v>
      </c>
      <c r="AB826">
        <f t="shared" si="62"/>
        <v>0</v>
      </c>
      <c r="AC826">
        <f t="shared" si="63"/>
        <v>0</v>
      </c>
      <c r="AD826" s="1">
        <f t="shared" si="64"/>
        <v>10.666666666666666</v>
      </c>
    </row>
    <row r="827" spans="1:30" x14ac:dyDescent="0.35">
      <c r="A827" t="s">
        <v>50</v>
      </c>
      <c r="B827">
        <v>16</v>
      </c>
      <c r="C827" t="s">
        <v>35</v>
      </c>
      <c r="D827" t="s">
        <v>36</v>
      </c>
      <c r="E827" t="s">
        <v>37</v>
      </c>
      <c r="F827" t="s">
        <v>45</v>
      </c>
      <c r="G827" t="s">
        <v>45</v>
      </c>
      <c r="H827">
        <v>3</v>
      </c>
      <c r="I827">
        <v>0</v>
      </c>
      <c r="J827" t="s">
        <v>42</v>
      </c>
      <c r="K827" t="s">
        <v>43</v>
      </c>
      <c r="L827" t="s">
        <v>43</v>
      </c>
      <c r="M827" t="s">
        <v>43</v>
      </c>
      <c r="N827" t="s">
        <v>43</v>
      </c>
      <c r="O827">
        <v>4</v>
      </c>
      <c r="P827">
        <v>4</v>
      </c>
      <c r="Q827">
        <v>3</v>
      </c>
      <c r="R827">
        <v>1</v>
      </c>
      <c r="S827">
        <v>1</v>
      </c>
      <c r="T827">
        <f t="shared" si="60"/>
        <v>2</v>
      </c>
      <c r="U827" t="str" cm="1">
        <f t="array" ref="U827">_xlfn.IFS(T827&lt;3, "low", AND(T827&gt;=3, T827&lt;5), "med", T827&gt;=5, "high")</f>
        <v>low</v>
      </c>
      <c r="V827">
        <v>0</v>
      </c>
      <c r="W827" t="str" cm="1">
        <f t="array" ref="W827">_xlfn.IFS(V827&lt;5, "low", AND(V827&gt;=5, V827&lt;10), "med", V827&gt;=10, "high")</f>
        <v>low</v>
      </c>
      <c r="X827">
        <v>10</v>
      </c>
      <c r="Y827">
        <v>11</v>
      </c>
      <c r="Z827">
        <v>11</v>
      </c>
      <c r="AA827">
        <f t="shared" si="61"/>
        <v>0</v>
      </c>
      <c r="AB827">
        <f t="shared" si="62"/>
        <v>0</v>
      </c>
      <c r="AC827">
        <f t="shared" si="63"/>
        <v>0</v>
      </c>
      <c r="AD827" s="1">
        <f t="shared" si="64"/>
        <v>10.666666666666666</v>
      </c>
    </row>
    <row r="828" spans="1:30" x14ac:dyDescent="0.35">
      <c r="A828" t="s">
        <v>34</v>
      </c>
      <c r="B828">
        <v>17</v>
      </c>
      <c r="C828" t="s">
        <v>52</v>
      </c>
      <c r="D828" t="s">
        <v>36</v>
      </c>
      <c r="E828" t="s">
        <v>44</v>
      </c>
      <c r="F828" t="s">
        <v>38</v>
      </c>
      <c r="G828" t="s">
        <v>45</v>
      </c>
      <c r="H828">
        <v>2</v>
      </c>
      <c r="I828">
        <v>1</v>
      </c>
      <c r="J828" t="s">
        <v>43</v>
      </c>
      <c r="K828" t="s">
        <v>43</v>
      </c>
      <c r="L828" t="s">
        <v>43</v>
      </c>
      <c r="M828" t="s">
        <v>43</v>
      </c>
      <c r="N828" t="s">
        <v>42</v>
      </c>
      <c r="O828">
        <v>4</v>
      </c>
      <c r="P828">
        <v>5</v>
      </c>
      <c r="Q828">
        <v>4</v>
      </c>
      <c r="R828">
        <v>1</v>
      </c>
      <c r="S828">
        <v>2</v>
      </c>
      <c r="T828">
        <f t="shared" si="60"/>
        <v>3</v>
      </c>
      <c r="U828" t="str" cm="1">
        <f t="array" ref="U828">_xlfn.IFS(T828&lt;3, "low", AND(T828&gt;=3, T828&lt;5), "med", T828&gt;=5, "high")</f>
        <v>med</v>
      </c>
      <c r="V828">
        <v>0</v>
      </c>
      <c r="W828" t="str" cm="1">
        <f t="array" ref="W828">_xlfn.IFS(V828&lt;5, "low", AND(V828&gt;=5, V828&lt;10), "med", V828&gt;=10, "high")</f>
        <v>low</v>
      </c>
      <c r="X828">
        <v>10</v>
      </c>
      <c r="Y828">
        <v>10</v>
      </c>
      <c r="Z828">
        <v>10</v>
      </c>
      <c r="AA828">
        <f t="shared" si="61"/>
        <v>0</v>
      </c>
      <c r="AB828">
        <f t="shared" si="62"/>
        <v>0</v>
      </c>
      <c r="AC828">
        <f t="shared" si="63"/>
        <v>0</v>
      </c>
      <c r="AD828" s="1">
        <f t="shared" si="64"/>
        <v>10</v>
      </c>
    </row>
    <row r="829" spans="1:30" x14ac:dyDescent="0.35">
      <c r="A829" t="s">
        <v>34</v>
      </c>
      <c r="B829">
        <v>17</v>
      </c>
      <c r="C829" t="s">
        <v>52</v>
      </c>
      <c r="D829" t="s">
        <v>36</v>
      </c>
      <c r="E829" t="s">
        <v>44</v>
      </c>
      <c r="F829" t="s">
        <v>45</v>
      </c>
      <c r="G829" t="s">
        <v>45</v>
      </c>
      <c r="H829">
        <v>1</v>
      </c>
      <c r="I829">
        <v>1</v>
      </c>
      <c r="J829" t="s">
        <v>43</v>
      </c>
      <c r="K829" t="s">
        <v>42</v>
      </c>
      <c r="L829" t="s">
        <v>43</v>
      </c>
      <c r="M829" t="s">
        <v>43</v>
      </c>
      <c r="N829" t="s">
        <v>43</v>
      </c>
      <c r="O829">
        <v>5</v>
      </c>
      <c r="P829">
        <v>4</v>
      </c>
      <c r="Q829">
        <v>4</v>
      </c>
      <c r="R829">
        <v>2</v>
      </c>
      <c r="S829">
        <v>2</v>
      </c>
      <c r="T829">
        <f t="shared" si="60"/>
        <v>4</v>
      </c>
      <c r="U829" t="str" cm="1">
        <f t="array" ref="U829">_xlfn.IFS(T829&lt;3, "low", AND(T829&gt;=3, T829&lt;5), "med", T829&gt;=5, "high")</f>
        <v>med</v>
      </c>
      <c r="V829">
        <v>0</v>
      </c>
      <c r="W829" t="str" cm="1">
        <f t="array" ref="W829">_xlfn.IFS(V829&lt;5, "low", AND(V829&gt;=5, V829&lt;10), "med", V829&gt;=10, "high")</f>
        <v>low</v>
      </c>
      <c r="X829">
        <v>6</v>
      </c>
      <c r="Y829">
        <v>6</v>
      </c>
      <c r="Z829">
        <v>7</v>
      </c>
      <c r="AA829">
        <f t="shared" si="61"/>
        <v>0</v>
      </c>
      <c r="AB829">
        <f t="shared" si="62"/>
        <v>0</v>
      </c>
      <c r="AC829">
        <f t="shared" si="63"/>
        <v>0</v>
      </c>
      <c r="AD829" s="1">
        <f t="shared" si="64"/>
        <v>6.333333333333333</v>
      </c>
    </row>
    <row r="830" spans="1:30" x14ac:dyDescent="0.35">
      <c r="A830" t="s">
        <v>34</v>
      </c>
      <c r="B830">
        <v>15</v>
      </c>
      <c r="C830" t="s">
        <v>52</v>
      </c>
      <c r="D830" t="s">
        <v>36</v>
      </c>
      <c r="E830" t="s">
        <v>44</v>
      </c>
      <c r="F830" t="s">
        <v>39</v>
      </c>
      <c r="G830" t="s">
        <v>45</v>
      </c>
      <c r="H830">
        <v>1</v>
      </c>
      <c r="I830">
        <v>0</v>
      </c>
      <c r="J830" t="s">
        <v>43</v>
      </c>
      <c r="K830" t="s">
        <v>43</v>
      </c>
      <c r="L830" t="s">
        <v>43</v>
      </c>
      <c r="M830" t="s">
        <v>43</v>
      </c>
      <c r="N830" t="s">
        <v>42</v>
      </c>
      <c r="O830">
        <v>1</v>
      </c>
      <c r="P830">
        <v>5</v>
      </c>
      <c r="Q830">
        <v>1</v>
      </c>
      <c r="R830">
        <v>3</v>
      </c>
      <c r="S830">
        <v>5</v>
      </c>
      <c r="T830">
        <f t="shared" si="60"/>
        <v>8</v>
      </c>
      <c r="U830" t="str" cm="1">
        <f t="array" ref="U830">_xlfn.IFS(T830&lt;3, "low", AND(T830&gt;=3, T830&lt;5), "med", T830&gt;=5, "high")</f>
        <v>high</v>
      </c>
      <c r="V830">
        <v>0</v>
      </c>
      <c r="W830" t="str" cm="1">
        <f t="array" ref="W830">_xlfn.IFS(V830&lt;5, "low", AND(V830&gt;=5, V830&lt;10), "med", V830&gt;=10, "high")</f>
        <v>low</v>
      </c>
      <c r="X830">
        <v>13</v>
      </c>
      <c r="Y830">
        <v>14</v>
      </c>
      <c r="Z830">
        <v>14</v>
      </c>
      <c r="AA830">
        <f t="shared" si="61"/>
        <v>0</v>
      </c>
      <c r="AB830">
        <f t="shared" si="62"/>
        <v>0</v>
      </c>
      <c r="AC830">
        <f t="shared" si="63"/>
        <v>0</v>
      </c>
      <c r="AD830" s="1">
        <f t="shared" si="64"/>
        <v>13.666666666666666</v>
      </c>
    </row>
    <row r="831" spans="1:30" x14ac:dyDescent="0.35">
      <c r="A831" t="s">
        <v>34</v>
      </c>
      <c r="B831">
        <v>16</v>
      </c>
      <c r="C831" t="s">
        <v>35</v>
      </c>
      <c r="D831" t="s">
        <v>47</v>
      </c>
      <c r="E831" t="s">
        <v>37</v>
      </c>
      <c r="F831" t="s">
        <v>38</v>
      </c>
      <c r="G831" t="s">
        <v>45</v>
      </c>
      <c r="H831">
        <v>4</v>
      </c>
      <c r="I831">
        <v>0</v>
      </c>
      <c r="J831" t="s">
        <v>43</v>
      </c>
      <c r="K831" t="s">
        <v>43</v>
      </c>
      <c r="L831" t="s">
        <v>43</v>
      </c>
      <c r="M831" t="s">
        <v>42</v>
      </c>
      <c r="N831" t="s">
        <v>42</v>
      </c>
      <c r="O831">
        <v>1</v>
      </c>
      <c r="P831">
        <v>2</v>
      </c>
      <c r="Q831">
        <v>1</v>
      </c>
      <c r="R831">
        <v>1</v>
      </c>
      <c r="S831">
        <v>1</v>
      </c>
      <c r="T831">
        <f t="shared" si="60"/>
        <v>2</v>
      </c>
      <c r="U831" t="str" cm="1">
        <f t="array" ref="U831">_xlfn.IFS(T831&lt;3, "low", AND(T831&gt;=3, T831&lt;5), "med", T831&gt;=5, "high")</f>
        <v>low</v>
      </c>
      <c r="V831">
        <v>4</v>
      </c>
      <c r="W831" t="str" cm="1">
        <f t="array" ref="W831">_xlfn.IFS(V831&lt;5, "low", AND(V831&gt;=5, V831&lt;10), "med", V831&gt;=10, "high")</f>
        <v>low</v>
      </c>
      <c r="X831">
        <v>10</v>
      </c>
      <c r="Y831">
        <v>9</v>
      </c>
      <c r="Z831">
        <v>11</v>
      </c>
      <c r="AA831">
        <f t="shared" si="61"/>
        <v>1</v>
      </c>
      <c r="AB831">
        <f t="shared" si="62"/>
        <v>0</v>
      </c>
      <c r="AC831">
        <f t="shared" si="63"/>
        <v>1</v>
      </c>
      <c r="AD831" s="1">
        <f t="shared" si="64"/>
        <v>10</v>
      </c>
    </row>
    <row r="832" spans="1:30" x14ac:dyDescent="0.35">
      <c r="A832" t="s">
        <v>34</v>
      </c>
      <c r="B832">
        <v>15</v>
      </c>
      <c r="C832" t="s">
        <v>52</v>
      </c>
      <c r="D832" t="s">
        <v>47</v>
      </c>
      <c r="E832" t="s">
        <v>44</v>
      </c>
      <c r="F832" t="s">
        <v>38</v>
      </c>
      <c r="G832" t="s">
        <v>48</v>
      </c>
      <c r="H832">
        <v>2</v>
      </c>
      <c r="I832">
        <v>0</v>
      </c>
      <c r="J832" t="s">
        <v>43</v>
      </c>
      <c r="K832" t="s">
        <v>42</v>
      </c>
      <c r="L832" t="s">
        <v>43</v>
      </c>
      <c r="M832" t="s">
        <v>43</v>
      </c>
      <c r="N832" t="s">
        <v>43</v>
      </c>
      <c r="O832">
        <v>5</v>
      </c>
      <c r="P832">
        <v>4</v>
      </c>
      <c r="Q832">
        <v>3</v>
      </c>
      <c r="R832">
        <v>1</v>
      </c>
      <c r="S832">
        <v>2</v>
      </c>
      <c r="T832">
        <f t="shared" si="60"/>
        <v>3</v>
      </c>
      <c r="U832" t="str" cm="1">
        <f t="array" ref="U832">_xlfn.IFS(T832&lt;3, "low", AND(T832&gt;=3, T832&lt;5), "med", T832&gt;=5, "high")</f>
        <v>med</v>
      </c>
      <c r="V832">
        <v>0</v>
      </c>
      <c r="W832" t="str" cm="1">
        <f t="array" ref="W832">_xlfn.IFS(V832&lt;5, "low", AND(V832&gt;=5, V832&lt;10), "med", V832&gt;=10, "high")</f>
        <v>low</v>
      </c>
      <c r="X832">
        <v>10</v>
      </c>
      <c r="Y832">
        <v>10</v>
      </c>
      <c r="Z832">
        <v>10</v>
      </c>
      <c r="AA832">
        <f t="shared" si="61"/>
        <v>0</v>
      </c>
      <c r="AB832">
        <f t="shared" si="62"/>
        <v>0</v>
      </c>
      <c r="AC832">
        <f t="shared" si="63"/>
        <v>0</v>
      </c>
      <c r="AD832" s="1">
        <f t="shared" si="64"/>
        <v>10</v>
      </c>
    </row>
    <row r="833" spans="1:30" x14ac:dyDescent="0.35">
      <c r="A833" t="s">
        <v>34</v>
      </c>
      <c r="B833">
        <v>15</v>
      </c>
      <c r="C833" t="s">
        <v>52</v>
      </c>
      <c r="D833" t="s">
        <v>47</v>
      </c>
      <c r="E833" t="s">
        <v>44</v>
      </c>
      <c r="F833" t="s">
        <v>45</v>
      </c>
      <c r="G833" t="s">
        <v>48</v>
      </c>
      <c r="H833">
        <v>1</v>
      </c>
      <c r="I833">
        <v>1</v>
      </c>
      <c r="J833" t="s">
        <v>43</v>
      </c>
      <c r="K833" t="s">
        <v>42</v>
      </c>
      <c r="L833" t="s">
        <v>43</v>
      </c>
      <c r="M833" t="s">
        <v>43</v>
      </c>
      <c r="N833" t="s">
        <v>42</v>
      </c>
      <c r="O833">
        <v>4</v>
      </c>
      <c r="P833">
        <v>4</v>
      </c>
      <c r="Q833">
        <v>3</v>
      </c>
      <c r="R833">
        <v>1</v>
      </c>
      <c r="S833">
        <v>2</v>
      </c>
      <c r="T833">
        <f t="shared" si="60"/>
        <v>3</v>
      </c>
      <c r="U833" t="str" cm="1">
        <f t="array" ref="U833">_xlfn.IFS(T833&lt;3, "low", AND(T833&gt;=3, T833&lt;5), "med", T833&gt;=5, "high")</f>
        <v>med</v>
      </c>
      <c r="V833">
        <v>4</v>
      </c>
      <c r="W833" t="str" cm="1">
        <f t="array" ref="W833">_xlfn.IFS(V833&lt;5, "low", AND(V833&gt;=5, V833&lt;10), "med", V833&gt;=10, "high")</f>
        <v>low</v>
      </c>
      <c r="X833">
        <v>6</v>
      </c>
      <c r="Y833">
        <v>7</v>
      </c>
      <c r="Z833">
        <v>8</v>
      </c>
      <c r="AA833">
        <f t="shared" si="61"/>
        <v>0</v>
      </c>
      <c r="AB833">
        <f t="shared" si="62"/>
        <v>0</v>
      </c>
      <c r="AC833">
        <f t="shared" si="63"/>
        <v>0</v>
      </c>
      <c r="AD833" s="1">
        <f t="shared" si="64"/>
        <v>7</v>
      </c>
    </row>
    <row r="834" spans="1:30" x14ac:dyDescent="0.35">
      <c r="A834" t="s">
        <v>34</v>
      </c>
      <c r="B834">
        <v>16</v>
      </c>
      <c r="C834" t="s">
        <v>52</v>
      </c>
      <c r="D834" t="s">
        <v>36</v>
      </c>
      <c r="E834" t="s">
        <v>44</v>
      </c>
      <c r="F834" t="s">
        <v>45</v>
      </c>
      <c r="G834" t="s">
        <v>45</v>
      </c>
      <c r="H834">
        <v>1</v>
      </c>
      <c r="I834">
        <v>0</v>
      </c>
      <c r="J834" t="s">
        <v>43</v>
      </c>
      <c r="K834" t="s">
        <v>42</v>
      </c>
      <c r="L834" t="s">
        <v>43</v>
      </c>
      <c r="M834" t="s">
        <v>42</v>
      </c>
      <c r="N834" t="s">
        <v>43</v>
      </c>
      <c r="O834">
        <v>3</v>
      </c>
      <c r="P834">
        <v>2</v>
      </c>
      <c r="Q834">
        <v>3</v>
      </c>
      <c r="R834">
        <v>1</v>
      </c>
      <c r="S834">
        <v>2</v>
      </c>
      <c r="T834">
        <f t="shared" si="60"/>
        <v>3</v>
      </c>
      <c r="U834" t="str" cm="1">
        <f t="array" ref="U834">_xlfn.IFS(T834&lt;3, "low", AND(T834&gt;=3, T834&lt;5), "med", T834&gt;=5, "high")</f>
        <v>med</v>
      </c>
      <c r="V834">
        <v>0</v>
      </c>
      <c r="W834" t="str" cm="1">
        <f t="array" ref="W834">_xlfn.IFS(V834&lt;5, "low", AND(V834&gt;=5, V834&lt;10), "med", V834&gt;=10, "high")</f>
        <v>low</v>
      </c>
      <c r="X834">
        <v>12</v>
      </c>
      <c r="Y834">
        <v>11</v>
      </c>
      <c r="Z834">
        <v>12</v>
      </c>
      <c r="AA834">
        <f t="shared" si="61"/>
        <v>1</v>
      </c>
      <c r="AB834">
        <f t="shared" si="62"/>
        <v>0</v>
      </c>
      <c r="AC834">
        <f t="shared" si="63"/>
        <v>1</v>
      </c>
      <c r="AD834" s="1">
        <f t="shared" si="64"/>
        <v>11.666666666666666</v>
      </c>
    </row>
    <row r="835" spans="1:30" x14ac:dyDescent="0.35">
      <c r="A835" t="s">
        <v>34</v>
      </c>
      <c r="B835">
        <v>17</v>
      </c>
      <c r="C835" t="s">
        <v>52</v>
      </c>
      <c r="D835" t="s">
        <v>36</v>
      </c>
      <c r="E835" t="s">
        <v>44</v>
      </c>
      <c r="F835" t="s">
        <v>45</v>
      </c>
      <c r="G835" t="s">
        <v>45</v>
      </c>
      <c r="H835">
        <v>1</v>
      </c>
      <c r="I835">
        <v>0</v>
      </c>
      <c r="J835" t="s">
        <v>43</v>
      </c>
      <c r="K835" t="s">
        <v>42</v>
      </c>
      <c r="L835" t="s">
        <v>43</v>
      </c>
      <c r="M835" t="s">
        <v>43</v>
      </c>
      <c r="N835" t="s">
        <v>43</v>
      </c>
      <c r="O835">
        <v>5</v>
      </c>
      <c r="P835">
        <v>5</v>
      </c>
      <c r="Q835">
        <v>5</v>
      </c>
      <c r="R835">
        <v>1</v>
      </c>
      <c r="S835">
        <v>3</v>
      </c>
      <c r="T835">
        <f t="shared" ref="T835:T898" si="65">R835+S835</f>
        <v>4</v>
      </c>
      <c r="U835" t="str" cm="1">
        <f t="array" ref="U835">_xlfn.IFS(T835&lt;3, "low", AND(T835&gt;=3, T835&lt;5), "med", T835&gt;=5, "high")</f>
        <v>med</v>
      </c>
      <c r="V835">
        <v>2</v>
      </c>
      <c r="W835" t="str" cm="1">
        <f t="array" ref="W835">_xlfn.IFS(V835&lt;5, "low", AND(V835&gt;=5, V835&lt;10), "med", V835&gt;=10, "high")</f>
        <v>low</v>
      </c>
      <c r="X835">
        <v>10</v>
      </c>
      <c r="Y835">
        <v>11</v>
      </c>
      <c r="Z835">
        <v>12</v>
      </c>
      <c r="AA835">
        <f t="shared" ref="AA835:AA898" si="66">IF(Y835&lt;X835,1,0)</f>
        <v>0</v>
      </c>
      <c r="AB835">
        <f t="shared" ref="AB835:AB898" si="67">IF(Z835&lt;Y835,1,0)</f>
        <v>0</v>
      </c>
      <c r="AC835">
        <f t="shared" ref="AC835:AC898" si="68">SUM(AA835:AB835)</f>
        <v>0</v>
      </c>
      <c r="AD835" s="1">
        <f t="shared" ref="AD835:AD898" si="69">AVERAGE(X835:Z835)</f>
        <v>11</v>
      </c>
    </row>
    <row r="836" spans="1:30" x14ac:dyDescent="0.35">
      <c r="A836" t="s">
        <v>34</v>
      </c>
      <c r="B836">
        <v>15</v>
      </c>
      <c r="C836" t="s">
        <v>52</v>
      </c>
      <c r="D836" t="s">
        <v>36</v>
      </c>
      <c r="E836" t="s">
        <v>44</v>
      </c>
      <c r="F836" t="s">
        <v>45</v>
      </c>
      <c r="G836" t="s">
        <v>48</v>
      </c>
      <c r="H836">
        <v>1</v>
      </c>
      <c r="I836">
        <v>0</v>
      </c>
      <c r="J836" t="s">
        <v>43</v>
      </c>
      <c r="K836" t="s">
        <v>43</v>
      </c>
      <c r="L836" t="s">
        <v>43</v>
      </c>
      <c r="M836" t="s">
        <v>43</v>
      </c>
      <c r="N836" t="s">
        <v>43</v>
      </c>
      <c r="O836">
        <v>4</v>
      </c>
      <c r="P836">
        <v>1</v>
      </c>
      <c r="Q836">
        <v>3</v>
      </c>
      <c r="R836">
        <v>1</v>
      </c>
      <c r="S836">
        <v>1</v>
      </c>
      <c r="T836">
        <f t="shared" si="65"/>
        <v>2</v>
      </c>
      <c r="U836" t="str" cm="1">
        <f t="array" ref="U836">_xlfn.IFS(T836&lt;3, "low", AND(T836&gt;=3, T836&lt;5), "med", T836&gt;=5, "high")</f>
        <v>low</v>
      </c>
      <c r="V836">
        <v>0</v>
      </c>
      <c r="W836" t="str" cm="1">
        <f t="array" ref="W836">_xlfn.IFS(V836&lt;5, "low", AND(V836&gt;=5, V836&lt;10), "med", V836&gt;=10, "high")</f>
        <v>low</v>
      </c>
      <c r="X836">
        <v>14</v>
      </c>
      <c r="Y836">
        <v>16</v>
      </c>
      <c r="Z836">
        <v>16</v>
      </c>
      <c r="AA836">
        <f t="shared" si="66"/>
        <v>0</v>
      </c>
      <c r="AB836">
        <f t="shared" si="67"/>
        <v>0</v>
      </c>
      <c r="AC836">
        <f t="shared" si="68"/>
        <v>0</v>
      </c>
      <c r="AD836" s="1">
        <f t="shared" si="69"/>
        <v>15.333333333333334</v>
      </c>
    </row>
    <row r="837" spans="1:30" x14ac:dyDescent="0.35">
      <c r="A837" t="s">
        <v>50</v>
      </c>
      <c r="B837">
        <v>16</v>
      </c>
      <c r="C837" t="s">
        <v>35</v>
      </c>
      <c r="D837" t="s">
        <v>36</v>
      </c>
      <c r="E837" t="s">
        <v>44</v>
      </c>
      <c r="F837" t="s">
        <v>38</v>
      </c>
      <c r="G837" t="s">
        <v>48</v>
      </c>
      <c r="H837">
        <v>2</v>
      </c>
      <c r="I837">
        <v>0</v>
      </c>
      <c r="J837" t="s">
        <v>43</v>
      </c>
      <c r="K837" t="s">
        <v>42</v>
      </c>
      <c r="L837" t="s">
        <v>43</v>
      </c>
      <c r="M837" t="s">
        <v>42</v>
      </c>
      <c r="N837" t="s">
        <v>42</v>
      </c>
      <c r="O837">
        <v>5</v>
      </c>
      <c r="P837">
        <v>4</v>
      </c>
      <c r="Q837">
        <v>5</v>
      </c>
      <c r="R837">
        <v>4</v>
      </c>
      <c r="S837">
        <v>5</v>
      </c>
      <c r="T837">
        <f t="shared" si="65"/>
        <v>9</v>
      </c>
      <c r="U837" t="str" cm="1">
        <f t="array" ref="U837">_xlfn.IFS(T837&lt;3, "low", AND(T837&gt;=3, T837&lt;5), "med", T837&gt;=5, "high")</f>
        <v>high</v>
      </c>
      <c r="V837">
        <v>0</v>
      </c>
      <c r="W837" t="str" cm="1">
        <f t="array" ref="W837">_xlfn.IFS(V837&lt;5, "low", AND(V837&gt;=5, V837&lt;10), "med", V837&gt;=10, "high")</f>
        <v>low</v>
      </c>
      <c r="X837">
        <v>7</v>
      </c>
      <c r="Y837">
        <v>0</v>
      </c>
      <c r="Z837">
        <v>0</v>
      </c>
      <c r="AA837">
        <f t="shared" si="66"/>
        <v>1</v>
      </c>
      <c r="AB837">
        <f t="shared" si="67"/>
        <v>0</v>
      </c>
      <c r="AC837">
        <f t="shared" si="68"/>
        <v>1</v>
      </c>
      <c r="AD837" s="1">
        <f t="shared" si="69"/>
        <v>2.3333333333333335</v>
      </c>
    </row>
    <row r="838" spans="1:30" x14ac:dyDescent="0.35">
      <c r="A838" t="s">
        <v>50</v>
      </c>
      <c r="B838">
        <v>17</v>
      </c>
      <c r="C838" t="s">
        <v>35</v>
      </c>
      <c r="D838" t="s">
        <v>36</v>
      </c>
      <c r="E838" t="s">
        <v>44</v>
      </c>
      <c r="F838" t="s">
        <v>45</v>
      </c>
      <c r="G838" t="s">
        <v>45</v>
      </c>
      <c r="H838">
        <v>2</v>
      </c>
      <c r="I838">
        <v>0</v>
      </c>
      <c r="J838" t="s">
        <v>43</v>
      </c>
      <c r="K838" t="s">
        <v>43</v>
      </c>
      <c r="L838" t="s">
        <v>42</v>
      </c>
      <c r="M838" t="s">
        <v>43</v>
      </c>
      <c r="N838" t="s">
        <v>43</v>
      </c>
      <c r="O838">
        <v>4</v>
      </c>
      <c r="P838">
        <v>4</v>
      </c>
      <c r="Q838">
        <v>3</v>
      </c>
      <c r="R838">
        <v>2</v>
      </c>
      <c r="S838">
        <v>4</v>
      </c>
      <c r="T838">
        <f t="shared" si="65"/>
        <v>6</v>
      </c>
      <c r="U838" t="str" cm="1">
        <f t="array" ref="U838">_xlfn.IFS(T838&lt;3, "low", AND(T838&gt;=3, T838&lt;5), "med", T838&gt;=5, "high")</f>
        <v>high</v>
      </c>
      <c r="V838">
        <v>4</v>
      </c>
      <c r="W838" t="str" cm="1">
        <f t="array" ref="W838">_xlfn.IFS(V838&lt;5, "low", AND(V838&gt;=5, V838&lt;10), "med", V838&gt;=10, "high")</f>
        <v>low</v>
      </c>
      <c r="X838">
        <v>8</v>
      </c>
      <c r="Y838">
        <v>9</v>
      </c>
      <c r="Z838">
        <v>9</v>
      </c>
      <c r="AA838">
        <f t="shared" si="66"/>
        <v>0</v>
      </c>
      <c r="AB838">
        <f t="shared" si="67"/>
        <v>0</v>
      </c>
      <c r="AC838">
        <f t="shared" si="68"/>
        <v>0</v>
      </c>
      <c r="AD838" s="1">
        <f t="shared" si="69"/>
        <v>8.6666666666666661</v>
      </c>
    </row>
    <row r="839" spans="1:30" x14ac:dyDescent="0.35">
      <c r="A839" t="s">
        <v>50</v>
      </c>
      <c r="B839">
        <v>15</v>
      </c>
      <c r="C839" t="s">
        <v>52</v>
      </c>
      <c r="D839" t="s">
        <v>47</v>
      </c>
      <c r="E839" t="s">
        <v>44</v>
      </c>
      <c r="F839" t="s">
        <v>28</v>
      </c>
      <c r="G839" t="s">
        <v>48</v>
      </c>
      <c r="H839">
        <v>2</v>
      </c>
      <c r="I839">
        <v>0</v>
      </c>
      <c r="J839" t="s">
        <v>43</v>
      </c>
      <c r="K839" t="s">
        <v>42</v>
      </c>
      <c r="L839" t="s">
        <v>43</v>
      </c>
      <c r="M839" t="s">
        <v>42</v>
      </c>
      <c r="N839" t="s">
        <v>43</v>
      </c>
      <c r="O839">
        <v>5</v>
      </c>
      <c r="P839">
        <v>3</v>
      </c>
      <c r="Q839">
        <v>4</v>
      </c>
      <c r="R839">
        <v>1</v>
      </c>
      <c r="S839">
        <v>2</v>
      </c>
      <c r="T839">
        <f t="shared" si="65"/>
        <v>3</v>
      </c>
      <c r="U839" t="str" cm="1">
        <f t="array" ref="U839">_xlfn.IFS(T839&lt;3, "low", AND(T839&gt;=3, T839&lt;5), "med", T839&gt;=5, "high")</f>
        <v>med</v>
      </c>
      <c r="V839">
        <v>0</v>
      </c>
      <c r="W839" t="str" cm="1">
        <f t="array" ref="W839">_xlfn.IFS(V839&lt;5, "low", AND(V839&gt;=5, V839&lt;10), "med", V839&gt;=10, "high")</f>
        <v>low</v>
      </c>
      <c r="X839">
        <v>12</v>
      </c>
      <c r="Y839">
        <v>13</v>
      </c>
      <c r="Z839">
        <v>14</v>
      </c>
      <c r="AA839">
        <f t="shared" si="66"/>
        <v>0</v>
      </c>
      <c r="AB839">
        <f t="shared" si="67"/>
        <v>0</v>
      </c>
      <c r="AC839">
        <f t="shared" si="68"/>
        <v>0</v>
      </c>
      <c r="AD839" s="1">
        <f t="shared" si="69"/>
        <v>13</v>
      </c>
    </row>
    <row r="840" spans="1:30" x14ac:dyDescent="0.35">
      <c r="A840" t="s">
        <v>50</v>
      </c>
      <c r="B840">
        <v>15</v>
      </c>
      <c r="C840" t="s">
        <v>52</v>
      </c>
      <c r="D840" t="s">
        <v>47</v>
      </c>
      <c r="E840" t="s">
        <v>44</v>
      </c>
      <c r="F840" t="s">
        <v>28</v>
      </c>
      <c r="G840" t="s">
        <v>48</v>
      </c>
      <c r="H840">
        <v>2</v>
      </c>
      <c r="I840">
        <v>0</v>
      </c>
      <c r="J840" t="s">
        <v>43</v>
      </c>
      <c r="K840" t="s">
        <v>42</v>
      </c>
      <c r="L840" t="s">
        <v>43</v>
      </c>
      <c r="M840" t="s">
        <v>42</v>
      </c>
      <c r="N840" t="s">
        <v>43</v>
      </c>
      <c r="O840">
        <v>5</v>
      </c>
      <c r="P840">
        <v>3</v>
      </c>
      <c r="Q840">
        <v>4</v>
      </c>
      <c r="R840">
        <v>1</v>
      </c>
      <c r="S840">
        <v>2</v>
      </c>
      <c r="T840">
        <f t="shared" si="65"/>
        <v>3</v>
      </c>
      <c r="U840" t="str" cm="1">
        <f t="array" ref="U840">_xlfn.IFS(T840&lt;3, "low", AND(T840&gt;=3, T840&lt;5), "med", T840&gt;=5, "high")</f>
        <v>med</v>
      </c>
      <c r="V840">
        <v>7</v>
      </c>
      <c r="W840" t="str" cm="1">
        <f t="array" ref="W840">_xlfn.IFS(V840&lt;5, "low", AND(V840&gt;=5, V840&lt;10), "med", V840&gt;=10, "high")</f>
        <v>med</v>
      </c>
      <c r="X840">
        <v>7</v>
      </c>
      <c r="Y840">
        <v>9</v>
      </c>
      <c r="Z840">
        <v>8</v>
      </c>
      <c r="AA840">
        <f t="shared" si="66"/>
        <v>0</v>
      </c>
      <c r="AB840">
        <f t="shared" si="67"/>
        <v>1</v>
      </c>
      <c r="AC840">
        <f t="shared" si="68"/>
        <v>1</v>
      </c>
      <c r="AD840" s="1">
        <f t="shared" si="69"/>
        <v>8</v>
      </c>
    </row>
    <row r="841" spans="1:30" x14ac:dyDescent="0.35">
      <c r="A841" t="s">
        <v>50</v>
      </c>
      <c r="B841">
        <v>16</v>
      </c>
      <c r="C841" t="s">
        <v>52</v>
      </c>
      <c r="D841" t="s">
        <v>36</v>
      </c>
      <c r="E841" t="s">
        <v>44</v>
      </c>
      <c r="F841" t="s">
        <v>45</v>
      </c>
      <c r="G841" t="s">
        <v>28</v>
      </c>
      <c r="H841">
        <v>2</v>
      </c>
      <c r="I841">
        <v>0</v>
      </c>
      <c r="J841" t="s">
        <v>43</v>
      </c>
      <c r="K841" t="s">
        <v>43</v>
      </c>
      <c r="L841" t="s">
        <v>43</v>
      </c>
      <c r="M841" t="s">
        <v>43</v>
      </c>
      <c r="N841" t="s">
        <v>43</v>
      </c>
      <c r="O841">
        <v>3</v>
      </c>
      <c r="P841">
        <v>4</v>
      </c>
      <c r="Q841">
        <v>5</v>
      </c>
      <c r="R841">
        <v>1</v>
      </c>
      <c r="S841">
        <v>2</v>
      </c>
      <c r="T841">
        <f t="shared" si="65"/>
        <v>3</v>
      </c>
      <c r="U841" t="str" cm="1">
        <f t="array" ref="U841">_xlfn.IFS(T841&lt;3, "low", AND(T841&gt;=3, T841&lt;5), "med", T841&gt;=5, "high")</f>
        <v>med</v>
      </c>
      <c r="V841">
        <v>4</v>
      </c>
      <c r="W841" t="str" cm="1">
        <f t="array" ref="W841">_xlfn.IFS(V841&lt;5, "low", AND(V841&gt;=5, V841&lt;10), "med", V841&gt;=10, "high")</f>
        <v>low</v>
      </c>
      <c r="X841">
        <v>9</v>
      </c>
      <c r="Y841">
        <v>10</v>
      </c>
      <c r="Z841">
        <v>11</v>
      </c>
      <c r="AA841">
        <f t="shared" si="66"/>
        <v>0</v>
      </c>
      <c r="AB841">
        <f t="shared" si="67"/>
        <v>0</v>
      </c>
      <c r="AC841">
        <f t="shared" si="68"/>
        <v>0</v>
      </c>
      <c r="AD841" s="1">
        <f t="shared" si="69"/>
        <v>10</v>
      </c>
    </row>
    <row r="842" spans="1:30" x14ac:dyDescent="0.35">
      <c r="A842" t="s">
        <v>50</v>
      </c>
      <c r="B842">
        <v>15</v>
      </c>
      <c r="C842" t="s">
        <v>52</v>
      </c>
      <c r="D842" t="s">
        <v>36</v>
      </c>
      <c r="E842" t="s">
        <v>44</v>
      </c>
      <c r="F842" t="s">
        <v>45</v>
      </c>
      <c r="G842" t="s">
        <v>45</v>
      </c>
      <c r="H842">
        <v>2</v>
      </c>
      <c r="I842">
        <v>0</v>
      </c>
      <c r="J842" t="s">
        <v>43</v>
      </c>
      <c r="K842" t="s">
        <v>42</v>
      </c>
      <c r="L842" t="s">
        <v>43</v>
      </c>
      <c r="M842" t="s">
        <v>42</v>
      </c>
      <c r="N842" t="s">
        <v>42</v>
      </c>
      <c r="O842">
        <v>5</v>
      </c>
      <c r="P842">
        <v>4</v>
      </c>
      <c r="Q842">
        <v>5</v>
      </c>
      <c r="R842">
        <v>2</v>
      </c>
      <c r="S842">
        <v>4</v>
      </c>
      <c r="T842">
        <f t="shared" si="65"/>
        <v>6</v>
      </c>
      <c r="U842" t="str" cm="1">
        <f t="array" ref="U842">_xlfn.IFS(T842&lt;3, "low", AND(T842&gt;=3, T842&lt;5), "med", T842&gt;=5, "high")</f>
        <v>high</v>
      </c>
      <c r="V842">
        <v>8</v>
      </c>
      <c r="W842" t="str" cm="1">
        <f t="array" ref="W842">_xlfn.IFS(V842&lt;5, "low", AND(V842&gt;=5, V842&lt;10), "med", V842&gt;=10, "high")</f>
        <v>med</v>
      </c>
      <c r="X842">
        <v>7</v>
      </c>
      <c r="Y842">
        <v>9</v>
      </c>
      <c r="Z842">
        <v>9</v>
      </c>
      <c r="AA842">
        <f t="shared" si="66"/>
        <v>0</v>
      </c>
      <c r="AB842">
        <f t="shared" si="67"/>
        <v>0</v>
      </c>
      <c r="AC842">
        <f t="shared" si="68"/>
        <v>0</v>
      </c>
      <c r="AD842" s="1">
        <f t="shared" si="69"/>
        <v>8.3333333333333339</v>
      </c>
    </row>
    <row r="843" spans="1:30" x14ac:dyDescent="0.35">
      <c r="A843" t="s">
        <v>50</v>
      </c>
      <c r="B843">
        <v>15</v>
      </c>
      <c r="C843" t="s">
        <v>35</v>
      </c>
      <c r="D843" t="s">
        <v>47</v>
      </c>
      <c r="E843" t="s">
        <v>44</v>
      </c>
      <c r="F843" t="s">
        <v>38</v>
      </c>
      <c r="G843" t="s">
        <v>38</v>
      </c>
      <c r="H843">
        <v>2</v>
      </c>
      <c r="I843">
        <v>0</v>
      </c>
      <c r="J843" t="s">
        <v>43</v>
      </c>
      <c r="K843" t="s">
        <v>42</v>
      </c>
      <c r="L843" t="s">
        <v>43</v>
      </c>
      <c r="M843" t="s">
        <v>42</v>
      </c>
      <c r="N843" t="s">
        <v>43</v>
      </c>
      <c r="O843">
        <v>5</v>
      </c>
      <c r="P843">
        <v>3</v>
      </c>
      <c r="Q843">
        <v>3</v>
      </c>
      <c r="R843">
        <v>1</v>
      </c>
      <c r="S843">
        <v>1</v>
      </c>
      <c r="T843">
        <f t="shared" si="65"/>
        <v>2</v>
      </c>
      <c r="U843" t="str" cm="1">
        <f t="array" ref="U843">_xlfn.IFS(T843&lt;3, "low", AND(T843&gt;=3, T843&lt;5), "med", T843&gt;=5, "high")</f>
        <v>low</v>
      </c>
      <c r="V843">
        <v>0</v>
      </c>
      <c r="W843" t="str" cm="1">
        <f t="array" ref="W843">_xlfn.IFS(V843&lt;5, "low", AND(V843&gt;=5, V843&lt;10), "med", V843&gt;=10, "high")</f>
        <v>low</v>
      </c>
      <c r="X843">
        <v>11</v>
      </c>
      <c r="Y843">
        <v>11</v>
      </c>
      <c r="Z843">
        <v>11</v>
      </c>
      <c r="AA843">
        <f t="shared" si="66"/>
        <v>0</v>
      </c>
      <c r="AB843">
        <f t="shared" si="67"/>
        <v>0</v>
      </c>
      <c r="AC843">
        <f t="shared" si="68"/>
        <v>0</v>
      </c>
      <c r="AD843" s="1">
        <f t="shared" si="69"/>
        <v>11</v>
      </c>
    </row>
    <row r="844" spans="1:30" x14ac:dyDescent="0.35">
      <c r="A844" t="s">
        <v>50</v>
      </c>
      <c r="B844">
        <v>17</v>
      </c>
      <c r="C844" t="s">
        <v>52</v>
      </c>
      <c r="D844" t="s">
        <v>36</v>
      </c>
      <c r="E844" t="s">
        <v>44</v>
      </c>
      <c r="F844" t="s">
        <v>45</v>
      </c>
      <c r="G844" t="s">
        <v>45</v>
      </c>
      <c r="H844">
        <v>1</v>
      </c>
      <c r="I844">
        <v>0</v>
      </c>
      <c r="J844" t="s">
        <v>43</v>
      </c>
      <c r="K844" t="s">
        <v>43</v>
      </c>
      <c r="L844" t="s">
        <v>43</v>
      </c>
      <c r="M844" t="s">
        <v>42</v>
      </c>
      <c r="N844" t="s">
        <v>42</v>
      </c>
      <c r="O844">
        <v>5</v>
      </c>
      <c r="P844">
        <v>5</v>
      </c>
      <c r="Q844">
        <v>5</v>
      </c>
      <c r="R844">
        <v>5</v>
      </c>
      <c r="S844">
        <v>5</v>
      </c>
      <c r="T844">
        <f t="shared" si="65"/>
        <v>10</v>
      </c>
      <c r="U844" t="str" cm="1">
        <f t="array" ref="U844">_xlfn.IFS(T844&lt;3, "low", AND(T844&gt;=3, T844&lt;5), "med", T844&gt;=5, "high")</f>
        <v>high</v>
      </c>
      <c r="V844">
        <v>8</v>
      </c>
      <c r="W844" t="str" cm="1">
        <f t="array" ref="W844">_xlfn.IFS(V844&lt;5, "low", AND(V844&gt;=5, V844&lt;10), "med", V844&gt;=10, "high")</f>
        <v>med</v>
      </c>
      <c r="X844">
        <v>8</v>
      </c>
      <c r="Y844">
        <v>10</v>
      </c>
      <c r="Z844">
        <v>9</v>
      </c>
      <c r="AA844">
        <f t="shared" si="66"/>
        <v>0</v>
      </c>
      <c r="AB844">
        <f t="shared" si="67"/>
        <v>1</v>
      </c>
      <c r="AC844">
        <f t="shared" si="68"/>
        <v>1</v>
      </c>
      <c r="AD844" s="1">
        <f t="shared" si="69"/>
        <v>9</v>
      </c>
    </row>
    <row r="845" spans="1:30" x14ac:dyDescent="0.35">
      <c r="A845" t="s">
        <v>34</v>
      </c>
      <c r="B845">
        <v>16</v>
      </c>
      <c r="C845" t="s">
        <v>52</v>
      </c>
      <c r="D845" t="s">
        <v>36</v>
      </c>
      <c r="E845" t="s">
        <v>44</v>
      </c>
      <c r="F845" t="s">
        <v>39</v>
      </c>
      <c r="G845" t="s">
        <v>39</v>
      </c>
      <c r="H845">
        <v>3</v>
      </c>
      <c r="I845">
        <v>0</v>
      </c>
      <c r="J845" t="s">
        <v>43</v>
      </c>
      <c r="K845" t="s">
        <v>43</v>
      </c>
      <c r="L845" t="s">
        <v>43</v>
      </c>
      <c r="M845" t="s">
        <v>42</v>
      </c>
      <c r="N845" t="s">
        <v>42</v>
      </c>
      <c r="O845">
        <v>4</v>
      </c>
      <c r="P845">
        <v>2</v>
      </c>
      <c r="Q845">
        <v>2</v>
      </c>
      <c r="R845">
        <v>1</v>
      </c>
      <c r="S845">
        <v>1</v>
      </c>
      <c r="T845">
        <f t="shared" si="65"/>
        <v>2</v>
      </c>
      <c r="U845" t="str" cm="1">
        <f t="array" ref="U845">_xlfn.IFS(T845&lt;3, "low", AND(T845&gt;=3, T845&lt;5), "med", T845&gt;=5, "high")</f>
        <v>low</v>
      </c>
      <c r="V845">
        <v>6</v>
      </c>
      <c r="W845" t="str" cm="1">
        <f t="array" ref="W845">_xlfn.IFS(V845&lt;5, "low", AND(V845&gt;=5, V845&lt;10), "med", V845&gt;=10, "high")</f>
        <v>med</v>
      </c>
      <c r="X845">
        <v>16</v>
      </c>
      <c r="Y845">
        <v>16</v>
      </c>
      <c r="Z845">
        <v>17</v>
      </c>
      <c r="AA845">
        <f t="shared" si="66"/>
        <v>0</v>
      </c>
      <c r="AB845">
        <f t="shared" si="67"/>
        <v>0</v>
      </c>
      <c r="AC845">
        <f t="shared" si="68"/>
        <v>0</v>
      </c>
      <c r="AD845" s="1">
        <f t="shared" si="69"/>
        <v>16.333333333333332</v>
      </c>
    </row>
    <row r="846" spans="1:30" x14ac:dyDescent="0.35">
      <c r="A846" t="s">
        <v>34</v>
      </c>
      <c r="B846">
        <v>15</v>
      </c>
      <c r="C846" t="s">
        <v>52</v>
      </c>
      <c r="D846" t="s">
        <v>36</v>
      </c>
      <c r="E846" t="s">
        <v>44</v>
      </c>
      <c r="F846" t="s">
        <v>45</v>
      </c>
      <c r="G846" t="s">
        <v>48</v>
      </c>
      <c r="H846">
        <v>1</v>
      </c>
      <c r="I846">
        <v>0</v>
      </c>
      <c r="J846" t="s">
        <v>43</v>
      </c>
      <c r="K846" t="s">
        <v>43</v>
      </c>
      <c r="L846" t="s">
        <v>43</v>
      </c>
      <c r="M846" t="s">
        <v>43</v>
      </c>
      <c r="N846" t="s">
        <v>43</v>
      </c>
      <c r="O846">
        <v>5</v>
      </c>
      <c r="P846">
        <v>1</v>
      </c>
      <c r="Q846">
        <v>2</v>
      </c>
      <c r="R846">
        <v>1</v>
      </c>
      <c r="S846">
        <v>1</v>
      </c>
      <c r="T846">
        <f t="shared" si="65"/>
        <v>2</v>
      </c>
      <c r="U846" t="str" cm="1">
        <f t="array" ref="U846">_xlfn.IFS(T846&lt;3, "low", AND(T846&gt;=3, T846&lt;5), "med", T846&gt;=5, "high")</f>
        <v>low</v>
      </c>
      <c r="V846">
        <v>3</v>
      </c>
      <c r="W846" t="str" cm="1">
        <f t="array" ref="W846">_xlfn.IFS(V846&lt;5, "low", AND(V846&gt;=5, V846&lt;10), "med", V846&gt;=10, "high")</f>
        <v>low</v>
      </c>
      <c r="X846">
        <v>11</v>
      </c>
      <c r="Y846">
        <v>13</v>
      </c>
      <c r="Z846">
        <v>13</v>
      </c>
      <c r="AA846">
        <f t="shared" si="66"/>
        <v>0</v>
      </c>
      <c r="AB846">
        <f t="shared" si="67"/>
        <v>0</v>
      </c>
      <c r="AC846">
        <f t="shared" si="68"/>
        <v>0</v>
      </c>
      <c r="AD846" s="1">
        <f t="shared" si="69"/>
        <v>12.333333333333334</v>
      </c>
    </row>
    <row r="847" spans="1:30" x14ac:dyDescent="0.35">
      <c r="A847" t="s">
        <v>34</v>
      </c>
      <c r="B847">
        <v>16</v>
      </c>
      <c r="C847" t="s">
        <v>52</v>
      </c>
      <c r="D847" t="s">
        <v>36</v>
      </c>
      <c r="E847" t="s">
        <v>44</v>
      </c>
      <c r="F847" t="s">
        <v>45</v>
      </c>
      <c r="G847" t="s">
        <v>48</v>
      </c>
      <c r="H847">
        <v>2</v>
      </c>
      <c r="I847">
        <v>0</v>
      </c>
      <c r="J847" t="s">
        <v>43</v>
      </c>
      <c r="K847" t="s">
        <v>42</v>
      </c>
      <c r="L847" t="s">
        <v>43</v>
      </c>
      <c r="M847" t="s">
        <v>43</v>
      </c>
      <c r="N847" t="s">
        <v>43</v>
      </c>
      <c r="O847">
        <v>4</v>
      </c>
      <c r="P847">
        <v>5</v>
      </c>
      <c r="Q847">
        <v>4</v>
      </c>
      <c r="R847">
        <v>1</v>
      </c>
      <c r="S847">
        <v>2</v>
      </c>
      <c r="T847">
        <f t="shared" si="65"/>
        <v>3</v>
      </c>
      <c r="U847" t="str" cm="1">
        <f t="array" ref="U847">_xlfn.IFS(T847&lt;3, "low", AND(T847&gt;=3, T847&lt;5), "med", T847&gt;=5, "high")</f>
        <v>med</v>
      </c>
      <c r="V847">
        <v>2</v>
      </c>
      <c r="W847" t="str" cm="1">
        <f t="array" ref="W847">_xlfn.IFS(V847&lt;5, "low", AND(V847&gt;=5, V847&lt;10), "med", V847&gt;=10, "high")</f>
        <v>low</v>
      </c>
      <c r="X847">
        <v>15</v>
      </c>
      <c r="Y847">
        <v>15</v>
      </c>
      <c r="Z847">
        <v>15</v>
      </c>
      <c r="AA847">
        <f t="shared" si="66"/>
        <v>0</v>
      </c>
      <c r="AB847">
        <f t="shared" si="67"/>
        <v>0</v>
      </c>
      <c r="AC847">
        <f t="shared" si="68"/>
        <v>0</v>
      </c>
      <c r="AD847" s="1">
        <f t="shared" si="69"/>
        <v>15</v>
      </c>
    </row>
    <row r="848" spans="1:30" x14ac:dyDescent="0.35">
      <c r="A848" t="s">
        <v>50</v>
      </c>
      <c r="B848">
        <v>16</v>
      </c>
      <c r="C848" t="s">
        <v>52</v>
      </c>
      <c r="D848" t="s">
        <v>36</v>
      </c>
      <c r="E848" t="s">
        <v>44</v>
      </c>
      <c r="F848" t="s">
        <v>45</v>
      </c>
      <c r="G848" t="s">
        <v>45</v>
      </c>
      <c r="H848">
        <v>2</v>
      </c>
      <c r="I848">
        <v>0</v>
      </c>
      <c r="J848" t="s">
        <v>43</v>
      </c>
      <c r="K848" t="s">
        <v>43</v>
      </c>
      <c r="L848" t="s">
        <v>43</v>
      </c>
      <c r="M848" t="s">
        <v>43</v>
      </c>
      <c r="N848" t="s">
        <v>43</v>
      </c>
      <c r="O848">
        <v>4</v>
      </c>
      <c r="P848">
        <v>3</v>
      </c>
      <c r="Q848">
        <v>3</v>
      </c>
      <c r="R848">
        <v>1</v>
      </c>
      <c r="S848">
        <v>1</v>
      </c>
      <c r="T848">
        <f t="shared" si="65"/>
        <v>2</v>
      </c>
      <c r="U848" t="str" cm="1">
        <f t="array" ref="U848">_xlfn.IFS(T848&lt;3, "low", AND(T848&gt;=3, T848&lt;5), "med", T848&gt;=5, "high")</f>
        <v>low</v>
      </c>
      <c r="V848">
        <v>0</v>
      </c>
      <c r="W848" t="str" cm="1">
        <f t="array" ref="W848">_xlfn.IFS(V848&lt;5, "low", AND(V848&gt;=5, V848&lt;10), "med", V848&gt;=10, "high")</f>
        <v>low</v>
      </c>
      <c r="X848">
        <v>10</v>
      </c>
      <c r="Y848">
        <v>11</v>
      </c>
      <c r="Z848">
        <v>11</v>
      </c>
      <c r="AA848">
        <f t="shared" si="66"/>
        <v>0</v>
      </c>
      <c r="AB848">
        <f t="shared" si="67"/>
        <v>0</v>
      </c>
      <c r="AC848">
        <f t="shared" si="68"/>
        <v>0</v>
      </c>
      <c r="AD848" s="1">
        <f t="shared" si="69"/>
        <v>10.666666666666666</v>
      </c>
    </row>
    <row r="849" spans="1:30" x14ac:dyDescent="0.35">
      <c r="A849" t="s">
        <v>34</v>
      </c>
      <c r="B849">
        <v>16</v>
      </c>
      <c r="C849" t="s">
        <v>52</v>
      </c>
      <c r="D849" t="s">
        <v>36</v>
      </c>
      <c r="E849" t="s">
        <v>44</v>
      </c>
      <c r="F849" t="s">
        <v>45</v>
      </c>
      <c r="G849" t="s">
        <v>45</v>
      </c>
      <c r="H849">
        <v>2</v>
      </c>
      <c r="I849">
        <v>0</v>
      </c>
      <c r="J849" t="s">
        <v>43</v>
      </c>
      <c r="K849" t="s">
        <v>42</v>
      </c>
      <c r="L849" t="s">
        <v>43</v>
      </c>
      <c r="M849" t="s">
        <v>43</v>
      </c>
      <c r="N849" t="s">
        <v>43</v>
      </c>
      <c r="O849">
        <v>4</v>
      </c>
      <c r="P849">
        <v>4</v>
      </c>
      <c r="Q849">
        <v>5</v>
      </c>
      <c r="R849">
        <v>1</v>
      </c>
      <c r="S849">
        <v>1</v>
      </c>
      <c r="T849">
        <f t="shared" si="65"/>
        <v>2</v>
      </c>
      <c r="U849" t="str" cm="1">
        <f t="array" ref="U849">_xlfn.IFS(T849&lt;3, "low", AND(T849&gt;=3, T849&lt;5), "med", T849&gt;=5, "high")</f>
        <v>low</v>
      </c>
      <c r="V849">
        <v>4</v>
      </c>
      <c r="W849" t="str" cm="1">
        <f t="array" ref="W849">_xlfn.IFS(V849&lt;5, "low", AND(V849&gt;=5, V849&lt;10), "med", V849&gt;=10, "high")</f>
        <v>low</v>
      </c>
      <c r="X849">
        <v>9</v>
      </c>
      <c r="Y849">
        <v>10</v>
      </c>
      <c r="Z849">
        <v>11</v>
      </c>
      <c r="AA849">
        <f t="shared" si="66"/>
        <v>0</v>
      </c>
      <c r="AB849">
        <f t="shared" si="67"/>
        <v>0</v>
      </c>
      <c r="AC849">
        <f t="shared" si="68"/>
        <v>0</v>
      </c>
      <c r="AD849" s="1">
        <f t="shared" si="69"/>
        <v>10</v>
      </c>
    </row>
    <row r="850" spans="1:30" x14ac:dyDescent="0.35">
      <c r="A850" t="s">
        <v>34</v>
      </c>
      <c r="B850">
        <v>16</v>
      </c>
      <c r="C850" t="s">
        <v>35</v>
      </c>
      <c r="D850" t="s">
        <v>36</v>
      </c>
      <c r="E850" t="s">
        <v>44</v>
      </c>
      <c r="F850" t="s">
        <v>45</v>
      </c>
      <c r="G850" t="s">
        <v>48</v>
      </c>
      <c r="H850">
        <v>3</v>
      </c>
      <c r="I850">
        <v>1</v>
      </c>
      <c r="J850" t="s">
        <v>43</v>
      </c>
      <c r="K850" t="s">
        <v>42</v>
      </c>
      <c r="L850" t="s">
        <v>43</v>
      </c>
      <c r="M850" t="s">
        <v>43</v>
      </c>
      <c r="N850" t="s">
        <v>43</v>
      </c>
      <c r="O850">
        <v>1</v>
      </c>
      <c r="P850">
        <v>3</v>
      </c>
      <c r="Q850">
        <v>2</v>
      </c>
      <c r="R850">
        <v>1</v>
      </c>
      <c r="S850">
        <v>2</v>
      </c>
      <c r="T850">
        <f t="shared" si="65"/>
        <v>3</v>
      </c>
      <c r="U850" t="str" cm="1">
        <f t="array" ref="U850">_xlfn.IFS(T850&lt;3, "low", AND(T850&gt;=3, T850&lt;5), "med", T850&gt;=5, "high")</f>
        <v>med</v>
      </c>
      <c r="V850">
        <v>0</v>
      </c>
      <c r="W850" t="str" cm="1">
        <f t="array" ref="W850">_xlfn.IFS(V850&lt;5, "low", AND(V850&gt;=5, V850&lt;10), "med", V850&gt;=10, "high")</f>
        <v>low</v>
      </c>
      <c r="X850">
        <v>10</v>
      </c>
      <c r="Y850">
        <v>8</v>
      </c>
      <c r="Z850">
        <v>8</v>
      </c>
      <c r="AA850">
        <f t="shared" si="66"/>
        <v>1</v>
      </c>
      <c r="AB850">
        <f t="shared" si="67"/>
        <v>0</v>
      </c>
      <c r="AC850">
        <f t="shared" si="68"/>
        <v>1</v>
      </c>
      <c r="AD850" s="1">
        <f t="shared" si="69"/>
        <v>8.6666666666666661</v>
      </c>
    </row>
    <row r="851" spans="1:30" x14ac:dyDescent="0.35">
      <c r="A851" t="s">
        <v>34</v>
      </c>
      <c r="B851">
        <v>16</v>
      </c>
      <c r="C851" t="s">
        <v>35</v>
      </c>
      <c r="D851" t="s">
        <v>36</v>
      </c>
      <c r="E851" t="s">
        <v>44</v>
      </c>
      <c r="F851" t="s">
        <v>45</v>
      </c>
      <c r="G851" t="s">
        <v>48</v>
      </c>
      <c r="H851">
        <v>3</v>
      </c>
      <c r="I851">
        <v>1</v>
      </c>
      <c r="J851" t="s">
        <v>43</v>
      </c>
      <c r="K851" t="s">
        <v>42</v>
      </c>
      <c r="L851" t="s">
        <v>43</v>
      </c>
      <c r="M851" t="s">
        <v>43</v>
      </c>
      <c r="N851" t="s">
        <v>43</v>
      </c>
      <c r="O851">
        <v>1</v>
      </c>
      <c r="P851">
        <v>3</v>
      </c>
      <c r="Q851">
        <v>2</v>
      </c>
      <c r="R851">
        <v>1</v>
      </c>
      <c r="S851">
        <v>2</v>
      </c>
      <c r="T851">
        <f t="shared" si="65"/>
        <v>3</v>
      </c>
      <c r="U851" t="str" cm="1">
        <f t="array" ref="U851">_xlfn.IFS(T851&lt;3, "low", AND(T851&gt;=3, T851&lt;5), "med", T851&gt;=5, "high")</f>
        <v>med</v>
      </c>
      <c r="V851">
        <v>3</v>
      </c>
      <c r="W851" t="str" cm="1">
        <f t="array" ref="W851">_xlfn.IFS(V851&lt;5, "low", AND(V851&gt;=5, V851&lt;10), "med", V851&gt;=10, "high")</f>
        <v>low</v>
      </c>
      <c r="X851">
        <v>9</v>
      </c>
      <c r="Y851">
        <v>8</v>
      </c>
      <c r="Z851">
        <v>8</v>
      </c>
      <c r="AA851">
        <f t="shared" si="66"/>
        <v>1</v>
      </c>
      <c r="AB851">
        <f t="shared" si="67"/>
        <v>0</v>
      </c>
      <c r="AC851">
        <f t="shared" si="68"/>
        <v>1</v>
      </c>
      <c r="AD851" s="1">
        <f t="shared" si="69"/>
        <v>8.3333333333333339</v>
      </c>
    </row>
    <row r="852" spans="1:30" x14ac:dyDescent="0.35">
      <c r="A852" t="s">
        <v>34</v>
      </c>
      <c r="B852">
        <v>15</v>
      </c>
      <c r="C852" t="s">
        <v>35</v>
      </c>
      <c r="D852" t="s">
        <v>36</v>
      </c>
      <c r="E852" t="s">
        <v>44</v>
      </c>
      <c r="F852" t="s">
        <v>38</v>
      </c>
      <c r="G852" t="s">
        <v>45</v>
      </c>
      <c r="H852">
        <v>2</v>
      </c>
      <c r="I852">
        <v>0</v>
      </c>
      <c r="J852" t="s">
        <v>42</v>
      </c>
      <c r="K852" t="s">
        <v>42</v>
      </c>
      <c r="L852" t="s">
        <v>43</v>
      </c>
      <c r="M852" t="s">
        <v>43</v>
      </c>
      <c r="N852" t="s">
        <v>43</v>
      </c>
      <c r="O852">
        <v>4</v>
      </c>
      <c r="P852">
        <v>4</v>
      </c>
      <c r="Q852">
        <v>2</v>
      </c>
      <c r="R852">
        <v>3</v>
      </c>
      <c r="S852">
        <v>3</v>
      </c>
      <c r="T852">
        <f t="shared" si="65"/>
        <v>6</v>
      </c>
      <c r="U852" t="str" cm="1">
        <f t="array" ref="U852">_xlfn.IFS(T852&lt;3, "low", AND(T852&gt;=3, T852&lt;5), "med", T852&gt;=5, "high")</f>
        <v>high</v>
      </c>
      <c r="V852">
        <v>0</v>
      </c>
      <c r="W852" t="str" cm="1">
        <f t="array" ref="W852">_xlfn.IFS(V852&lt;5, "low", AND(V852&gt;=5, V852&lt;10), "med", V852&gt;=10, "high")</f>
        <v>low</v>
      </c>
      <c r="X852">
        <v>9</v>
      </c>
      <c r="Y852">
        <v>10</v>
      </c>
      <c r="Z852">
        <v>9</v>
      </c>
      <c r="AA852">
        <f t="shared" si="66"/>
        <v>0</v>
      </c>
      <c r="AB852">
        <f t="shared" si="67"/>
        <v>1</v>
      </c>
      <c r="AC852">
        <f t="shared" si="68"/>
        <v>1</v>
      </c>
      <c r="AD852" s="1">
        <f t="shared" si="69"/>
        <v>9.3333333333333339</v>
      </c>
    </row>
    <row r="853" spans="1:30" x14ac:dyDescent="0.35">
      <c r="A853" t="s">
        <v>34</v>
      </c>
      <c r="B853">
        <v>16</v>
      </c>
      <c r="C853" t="s">
        <v>35</v>
      </c>
      <c r="D853" t="s">
        <v>36</v>
      </c>
      <c r="E853" t="s">
        <v>44</v>
      </c>
      <c r="F853" t="s">
        <v>38</v>
      </c>
      <c r="G853" t="s">
        <v>45</v>
      </c>
      <c r="H853">
        <v>2</v>
      </c>
      <c r="I853">
        <v>0</v>
      </c>
      <c r="J853" t="s">
        <v>43</v>
      </c>
      <c r="K853" t="s">
        <v>42</v>
      </c>
      <c r="L853" t="s">
        <v>43</v>
      </c>
      <c r="M853" t="s">
        <v>43</v>
      </c>
      <c r="N853" t="s">
        <v>42</v>
      </c>
      <c r="O853">
        <v>5</v>
      </c>
      <c r="P853">
        <v>4</v>
      </c>
      <c r="Q853">
        <v>3</v>
      </c>
      <c r="R853">
        <v>2</v>
      </c>
      <c r="S853">
        <v>1</v>
      </c>
      <c r="T853">
        <f t="shared" si="65"/>
        <v>3</v>
      </c>
      <c r="U853" t="str" cm="1">
        <f t="array" ref="U853">_xlfn.IFS(T853&lt;3, "low", AND(T853&gt;=3, T853&lt;5), "med", T853&gt;=5, "high")</f>
        <v>med</v>
      </c>
      <c r="V853">
        <v>0</v>
      </c>
      <c r="W853" t="str" cm="1">
        <f t="array" ref="W853">_xlfn.IFS(V853&lt;5, "low", AND(V853&gt;=5, V853&lt;10), "med", V853&gt;=10, "high")</f>
        <v>low</v>
      </c>
      <c r="X853">
        <v>13</v>
      </c>
      <c r="Y853">
        <v>14</v>
      </c>
      <c r="Z853">
        <v>15</v>
      </c>
      <c r="AA853">
        <f t="shared" si="66"/>
        <v>0</v>
      </c>
      <c r="AB853">
        <f t="shared" si="67"/>
        <v>0</v>
      </c>
      <c r="AC853">
        <f t="shared" si="68"/>
        <v>0</v>
      </c>
      <c r="AD853" s="1">
        <f t="shared" si="69"/>
        <v>14</v>
      </c>
    </row>
    <row r="854" spans="1:30" x14ac:dyDescent="0.35">
      <c r="A854" t="s">
        <v>50</v>
      </c>
      <c r="B854">
        <v>17</v>
      </c>
      <c r="C854" t="s">
        <v>52</v>
      </c>
      <c r="D854" t="s">
        <v>47</v>
      </c>
      <c r="E854" t="s">
        <v>44</v>
      </c>
      <c r="F854" t="s">
        <v>38</v>
      </c>
      <c r="G854" t="s">
        <v>48</v>
      </c>
      <c r="H854">
        <v>1</v>
      </c>
      <c r="I854">
        <v>0</v>
      </c>
      <c r="J854" t="s">
        <v>43</v>
      </c>
      <c r="K854" t="s">
        <v>42</v>
      </c>
      <c r="L854" t="s">
        <v>43</v>
      </c>
      <c r="M854" t="s">
        <v>42</v>
      </c>
      <c r="N854" t="s">
        <v>43</v>
      </c>
      <c r="O854">
        <v>5</v>
      </c>
      <c r="P854">
        <v>5</v>
      </c>
      <c r="Q854">
        <v>5</v>
      </c>
      <c r="R854">
        <v>5</v>
      </c>
      <c r="S854">
        <v>5</v>
      </c>
      <c r="T854">
        <f t="shared" si="65"/>
        <v>10</v>
      </c>
      <c r="U854" t="str" cm="1">
        <f t="array" ref="U854">_xlfn.IFS(T854&lt;3, "low", AND(T854&gt;=3, T854&lt;5), "med", T854&gt;=5, "high")</f>
        <v>high</v>
      </c>
      <c r="V854">
        <v>4</v>
      </c>
      <c r="W854" t="str" cm="1">
        <f t="array" ref="W854">_xlfn.IFS(V854&lt;5, "low", AND(V854&gt;=5, V854&lt;10), "med", V854&gt;=10, "high")</f>
        <v>low</v>
      </c>
      <c r="X854">
        <v>10</v>
      </c>
      <c r="Y854">
        <v>11</v>
      </c>
      <c r="Z854">
        <v>11</v>
      </c>
      <c r="AA854">
        <f t="shared" si="66"/>
        <v>0</v>
      </c>
      <c r="AB854">
        <f t="shared" si="67"/>
        <v>0</v>
      </c>
      <c r="AC854">
        <f t="shared" si="68"/>
        <v>0</v>
      </c>
      <c r="AD854" s="1">
        <f t="shared" si="69"/>
        <v>10.666666666666666</v>
      </c>
    </row>
    <row r="855" spans="1:30" x14ac:dyDescent="0.35">
      <c r="A855" t="s">
        <v>34</v>
      </c>
      <c r="B855">
        <v>16</v>
      </c>
      <c r="C855" t="s">
        <v>52</v>
      </c>
      <c r="D855" t="s">
        <v>36</v>
      </c>
      <c r="E855" t="s">
        <v>44</v>
      </c>
      <c r="F855" t="s">
        <v>45</v>
      </c>
      <c r="G855" t="s">
        <v>45</v>
      </c>
      <c r="H855">
        <v>4</v>
      </c>
      <c r="I855">
        <v>0</v>
      </c>
      <c r="J855" t="s">
        <v>43</v>
      </c>
      <c r="K855" t="s">
        <v>42</v>
      </c>
      <c r="L855" t="s">
        <v>43</v>
      </c>
      <c r="M855" t="s">
        <v>43</v>
      </c>
      <c r="N855" t="s">
        <v>43</v>
      </c>
      <c r="O855">
        <v>4</v>
      </c>
      <c r="P855">
        <v>3</v>
      </c>
      <c r="Q855">
        <v>2</v>
      </c>
      <c r="R855">
        <v>1</v>
      </c>
      <c r="S855">
        <v>1</v>
      </c>
      <c r="T855">
        <f t="shared" si="65"/>
        <v>2</v>
      </c>
      <c r="U855" t="str" cm="1">
        <f t="array" ref="U855">_xlfn.IFS(T855&lt;3, "low", AND(T855&gt;=3, T855&lt;5), "med", T855&gt;=5, "high")</f>
        <v>low</v>
      </c>
      <c r="V855">
        <v>0</v>
      </c>
      <c r="W855" t="str" cm="1">
        <f t="array" ref="W855">_xlfn.IFS(V855&lt;5, "low", AND(V855&gt;=5, V855&lt;10), "med", V855&gt;=10, "high")</f>
        <v>low</v>
      </c>
      <c r="X855">
        <v>13</v>
      </c>
      <c r="Y855">
        <v>10</v>
      </c>
      <c r="Z855">
        <v>13</v>
      </c>
      <c r="AA855">
        <f t="shared" si="66"/>
        <v>1</v>
      </c>
      <c r="AB855">
        <f t="shared" si="67"/>
        <v>0</v>
      </c>
      <c r="AC855">
        <f t="shared" si="68"/>
        <v>1</v>
      </c>
      <c r="AD855" s="1">
        <f t="shared" si="69"/>
        <v>12</v>
      </c>
    </row>
    <row r="856" spans="1:30" x14ac:dyDescent="0.35">
      <c r="A856" t="s">
        <v>34</v>
      </c>
      <c r="B856">
        <v>16</v>
      </c>
      <c r="C856" t="s">
        <v>52</v>
      </c>
      <c r="D856" t="s">
        <v>36</v>
      </c>
      <c r="E856" t="s">
        <v>44</v>
      </c>
      <c r="F856" t="s">
        <v>38</v>
      </c>
      <c r="G856" t="s">
        <v>45</v>
      </c>
      <c r="H856">
        <v>3</v>
      </c>
      <c r="I856">
        <v>0</v>
      </c>
      <c r="J856" t="s">
        <v>42</v>
      </c>
      <c r="K856" t="s">
        <v>42</v>
      </c>
      <c r="L856" t="s">
        <v>43</v>
      </c>
      <c r="M856" t="s">
        <v>43</v>
      </c>
      <c r="N856" t="s">
        <v>43</v>
      </c>
      <c r="O856">
        <v>4</v>
      </c>
      <c r="P856">
        <v>4</v>
      </c>
      <c r="Q856">
        <v>3</v>
      </c>
      <c r="R856">
        <v>1</v>
      </c>
      <c r="S856">
        <v>1</v>
      </c>
      <c r="T856">
        <f t="shared" si="65"/>
        <v>2</v>
      </c>
      <c r="U856" t="str" cm="1">
        <f t="array" ref="U856">_xlfn.IFS(T856&lt;3, "low", AND(T856&gt;=3, T856&lt;5), "med", T856&gt;=5, "high")</f>
        <v>low</v>
      </c>
      <c r="V856">
        <v>2</v>
      </c>
      <c r="W856" t="str" cm="1">
        <f t="array" ref="W856">_xlfn.IFS(V856&lt;5, "low", AND(V856&gt;=5, V856&lt;10), "med", V856&gt;=10, "high")</f>
        <v>low</v>
      </c>
      <c r="X856">
        <v>10</v>
      </c>
      <c r="Y856">
        <v>9</v>
      </c>
      <c r="Z856">
        <v>10</v>
      </c>
      <c r="AA856">
        <f t="shared" si="66"/>
        <v>1</v>
      </c>
      <c r="AB856">
        <f t="shared" si="67"/>
        <v>0</v>
      </c>
      <c r="AC856">
        <f t="shared" si="68"/>
        <v>1</v>
      </c>
      <c r="AD856" s="1">
        <f t="shared" si="69"/>
        <v>9.6666666666666661</v>
      </c>
    </row>
    <row r="857" spans="1:30" x14ac:dyDescent="0.35">
      <c r="A857" t="s">
        <v>34</v>
      </c>
      <c r="B857">
        <v>15</v>
      </c>
      <c r="C857" t="s">
        <v>52</v>
      </c>
      <c r="D857" t="s">
        <v>36</v>
      </c>
      <c r="E857" t="s">
        <v>44</v>
      </c>
      <c r="F857" t="s">
        <v>38</v>
      </c>
      <c r="G857" t="s">
        <v>45</v>
      </c>
      <c r="H857">
        <v>2</v>
      </c>
      <c r="I857">
        <v>0</v>
      </c>
      <c r="J857" t="s">
        <v>43</v>
      </c>
      <c r="K857" t="s">
        <v>42</v>
      </c>
      <c r="L857" t="s">
        <v>43</v>
      </c>
      <c r="M857" t="s">
        <v>42</v>
      </c>
      <c r="N857" t="s">
        <v>43</v>
      </c>
      <c r="O857">
        <v>4</v>
      </c>
      <c r="P857">
        <v>3</v>
      </c>
      <c r="Q857">
        <v>3</v>
      </c>
      <c r="R857">
        <v>1</v>
      </c>
      <c r="S857">
        <v>1</v>
      </c>
      <c r="T857">
        <f t="shared" si="65"/>
        <v>2</v>
      </c>
      <c r="U857" t="str" cm="1">
        <f t="array" ref="U857">_xlfn.IFS(T857&lt;3, "low", AND(T857&gt;=3, T857&lt;5), "med", T857&gt;=5, "high")</f>
        <v>low</v>
      </c>
      <c r="V857">
        <v>1</v>
      </c>
      <c r="W857" t="str" cm="1">
        <f t="array" ref="W857">_xlfn.IFS(V857&lt;5, "low", AND(V857&gt;=5, V857&lt;10), "med", V857&gt;=10, "high")</f>
        <v>low</v>
      </c>
      <c r="X857">
        <v>11</v>
      </c>
      <c r="Y857">
        <v>10</v>
      </c>
      <c r="Z857">
        <v>11</v>
      </c>
      <c r="AA857">
        <f t="shared" si="66"/>
        <v>1</v>
      </c>
      <c r="AB857">
        <f t="shared" si="67"/>
        <v>0</v>
      </c>
      <c r="AC857">
        <f t="shared" si="68"/>
        <v>1</v>
      </c>
      <c r="AD857" s="1">
        <f t="shared" si="69"/>
        <v>10.666666666666666</v>
      </c>
    </row>
    <row r="858" spans="1:30" x14ac:dyDescent="0.35">
      <c r="A858" t="s">
        <v>34</v>
      </c>
      <c r="B858">
        <v>16</v>
      </c>
      <c r="C858" t="s">
        <v>52</v>
      </c>
      <c r="D858" t="s">
        <v>36</v>
      </c>
      <c r="E858" t="s">
        <v>44</v>
      </c>
      <c r="F858" t="s">
        <v>38</v>
      </c>
      <c r="G858" t="s">
        <v>45</v>
      </c>
      <c r="H858">
        <v>1</v>
      </c>
      <c r="I858">
        <v>0</v>
      </c>
      <c r="J858" t="s">
        <v>43</v>
      </c>
      <c r="K858" t="s">
        <v>43</v>
      </c>
      <c r="L858" t="s">
        <v>43</v>
      </c>
      <c r="M858" t="s">
        <v>42</v>
      </c>
      <c r="N858" t="s">
        <v>42</v>
      </c>
      <c r="O858">
        <v>4</v>
      </c>
      <c r="P858">
        <v>2</v>
      </c>
      <c r="Q858">
        <v>2</v>
      </c>
      <c r="R858">
        <v>4</v>
      </c>
      <c r="S858">
        <v>3</v>
      </c>
      <c r="T858">
        <f t="shared" si="65"/>
        <v>7</v>
      </c>
      <c r="U858" t="str" cm="1">
        <f t="array" ref="U858">_xlfn.IFS(T858&lt;3, "low", AND(T858&gt;=3, T858&lt;5), "med", T858&gt;=5, "high")</f>
        <v>high</v>
      </c>
      <c r="V858">
        <v>0</v>
      </c>
      <c r="W858" t="str" cm="1">
        <f t="array" ref="W858">_xlfn.IFS(V858&lt;5, "low", AND(V858&gt;=5, V858&lt;10), "med", V858&gt;=10, "high")</f>
        <v>low</v>
      </c>
      <c r="X858">
        <v>13</v>
      </c>
      <c r="Y858">
        <v>12</v>
      </c>
      <c r="Z858">
        <v>14</v>
      </c>
      <c r="AA858">
        <f t="shared" si="66"/>
        <v>1</v>
      </c>
      <c r="AB858">
        <f t="shared" si="67"/>
        <v>0</v>
      </c>
      <c r="AC858">
        <f t="shared" si="68"/>
        <v>1</v>
      </c>
      <c r="AD858" s="1">
        <f t="shared" si="69"/>
        <v>13</v>
      </c>
    </row>
    <row r="859" spans="1:30" x14ac:dyDescent="0.35">
      <c r="A859" t="s">
        <v>34</v>
      </c>
      <c r="B859">
        <v>15</v>
      </c>
      <c r="C859" t="s">
        <v>52</v>
      </c>
      <c r="D859" t="s">
        <v>36</v>
      </c>
      <c r="E859" t="s">
        <v>44</v>
      </c>
      <c r="F859" t="s">
        <v>38</v>
      </c>
      <c r="G859" t="s">
        <v>38</v>
      </c>
      <c r="H859">
        <v>2</v>
      </c>
      <c r="I859">
        <v>0</v>
      </c>
      <c r="J859" t="s">
        <v>43</v>
      </c>
      <c r="K859" t="s">
        <v>42</v>
      </c>
      <c r="L859" t="s">
        <v>43</v>
      </c>
      <c r="M859" t="s">
        <v>43</v>
      </c>
      <c r="N859" t="s">
        <v>43</v>
      </c>
      <c r="O859">
        <v>4</v>
      </c>
      <c r="P859">
        <v>2</v>
      </c>
      <c r="Q859">
        <v>1</v>
      </c>
      <c r="R859">
        <v>1</v>
      </c>
      <c r="S859">
        <v>2</v>
      </c>
      <c r="T859">
        <f t="shared" si="65"/>
        <v>3</v>
      </c>
      <c r="U859" t="str" cm="1">
        <f t="array" ref="U859">_xlfn.IFS(T859&lt;3, "low", AND(T859&gt;=3, T859&lt;5), "med", T859&gt;=5, "high")</f>
        <v>med</v>
      </c>
      <c r="V859">
        <v>0</v>
      </c>
      <c r="W859" t="str" cm="1">
        <f t="array" ref="W859">_xlfn.IFS(V859&lt;5, "low", AND(V859&gt;=5, V859&lt;10), "med", V859&gt;=10, "high")</f>
        <v>low</v>
      </c>
      <c r="X859">
        <v>13</v>
      </c>
      <c r="Y859">
        <v>14</v>
      </c>
      <c r="Z859">
        <v>14</v>
      </c>
      <c r="AA859">
        <f t="shared" si="66"/>
        <v>0</v>
      </c>
      <c r="AB859">
        <f t="shared" si="67"/>
        <v>0</v>
      </c>
      <c r="AC859">
        <f t="shared" si="68"/>
        <v>0</v>
      </c>
      <c r="AD859" s="1">
        <f t="shared" si="69"/>
        <v>13.666666666666666</v>
      </c>
    </row>
    <row r="860" spans="1:30" x14ac:dyDescent="0.35">
      <c r="A860" t="s">
        <v>34</v>
      </c>
      <c r="B860">
        <v>15</v>
      </c>
      <c r="C860" t="s">
        <v>52</v>
      </c>
      <c r="D860" t="s">
        <v>47</v>
      </c>
      <c r="E860" t="s">
        <v>44</v>
      </c>
      <c r="F860" t="s">
        <v>45</v>
      </c>
      <c r="G860" t="s">
        <v>45</v>
      </c>
      <c r="H860">
        <v>3</v>
      </c>
      <c r="I860">
        <v>0</v>
      </c>
      <c r="J860" t="s">
        <v>42</v>
      </c>
      <c r="K860" t="s">
        <v>42</v>
      </c>
      <c r="L860" t="s">
        <v>43</v>
      </c>
      <c r="M860" t="s">
        <v>43</v>
      </c>
      <c r="N860" t="s">
        <v>43</v>
      </c>
      <c r="O860">
        <v>4</v>
      </c>
      <c r="P860">
        <v>4</v>
      </c>
      <c r="Q860">
        <v>3</v>
      </c>
      <c r="R860">
        <v>2</v>
      </c>
      <c r="S860">
        <v>2</v>
      </c>
      <c r="T860">
        <f t="shared" si="65"/>
        <v>4</v>
      </c>
      <c r="U860" t="str" cm="1">
        <f t="array" ref="U860">_xlfn.IFS(T860&lt;3, "low", AND(T860&gt;=3, T860&lt;5), "med", T860&gt;=5, "high")</f>
        <v>med</v>
      </c>
      <c r="V860">
        <v>2</v>
      </c>
      <c r="W860" t="str" cm="1">
        <f t="array" ref="W860">_xlfn.IFS(V860&lt;5, "low", AND(V860&gt;=5, V860&lt;10), "med", V860&gt;=10, "high")</f>
        <v>low</v>
      </c>
      <c r="X860">
        <v>14</v>
      </c>
      <c r="Y860">
        <v>11</v>
      </c>
      <c r="Z860">
        <v>12</v>
      </c>
      <c r="AA860">
        <f t="shared" si="66"/>
        <v>1</v>
      </c>
      <c r="AB860">
        <f t="shared" si="67"/>
        <v>0</v>
      </c>
      <c r="AC860">
        <f t="shared" si="68"/>
        <v>1</v>
      </c>
      <c r="AD860" s="1">
        <f t="shared" si="69"/>
        <v>12.333333333333334</v>
      </c>
    </row>
    <row r="861" spans="1:30" x14ac:dyDescent="0.35">
      <c r="A861" t="s">
        <v>50</v>
      </c>
      <c r="B861">
        <v>16</v>
      </c>
      <c r="C861" t="s">
        <v>52</v>
      </c>
      <c r="D861" t="s">
        <v>36</v>
      </c>
      <c r="E861" t="s">
        <v>44</v>
      </c>
      <c r="F861" t="s">
        <v>38</v>
      </c>
      <c r="G861" t="s">
        <v>45</v>
      </c>
      <c r="H861">
        <v>1</v>
      </c>
      <c r="I861">
        <v>0</v>
      </c>
      <c r="J861" t="s">
        <v>43</v>
      </c>
      <c r="K861" t="s">
        <v>43</v>
      </c>
      <c r="L861" t="s">
        <v>43</v>
      </c>
      <c r="M861" t="s">
        <v>42</v>
      </c>
      <c r="N861" t="s">
        <v>43</v>
      </c>
      <c r="O861">
        <v>3</v>
      </c>
      <c r="P861">
        <v>4</v>
      </c>
      <c r="Q861">
        <v>4</v>
      </c>
      <c r="R861">
        <v>3</v>
      </c>
      <c r="S861">
        <v>4</v>
      </c>
      <c r="T861">
        <f t="shared" si="65"/>
        <v>7</v>
      </c>
      <c r="U861" t="str" cm="1">
        <f t="array" ref="U861">_xlfn.IFS(T861&lt;3, "low", AND(T861&gt;=3, T861&lt;5), "med", T861&gt;=5, "high")</f>
        <v>high</v>
      </c>
      <c r="V861">
        <v>6</v>
      </c>
      <c r="W861" t="str" cm="1">
        <f t="array" ref="W861">_xlfn.IFS(V861&lt;5, "low", AND(V861&gt;=5, V861&lt;10), "med", V861&gt;=10, "high")</f>
        <v>med</v>
      </c>
      <c r="X861">
        <v>11</v>
      </c>
      <c r="Y861">
        <v>11</v>
      </c>
      <c r="Z861">
        <v>11</v>
      </c>
      <c r="AA861">
        <f t="shared" si="66"/>
        <v>0</v>
      </c>
      <c r="AB861">
        <f t="shared" si="67"/>
        <v>0</v>
      </c>
      <c r="AC861">
        <f t="shared" si="68"/>
        <v>0</v>
      </c>
      <c r="AD861" s="1">
        <f t="shared" si="69"/>
        <v>11</v>
      </c>
    </row>
    <row r="862" spans="1:30" x14ac:dyDescent="0.35">
      <c r="A862" t="s">
        <v>34</v>
      </c>
      <c r="B862">
        <v>18</v>
      </c>
      <c r="C862" t="s">
        <v>35</v>
      </c>
      <c r="D862" t="s">
        <v>36</v>
      </c>
      <c r="E862" t="s">
        <v>44</v>
      </c>
      <c r="F862" t="s">
        <v>45</v>
      </c>
      <c r="G862" t="s">
        <v>45</v>
      </c>
      <c r="H862">
        <v>2</v>
      </c>
      <c r="I862">
        <v>1</v>
      </c>
      <c r="J862" t="s">
        <v>43</v>
      </c>
      <c r="K862" t="s">
        <v>42</v>
      </c>
      <c r="L862" t="s">
        <v>43</v>
      </c>
      <c r="M862" t="s">
        <v>42</v>
      </c>
      <c r="N862" t="s">
        <v>42</v>
      </c>
      <c r="O862">
        <v>3</v>
      </c>
      <c r="P862">
        <v>4</v>
      </c>
      <c r="Q862">
        <v>4</v>
      </c>
      <c r="R862">
        <v>2</v>
      </c>
      <c r="S862">
        <v>3</v>
      </c>
      <c r="T862">
        <f t="shared" si="65"/>
        <v>5</v>
      </c>
      <c r="U862" t="str" cm="1">
        <f t="array" ref="U862">_xlfn.IFS(T862&lt;3, "low", AND(T862&gt;=3, T862&lt;5), "med", T862&gt;=5, "high")</f>
        <v>high</v>
      </c>
      <c r="V862">
        <v>9</v>
      </c>
      <c r="W862" t="str" cm="1">
        <f t="array" ref="W862">_xlfn.IFS(V862&lt;5, "low", AND(V862&gt;=5, V862&lt;10), "med", V862&gt;=10, "high")</f>
        <v>med</v>
      </c>
      <c r="X862">
        <v>9</v>
      </c>
      <c r="Y862">
        <v>8</v>
      </c>
      <c r="Z862">
        <v>8</v>
      </c>
      <c r="AA862">
        <f t="shared" si="66"/>
        <v>1</v>
      </c>
      <c r="AB862">
        <f t="shared" si="67"/>
        <v>0</v>
      </c>
      <c r="AC862">
        <f t="shared" si="68"/>
        <v>1</v>
      </c>
      <c r="AD862" s="1">
        <f t="shared" si="69"/>
        <v>8.3333333333333339</v>
      </c>
    </row>
    <row r="863" spans="1:30" x14ac:dyDescent="0.35">
      <c r="A863" t="s">
        <v>50</v>
      </c>
      <c r="B863">
        <v>15</v>
      </c>
      <c r="C863" t="s">
        <v>35</v>
      </c>
      <c r="D863" t="s">
        <v>36</v>
      </c>
      <c r="E863" t="s">
        <v>44</v>
      </c>
      <c r="F863" t="s">
        <v>45</v>
      </c>
      <c r="G863" t="s">
        <v>48</v>
      </c>
      <c r="H863">
        <v>1</v>
      </c>
      <c r="I863">
        <v>0</v>
      </c>
      <c r="J863" t="s">
        <v>43</v>
      </c>
      <c r="K863" t="s">
        <v>42</v>
      </c>
      <c r="L863" t="s">
        <v>43</v>
      </c>
      <c r="M863" t="s">
        <v>43</v>
      </c>
      <c r="N863" t="s">
        <v>43</v>
      </c>
      <c r="O863">
        <v>3</v>
      </c>
      <c r="P863">
        <v>2</v>
      </c>
      <c r="Q863">
        <v>3</v>
      </c>
      <c r="R863">
        <v>1</v>
      </c>
      <c r="S863">
        <v>3</v>
      </c>
      <c r="T863">
        <f t="shared" si="65"/>
        <v>4</v>
      </c>
      <c r="U863" t="str" cm="1">
        <f t="array" ref="U863">_xlfn.IFS(T863&lt;3, "low", AND(T863&gt;=3, T863&lt;5), "med", T863&gt;=5, "high")</f>
        <v>med</v>
      </c>
      <c r="V863">
        <v>0</v>
      </c>
      <c r="W863" t="str" cm="1">
        <f t="array" ref="W863">_xlfn.IFS(V863&lt;5, "low", AND(V863&gt;=5, V863&lt;10), "med", V863&gt;=10, "high")</f>
        <v>low</v>
      </c>
      <c r="X863">
        <v>10</v>
      </c>
      <c r="Y863">
        <v>9</v>
      </c>
      <c r="Z863">
        <v>11</v>
      </c>
      <c r="AA863">
        <f t="shared" si="66"/>
        <v>1</v>
      </c>
      <c r="AB863">
        <f t="shared" si="67"/>
        <v>0</v>
      </c>
      <c r="AC863">
        <f t="shared" si="68"/>
        <v>1</v>
      </c>
      <c r="AD863" s="1">
        <f t="shared" si="69"/>
        <v>10</v>
      </c>
    </row>
    <row r="864" spans="1:30" x14ac:dyDescent="0.35">
      <c r="A864" t="s">
        <v>34</v>
      </c>
      <c r="B864">
        <v>16</v>
      </c>
      <c r="C864" t="s">
        <v>52</v>
      </c>
      <c r="D864" t="s">
        <v>36</v>
      </c>
      <c r="E864" t="s">
        <v>44</v>
      </c>
      <c r="F864" t="s">
        <v>45</v>
      </c>
      <c r="G864" t="s">
        <v>48</v>
      </c>
      <c r="H864">
        <v>2</v>
      </c>
      <c r="I864">
        <v>0</v>
      </c>
      <c r="J864" t="s">
        <v>43</v>
      </c>
      <c r="K864" t="s">
        <v>42</v>
      </c>
      <c r="L864" t="s">
        <v>43</v>
      </c>
      <c r="M864" t="s">
        <v>42</v>
      </c>
      <c r="N864" t="s">
        <v>43</v>
      </c>
      <c r="O864">
        <v>5</v>
      </c>
      <c r="P864">
        <v>3</v>
      </c>
      <c r="Q864">
        <v>4</v>
      </c>
      <c r="R864">
        <v>1</v>
      </c>
      <c r="S864">
        <v>1</v>
      </c>
      <c r="T864">
        <f t="shared" si="65"/>
        <v>2</v>
      </c>
      <c r="U864" t="str" cm="1">
        <f t="array" ref="U864">_xlfn.IFS(T864&lt;3, "low", AND(T864&gt;=3, T864&lt;5), "med", T864&gt;=5, "high")</f>
        <v>low</v>
      </c>
      <c r="V864">
        <v>1</v>
      </c>
      <c r="W864" t="str" cm="1">
        <f t="array" ref="W864">_xlfn.IFS(V864&lt;5, "low", AND(V864&gt;=5, V864&lt;10), "med", V864&gt;=10, "high")</f>
        <v>low</v>
      </c>
      <c r="X864">
        <v>14</v>
      </c>
      <c r="Y864">
        <v>13</v>
      </c>
      <c r="Z864">
        <v>14</v>
      </c>
      <c r="AA864">
        <f t="shared" si="66"/>
        <v>1</v>
      </c>
      <c r="AB864">
        <f t="shared" si="67"/>
        <v>0</v>
      </c>
      <c r="AC864">
        <f t="shared" si="68"/>
        <v>1</v>
      </c>
      <c r="AD864" s="1">
        <f t="shared" si="69"/>
        <v>13.666666666666666</v>
      </c>
    </row>
    <row r="865" spans="1:30" x14ac:dyDescent="0.35">
      <c r="A865" t="s">
        <v>50</v>
      </c>
      <c r="B865">
        <v>15</v>
      </c>
      <c r="C865" t="s">
        <v>35</v>
      </c>
      <c r="D865" t="s">
        <v>36</v>
      </c>
      <c r="E865" t="s">
        <v>44</v>
      </c>
      <c r="F865" t="s">
        <v>28</v>
      </c>
      <c r="G865" t="s">
        <v>45</v>
      </c>
      <c r="H865">
        <v>1</v>
      </c>
      <c r="I865">
        <v>0</v>
      </c>
      <c r="J865" t="s">
        <v>43</v>
      </c>
      <c r="K865" t="s">
        <v>43</v>
      </c>
      <c r="L865" t="s">
        <v>43</v>
      </c>
      <c r="M865" t="s">
        <v>43</v>
      </c>
      <c r="N865" t="s">
        <v>43</v>
      </c>
      <c r="O865">
        <v>4</v>
      </c>
      <c r="P865">
        <v>3</v>
      </c>
      <c r="Q865">
        <v>3</v>
      </c>
      <c r="R865">
        <v>1</v>
      </c>
      <c r="S865">
        <v>2</v>
      </c>
      <c r="T865">
        <f t="shared" si="65"/>
        <v>3</v>
      </c>
      <c r="U865" t="str" cm="1">
        <f t="array" ref="U865">_xlfn.IFS(T865&lt;3, "low", AND(T865&gt;=3, T865&lt;5), "med", T865&gt;=5, "high")</f>
        <v>med</v>
      </c>
      <c r="V865">
        <v>1</v>
      </c>
      <c r="W865" t="str" cm="1">
        <f t="array" ref="W865">_xlfn.IFS(V865&lt;5, "low", AND(V865&gt;=5, V865&lt;10), "med", V865&gt;=10, "high")</f>
        <v>low</v>
      </c>
      <c r="X865">
        <v>13</v>
      </c>
      <c r="Y865">
        <v>12</v>
      </c>
      <c r="Z865">
        <v>13</v>
      </c>
      <c r="AA865">
        <f t="shared" si="66"/>
        <v>1</v>
      </c>
      <c r="AB865">
        <f t="shared" si="67"/>
        <v>0</v>
      </c>
      <c r="AC865">
        <f t="shared" si="68"/>
        <v>1</v>
      </c>
      <c r="AD865" s="1">
        <f t="shared" si="69"/>
        <v>12.666666666666666</v>
      </c>
    </row>
    <row r="866" spans="1:30" x14ac:dyDescent="0.35">
      <c r="A866" t="s">
        <v>50</v>
      </c>
      <c r="B866">
        <v>16</v>
      </c>
      <c r="C866" t="s">
        <v>35</v>
      </c>
      <c r="D866" t="s">
        <v>36</v>
      </c>
      <c r="E866" t="s">
        <v>44</v>
      </c>
      <c r="F866" t="s">
        <v>45</v>
      </c>
      <c r="G866" t="s">
        <v>39</v>
      </c>
      <c r="H866">
        <v>2</v>
      </c>
      <c r="I866">
        <v>0</v>
      </c>
      <c r="J866" t="s">
        <v>43</v>
      </c>
      <c r="K866" t="s">
        <v>42</v>
      </c>
      <c r="L866" t="s">
        <v>43</v>
      </c>
      <c r="M866" t="s">
        <v>42</v>
      </c>
      <c r="N866" t="s">
        <v>42</v>
      </c>
      <c r="O866">
        <v>4</v>
      </c>
      <c r="P866">
        <v>3</v>
      </c>
      <c r="Q866">
        <v>1</v>
      </c>
      <c r="R866">
        <v>1</v>
      </c>
      <c r="S866">
        <v>1</v>
      </c>
      <c r="T866">
        <f t="shared" si="65"/>
        <v>2</v>
      </c>
      <c r="U866" t="str" cm="1">
        <f t="array" ref="U866">_xlfn.IFS(T866&lt;3, "low", AND(T866&gt;=3, T866&lt;5), "med", T866&gt;=5, "high")</f>
        <v>low</v>
      </c>
      <c r="V866">
        <v>0</v>
      </c>
      <c r="W866" t="str" cm="1">
        <f t="array" ref="W866">_xlfn.IFS(V866&lt;5, "low", AND(V866&gt;=5, V866&lt;10), "med", V866&gt;=10, "high")</f>
        <v>low</v>
      </c>
      <c r="X866">
        <v>13</v>
      </c>
      <c r="Y866">
        <v>12</v>
      </c>
      <c r="Z866">
        <v>13</v>
      </c>
      <c r="AA866">
        <f t="shared" si="66"/>
        <v>1</v>
      </c>
      <c r="AB866">
        <f t="shared" si="67"/>
        <v>0</v>
      </c>
      <c r="AC866">
        <f t="shared" si="68"/>
        <v>1</v>
      </c>
      <c r="AD866" s="1">
        <f t="shared" si="69"/>
        <v>12.666666666666666</v>
      </c>
    </row>
    <row r="867" spans="1:30" x14ac:dyDescent="0.35">
      <c r="A867" t="s">
        <v>34</v>
      </c>
      <c r="B867">
        <v>15</v>
      </c>
      <c r="C867" t="s">
        <v>52</v>
      </c>
      <c r="D867" t="s">
        <v>36</v>
      </c>
      <c r="E867" t="s">
        <v>44</v>
      </c>
      <c r="F867" t="s">
        <v>48</v>
      </c>
      <c r="G867" t="s">
        <v>45</v>
      </c>
      <c r="H867">
        <v>2</v>
      </c>
      <c r="I867">
        <v>0</v>
      </c>
      <c r="J867" t="s">
        <v>43</v>
      </c>
      <c r="K867" t="s">
        <v>42</v>
      </c>
      <c r="L867" t="s">
        <v>43</v>
      </c>
      <c r="M867" t="s">
        <v>43</v>
      </c>
      <c r="N867" t="s">
        <v>42</v>
      </c>
      <c r="O867">
        <v>4</v>
      </c>
      <c r="P867">
        <v>5</v>
      </c>
      <c r="Q867">
        <v>4</v>
      </c>
      <c r="R867">
        <v>1</v>
      </c>
      <c r="S867">
        <v>1</v>
      </c>
      <c r="T867">
        <f t="shared" si="65"/>
        <v>2</v>
      </c>
      <c r="U867" t="str" cm="1">
        <f t="array" ref="U867">_xlfn.IFS(T867&lt;3, "low", AND(T867&gt;=3, T867&lt;5), "med", T867&gt;=5, "high")</f>
        <v>low</v>
      </c>
      <c r="V867">
        <v>4</v>
      </c>
      <c r="W867" t="str" cm="1">
        <f t="array" ref="W867">_xlfn.IFS(V867&lt;5, "low", AND(V867&gt;=5, V867&lt;10), "med", V867&gt;=10, "high")</f>
        <v>low</v>
      </c>
      <c r="X867">
        <v>13</v>
      </c>
      <c r="Y867">
        <v>12</v>
      </c>
      <c r="Z867">
        <v>12</v>
      </c>
      <c r="AA867">
        <f t="shared" si="66"/>
        <v>1</v>
      </c>
      <c r="AB867">
        <f t="shared" si="67"/>
        <v>0</v>
      </c>
      <c r="AC867">
        <f t="shared" si="68"/>
        <v>1</v>
      </c>
      <c r="AD867" s="1">
        <f t="shared" si="69"/>
        <v>12.333333333333334</v>
      </c>
    </row>
    <row r="868" spans="1:30" x14ac:dyDescent="0.35">
      <c r="A868" t="s">
        <v>34</v>
      </c>
      <c r="B868">
        <v>16</v>
      </c>
      <c r="C868" t="s">
        <v>52</v>
      </c>
      <c r="D868" t="s">
        <v>36</v>
      </c>
      <c r="E868" t="s">
        <v>44</v>
      </c>
      <c r="F868" t="s">
        <v>38</v>
      </c>
      <c r="G868" t="s">
        <v>45</v>
      </c>
      <c r="H868">
        <v>2</v>
      </c>
      <c r="I868">
        <v>1</v>
      </c>
      <c r="J868" t="s">
        <v>43</v>
      </c>
      <c r="K868" t="s">
        <v>42</v>
      </c>
      <c r="L868" t="s">
        <v>43</v>
      </c>
      <c r="M868" t="s">
        <v>42</v>
      </c>
      <c r="N868" t="s">
        <v>43</v>
      </c>
      <c r="O868">
        <v>4</v>
      </c>
      <c r="P868">
        <v>4</v>
      </c>
      <c r="Q868">
        <v>4</v>
      </c>
      <c r="R868">
        <v>2</v>
      </c>
      <c r="S868">
        <v>3</v>
      </c>
      <c r="T868">
        <f t="shared" si="65"/>
        <v>5</v>
      </c>
      <c r="U868" t="str" cm="1">
        <f t="array" ref="U868">_xlfn.IFS(T868&lt;3, "low", AND(T868&gt;=3, T868&lt;5), "med", T868&gt;=5, "high")</f>
        <v>high</v>
      </c>
      <c r="V868">
        <v>2</v>
      </c>
      <c r="W868" t="str" cm="1">
        <f t="array" ref="W868">_xlfn.IFS(V868&lt;5, "low", AND(V868&gt;=5, V868&lt;10), "med", V868&gt;=10, "high")</f>
        <v>low</v>
      </c>
      <c r="X868">
        <v>12</v>
      </c>
      <c r="Y868">
        <v>11</v>
      </c>
      <c r="Z868">
        <v>12</v>
      </c>
      <c r="AA868">
        <f t="shared" si="66"/>
        <v>1</v>
      </c>
      <c r="AB868">
        <f t="shared" si="67"/>
        <v>0</v>
      </c>
      <c r="AC868">
        <f t="shared" si="68"/>
        <v>1</v>
      </c>
      <c r="AD868" s="1">
        <f t="shared" si="69"/>
        <v>11.666666666666666</v>
      </c>
    </row>
    <row r="869" spans="1:30" x14ac:dyDescent="0.35">
      <c r="A869" t="s">
        <v>34</v>
      </c>
      <c r="B869">
        <v>16</v>
      </c>
      <c r="C869" t="s">
        <v>52</v>
      </c>
      <c r="D869" t="s">
        <v>47</v>
      </c>
      <c r="E869" t="s">
        <v>44</v>
      </c>
      <c r="F869" t="s">
        <v>45</v>
      </c>
      <c r="G869" t="s">
        <v>45</v>
      </c>
      <c r="H869">
        <v>1</v>
      </c>
      <c r="I869">
        <v>0</v>
      </c>
      <c r="J869" t="s">
        <v>43</v>
      </c>
      <c r="K869" t="s">
        <v>42</v>
      </c>
      <c r="L869" t="s">
        <v>43</v>
      </c>
      <c r="M869" t="s">
        <v>42</v>
      </c>
      <c r="N869" t="s">
        <v>42</v>
      </c>
      <c r="O869">
        <v>4</v>
      </c>
      <c r="P869">
        <v>3</v>
      </c>
      <c r="Q869">
        <v>2</v>
      </c>
      <c r="R869">
        <v>1</v>
      </c>
      <c r="S869">
        <v>1</v>
      </c>
      <c r="T869">
        <f t="shared" si="65"/>
        <v>2</v>
      </c>
      <c r="U869" t="str" cm="1">
        <f t="array" ref="U869">_xlfn.IFS(T869&lt;3, "low", AND(T869&gt;=3, T869&lt;5), "med", T869&gt;=5, "high")</f>
        <v>low</v>
      </c>
      <c r="V869">
        <v>0</v>
      </c>
      <c r="W869" t="str" cm="1">
        <f t="array" ref="W869">_xlfn.IFS(V869&lt;5, "low", AND(V869&gt;=5, V869&lt;10), "med", V869&gt;=10, "high")</f>
        <v>low</v>
      </c>
      <c r="X869">
        <v>14</v>
      </c>
      <c r="Y869">
        <v>14</v>
      </c>
      <c r="Z869">
        <v>16</v>
      </c>
      <c r="AA869">
        <f t="shared" si="66"/>
        <v>0</v>
      </c>
      <c r="AB869">
        <f t="shared" si="67"/>
        <v>0</v>
      </c>
      <c r="AC869">
        <f t="shared" si="68"/>
        <v>0</v>
      </c>
      <c r="AD869" s="1">
        <f t="shared" si="69"/>
        <v>14.666666666666666</v>
      </c>
    </row>
    <row r="870" spans="1:30" x14ac:dyDescent="0.35">
      <c r="A870" t="s">
        <v>50</v>
      </c>
      <c r="B870">
        <v>16</v>
      </c>
      <c r="C870" t="s">
        <v>35</v>
      </c>
      <c r="D870" t="s">
        <v>47</v>
      </c>
      <c r="E870" t="s">
        <v>44</v>
      </c>
      <c r="F870" t="s">
        <v>38</v>
      </c>
      <c r="G870" t="s">
        <v>48</v>
      </c>
      <c r="H870">
        <v>1</v>
      </c>
      <c r="I870">
        <v>0</v>
      </c>
      <c r="J870" t="s">
        <v>43</v>
      </c>
      <c r="K870" t="s">
        <v>42</v>
      </c>
      <c r="L870" t="s">
        <v>43</v>
      </c>
      <c r="M870" t="s">
        <v>42</v>
      </c>
      <c r="N870" t="s">
        <v>43</v>
      </c>
      <c r="O870">
        <v>2</v>
      </c>
      <c r="P870">
        <v>4</v>
      </c>
      <c r="Q870">
        <v>3</v>
      </c>
      <c r="R870">
        <v>2</v>
      </c>
      <c r="S870">
        <v>3</v>
      </c>
      <c r="T870">
        <f t="shared" si="65"/>
        <v>5</v>
      </c>
      <c r="U870" t="str" cm="1">
        <f t="array" ref="U870">_xlfn.IFS(T870&lt;3, "low", AND(T870&gt;=3, T870&lt;5), "med", T870&gt;=5, "high")</f>
        <v>high</v>
      </c>
      <c r="V870">
        <v>4</v>
      </c>
      <c r="W870" t="str" cm="1">
        <f t="array" ref="W870">_xlfn.IFS(V870&lt;5, "low", AND(V870&gt;=5, V870&lt;10), "med", V870&gt;=10, "high")</f>
        <v>low</v>
      </c>
      <c r="X870">
        <v>10</v>
      </c>
      <c r="Y870">
        <v>8</v>
      </c>
      <c r="Z870">
        <v>10</v>
      </c>
      <c r="AA870">
        <f t="shared" si="66"/>
        <v>1</v>
      </c>
      <c r="AB870">
        <f t="shared" si="67"/>
        <v>0</v>
      </c>
      <c r="AC870">
        <f t="shared" si="68"/>
        <v>1</v>
      </c>
      <c r="AD870" s="1">
        <f t="shared" si="69"/>
        <v>9.3333333333333339</v>
      </c>
    </row>
    <row r="871" spans="1:30" x14ac:dyDescent="0.35">
      <c r="A871" t="s">
        <v>50</v>
      </c>
      <c r="B871">
        <v>15</v>
      </c>
      <c r="C871" t="s">
        <v>52</v>
      </c>
      <c r="D871" t="s">
        <v>47</v>
      </c>
      <c r="E871" t="s">
        <v>44</v>
      </c>
      <c r="F871" t="s">
        <v>38</v>
      </c>
      <c r="G871" t="s">
        <v>45</v>
      </c>
      <c r="H871">
        <v>1</v>
      </c>
      <c r="I871">
        <v>0</v>
      </c>
      <c r="J871" t="s">
        <v>43</v>
      </c>
      <c r="K871" t="s">
        <v>42</v>
      </c>
      <c r="L871" t="s">
        <v>43</v>
      </c>
      <c r="M871" t="s">
        <v>42</v>
      </c>
      <c r="N871" t="s">
        <v>43</v>
      </c>
      <c r="O871">
        <v>4</v>
      </c>
      <c r="P871">
        <v>2</v>
      </c>
      <c r="Q871">
        <v>4</v>
      </c>
      <c r="R871">
        <v>3</v>
      </c>
      <c r="S871">
        <v>5</v>
      </c>
      <c r="T871">
        <f t="shared" si="65"/>
        <v>8</v>
      </c>
      <c r="U871" t="str" cm="1">
        <f t="array" ref="U871">_xlfn.IFS(T871&lt;3, "low", AND(T871&gt;=3, T871&lt;5), "med", T871&gt;=5, "high")</f>
        <v>high</v>
      </c>
      <c r="V871">
        <v>2</v>
      </c>
      <c r="W871" t="str" cm="1">
        <f t="array" ref="W871">_xlfn.IFS(V871&lt;5, "low", AND(V871&gt;=5, V871&lt;10), "med", V871&gt;=10, "high")</f>
        <v>low</v>
      </c>
      <c r="X871">
        <v>10</v>
      </c>
      <c r="Y871">
        <v>11</v>
      </c>
      <c r="Z871">
        <v>11</v>
      </c>
      <c r="AA871">
        <f t="shared" si="66"/>
        <v>0</v>
      </c>
      <c r="AB871">
        <f t="shared" si="67"/>
        <v>0</v>
      </c>
      <c r="AC871">
        <f t="shared" si="68"/>
        <v>0</v>
      </c>
      <c r="AD871" s="1">
        <f t="shared" si="69"/>
        <v>10.666666666666666</v>
      </c>
    </row>
    <row r="872" spans="1:30" x14ac:dyDescent="0.35">
      <c r="A872" t="s">
        <v>34</v>
      </c>
      <c r="B872">
        <v>15</v>
      </c>
      <c r="C872" t="s">
        <v>35</v>
      </c>
      <c r="D872" t="s">
        <v>36</v>
      </c>
      <c r="E872" t="s">
        <v>44</v>
      </c>
      <c r="F872" t="s">
        <v>45</v>
      </c>
      <c r="G872" t="s">
        <v>48</v>
      </c>
      <c r="H872">
        <v>3</v>
      </c>
      <c r="I872">
        <v>0</v>
      </c>
      <c r="J872" t="s">
        <v>43</v>
      </c>
      <c r="K872" t="s">
        <v>42</v>
      </c>
      <c r="L872" t="s">
        <v>43</v>
      </c>
      <c r="M872" t="s">
        <v>42</v>
      </c>
      <c r="N872" t="s">
        <v>43</v>
      </c>
      <c r="O872">
        <v>5</v>
      </c>
      <c r="P872">
        <v>3</v>
      </c>
      <c r="Q872">
        <v>2</v>
      </c>
      <c r="R872">
        <v>1</v>
      </c>
      <c r="S872">
        <v>1</v>
      </c>
      <c r="T872">
        <f t="shared" si="65"/>
        <v>2</v>
      </c>
      <c r="U872" t="str" cm="1">
        <f t="array" ref="U872">_xlfn.IFS(T872&lt;3, "low", AND(T872&gt;=3, T872&lt;5), "med", T872&gt;=5, "high")</f>
        <v>low</v>
      </c>
      <c r="V872">
        <v>0</v>
      </c>
      <c r="W872" t="str" cm="1">
        <f t="array" ref="W872">_xlfn.IFS(V872&lt;5, "low", AND(V872&gt;=5, V872&lt;10), "med", V872&gt;=10, "high")</f>
        <v>low</v>
      </c>
      <c r="X872">
        <v>12</v>
      </c>
      <c r="Y872">
        <v>13</v>
      </c>
      <c r="Z872">
        <v>14</v>
      </c>
      <c r="AA872">
        <f t="shared" si="66"/>
        <v>0</v>
      </c>
      <c r="AB872">
        <f t="shared" si="67"/>
        <v>0</v>
      </c>
      <c r="AC872">
        <f t="shared" si="68"/>
        <v>0</v>
      </c>
      <c r="AD872" s="1">
        <f t="shared" si="69"/>
        <v>13</v>
      </c>
    </row>
    <row r="873" spans="1:30" x14ac:dyDescent="0.35">
      <c r="A873" t="s">
        <v>34</v>
      </c>
      <c r="B873">
        <v>16</v>
      </c>
      <c r="C873" t="s">
        <v>52</v>
      </c>
      <c r="D873" t="s">
        <v>47</v>
      </c>
      <c r="E873" t="s">
        <v>44</v>
      </c>
      <c r="F873" t="s">
        <v>45</v>
      </c>
      <c r="G873" t="s">
        <v>45</v>
      </c>
      <c r="H873">
        <v>1</v>
      </c>
      <c r="I873">
        <v>0</v>
      </c>
      <c r="J873" t="s">
        <v>43</v>
      </c>
      <c r="K873" t="s">
        <v>42</v>
      </c>
      <c r="L873" t="s">
        <v>43</v>
      </c>
      <c r="M873" t="s">
        <v>43</v>
      </c>
      <c r="N873" t="s">
        <v>42</v>
      </c>
      <c r="O873">
        <v>5</v>
      </c>
      <c r="P873">
        <v>4</v>
      </c>
      <c r="Q873">
        <v>3</v>
      </c>
      <c r="R873">
        <v>1</v>
      </c>
      <c r="S873">
        <v>1</v>
      </c>
      <c r="T873">
        <f t="shared" si="65"/>
        <v>2</v>
      </c>
      <c r="U873" t="str" cm="1">
        <f t="array" ref="U873">_xlfn.IFS(T873&lt;3, "low", AND(T873&gt;=3, T873&lt;5), "med", T873&gt;=5, "high")</f>
        <v>low</v>
      </c>
      <c r="V873">
        <v>2</v>
      </c>
      <c r="W873" t="str" cm="1">
        <f t="array" ref="W873">_xlfn.IFS(V873&lt;5, "low", AND(V873&gt;=5, V873&lt;10), "med", V873&gt;=10, "high")</f>
        <v>low</v>
      </c>
      <c r="X873">
        <v>10</v>
      </c>
      <c r="Y873">
        <v>8</v>
      </c>
      <c r="Z873">
        <v>8</v>
      </c>
      <c r="AA873">
        <f t="shared" si="66"/>
        <v>1</v>
      </c>
      <c r="AB873">
        <f t="shared" si="67"/>
        <v>0</v>
      </c>
      <c r="AC873">
        <f t="shared" si="68"/>
        <v>1</v>
      </c>
      <c r="AD873" s="1">
        <f t="shared" si="69"/>
        <v>8.6666666666666661</v>
      </c>
    </row>
    <row r="874" spans="1:30" x14ac:dyDescent="0.35">
      <c r="A874" t="s">
        <v>50</v>
      </c>
      <c r="B874">
        <v>15</v>
      </c>
      <c r="C874" t="s">
        <v>35</v>
      </c>
      <c r="D874" t="s">
        <v>36</v>
      </c>
      <c r="E874" t="s">
        <v>44</v>
      </c>
      <c r="F874" t="s">
        <v>48</v>
      </c>
      <c r="G874" t="s">
        <v>48</v>
      </c>
      <c r="H874">
        <v>1</v>
      </c>
      <c r="I874">
        <v>0</v>
      </c>
      <c r="J874" t="s">
        <v>43</v>
      </c>
      <c r="K874" t="s">
        <v>42</v>
      </c>
      <c r="L874" t="s">
        <v>43</v>
      </c>
      <c r="M874" t="s">
        <v>42</v>
      </c>
      <c r="N874" t="s">
        <v>43</v>
      </c>
      <c r="O874">
        <v>4</v>
      </c>
      <c r="P874">
        <v>3</v>
      </c>
      <c r="Q874">
        <v>3</v>
      </c>
      <c r="R874">
        <v>2</v>
      </c>
      <c r="S874">
        <v>4</v>
      </c>
      <c r="T874">
        <f t="shared" si="65"/>
        <v>6</v>
      </c>
      <c r="U874" t="str" cm="1">
        <f t="array" ref="U874">_xlfn.IFS(T874&lt;3, "low", AND(T874&gt;=3, T874&lt;5), "med", T874&gt;=5, "high")</f>
        <v>high</v>
      </c>
      <c r="V874">
        <v>11</v>
      </c>
      <c r="W874" t="str" cm="1">
        <f t="array" ref="W874">_xlfn.IFS(V874&lt;5, "low", AND(V874&gt;=5, V874&lt;10), "med", V874&gt;=10, "high")</f>
        <v>high</v>
      </c>
      <c r="X874">
        <v>12</v>
      </c>
      <c r="Y874">
        <v>10</v>
      </c>
      <c r="Z874">
        <v>11</v>
      </c>
      <c r="AA874">
        <f t="shared" si="66"/>
        <v>1</v>
      </c>
      <c r="AB874">
        <f t="shared" si="67"/>
        <v>0</v>
      </c>
      <c r="AC874">
        <f t="shared" si="68"/>
        <v>1</v>
      </c>
      <c r="AD874" s="1">
        <f t="shared" si="69"/>
        <v>11</v>
      </c>
    </row>
    <row r="875" spans="1:30" x14ac:dyDescent="0.35">
      <c r="A875" t="s">
        <v>34</v>
      </c>
      <c r="B875">
        <v>16</v>
      </c>
      <c r="C875" t="s">
        <v>52</v>
      </c>
      <c r="D875" t="s">
        <v>36</v>
      </c>
      <c r="E875" t="s">
        <v>44</v>
      </c>
      <c r="F875" t="s">
        <v>38</v>
      </c>
      <c r="G875" t="s">
        <v>45</v>
      </c>
      <c r="H875">
        <v>2</v>
      </c>
      <c r="I875">
        <v>3</v>
      </c>
      <c r="J875" t="s">
        <v>42</v>
      </c>
      <c r="K875" t="s">
        <v>42</v>
      </c>
      <c r="L875" t="s">
        <v>43</v>
      </c>
      <c r="M875" t="s">
        <v>43</v>
      </c>
      <c r="N875" t="s">
        <v>43</v>
      </c>
      <c r="O875">
        <v>3</v>
      </c>
      <c r="P875">
        <v>4</v>
      </c>
      <c r="Q875">
        <v>3</v>
      </c>
      <c r="R875">
        <v>1</v>
      </c>
      <c r="S875">
        <v>1</v>
      </c>
      <c r="T875">
        <f t="shared" si="65"/>
        <v>2</v>
      </c>
      <c r="U875" t="str" cm="1">
        <f t="array" ref="U875">_xlfn.IFS(T875&lt;3, "low", AND(T875&gt;=3, T875&lt;5), "med", T875&gt;=5, "high")</f>
        <v>low</v>
      </c>
      <c r="V875">
        <v>0</v>
      </c>
      <c r="W875" t="str" cm="1">
        <f t="array" ref="W875">_xlfn.IFS(V875&lt;5, "low", AND(V875&gt;=5, V875&lt;10), "med", V875&gt;=10, "high")</f>
        <v>low</v>
      </c>
      <c r="X875">
        <v>7</v>
      </c>
      <c r="Y875">
        <v>7</v>
      </c>
      <c r="Z875">
        <v>8</v>
      </c>
      <c r="AA875">
        <f t="shared" si="66"/>
        <v>0</v>
      </c>
      <c r="AB875">
        <f t="shared" si="67"/>
        <v>0</v>
      </c>
      <c r="AC875">
        <f t="shared" si="68"/>
        <v>0</v>
      </c>
      <c r="AD875" s="1">
        <f t="shared" si="69"/>
        <v>7.333333333333333</v>
      </c>
    </row>
    <row r="876" spans="1:30" x14ac:dyDescent="0.35">
      <c r="A876" t="s">
        <v>34</v>
      </c>
      <c r="B876">
        <v>17</v>
      </c>
      <c r="C876" t="s">
        <v>35</v>
      </c>
      <c r="D876" t="s">
        <v>36</v>
      </c>
      <c r="E876" t="s">
        <v>44</v>
      </c>
      <c r="F876" t="s">
        <v>45</v>
      </c>
      <c r="G876" t="s">
        <v>38</v>
      </c>
      <c r="H876">
        <v>1</v>
      </c>
      <c r="I876">
        <v>0</v>
      </c>
      <c r="J876" t="s">
        <v>43</v>
      </c>
      <c r="K876" t="s">
        <v>42</v>
      </c>
      <c r="L876" t="s">
        <v>43</v>
      </c>
      <c r="M876" t="s">
        <v>42</v>
      </c>
      <c r="N876" t="s">
        <v>43</v>
      </c>
      <c r="O876">
        <v>4</v>
      </c>
      <c r="P876">
        <v>5</v>
      </c>
      <c r="Q876">
        <v>3</v>
      </c>
      <c r="R876">
        <v>1</v>
      </c>
      <c r="S876">
        <v>1</v>
      </c>
      <c r="T876">
        <f t="shared" si="65"/>
        <v>2</v>
      </c>
      <c r="U876" t="str" cm="1">
        <f t="array" ref="U876">_xlfn.IFS(T876&lt;3, "low", AND(T876&gt;=3, T876&lt;5), "med", T876&gt;=5, "high")</f>
        <v>low</v>
      </c>
      <c r="V876">
        <v>4</v>
      </c>
      <c r="W876" t="str" cm="1">
        <f t="array" ref="W876">_xlfn.IFS(V876&lt;5, "low", AND(V876&gt;=5, V876&lt;10), "med", V876&gt;=10, "high")</f>
        <v>low</v>
      </c>
      <c r="X876">
        <v>9</v>
      </c>
      <c r="Y876">
        <v>9</v>
      </c>
      <c r="Z876">
        <v>10</v>
      </c>
      <c r="AA876">
        <f t="shared" si="66"/>
        <v>0</v>
      </c>
      <c r="AB876">
        <f t="shared" si="67"/>
        <v>0</v>
      </c>
      <c r="AC876">
        <f t="shared" si="68"/>
        <v>0</v>
      </c>
      <c r="AD876" s="1">
        <f t="shared" si="69"/>
        <v>9.3333333333333339</v>
      </c>
    </row>
    <row r="877" spans="1:30" x14ac:dyDescent="0.35">
      <c r="A877" t="s">
        <v>34</v>
      </c>
      <c r="B877">
        <v>19</v>
      </c>
      <c r="C877" t="s">
        <v>35</v>
      </c>
      <c r="D877" t="s">
        <v>36</v>
      </c>
      <c r="E877" t="s">
        <v>44</v>
      </c>
      <c r="F877" t="s">
        <v>38</v>
      </c>
      <c r="G877" t="s">
        <v>48</v>
      </c>
      <c r="H877">
        <v>1</v>
      </c>
      <c r="I877">
        <v>1</v>
      </c>
      <c r="J877" t="s">
        <v>43</v>
      </c>
      <c r="K877" t="s">
        <v>43</v>
      </c>
      <c r="L877" t="s">
        <v>43</v>
      </c>
      <c r="M877" t="s">
        <v>43</v>
      </c>
      <c r="N877" t="s">
        <v>42</v>
      </c>
      <c r="O877">
        <v>4</v>
      </c>
      <c r="P877">
        <v>4</v>
      </c>
      <c r="Q877">
        <v>4</v>
      </c>
      <c r="R877">
        <v>1</v>
      </c>
      <c r="S877">
        <v>1</v>
      </c>
      <c r="T877">
        <f t="shared" si="65"/>
        <v>2</v>
      </c>
      <c r="U877" t="str" cm="1">
        <f t="array" ref="U877">_xlfn.IFS(T877&lt;3, "low", AND(T877&gt;=3, T877&lt;5), "med", T877&gt;=5, "high")</f>
        <v>low</v>
      </c>
      <c r="V877">
        <v>0</v>
      </c>
      <c r="W877" t="str" cm="1">
        <f t="array" ref="W877">_xlfn.IFS(V877&lt;5, "low", AND(V877&gt;=5, V877&lt;10), "med", V877&gt;=10, "high")</f>
        <v>low</v>
      </c>
      <c r="X877">
        <v>9</v>
      </c>
      <c r="Y877">
        <v>9</v>
      </c>
      <c r="Z877">
        <v>10</v>
      </c>
      <c r="AA877">
        <f t="shared" si="66"/>
        <v>0</v>
      </c>
      <c r="AB877">
        <f t="shared" si="67"/>
        <v>0</v>
      </c>
      <c r="AC877">
        <f t="shared" si="68"/>
        <v>0</v>
      </c>
      <c r="AD877" s="1">
        <f t="shared" si="69"/>
        <v>9.3333333333333339</v>
      </c>
    </row>
    <row r="878" spans="1:30" x14ac:dyDescent="0.35">
      <c r="A878" t="s">
        <v>34</v>
      </c>
      <c r="B878">
        <v>17</v>
      </c>
      <c r="C878" t="s">
        <v>52</v>
      </c>
      <c r="D878" t="s">
        <v>36</v>
      </c>
      <c r="E878" t="s">
        <v>44</v>
      </c>
      <c r="F878" t="s">
        <v>38</v>
      </c>
      <c r="G878" t="s">
        <v>45</v>
      </c>
      <c r="H878">
        <v>1</v>
      </c>
      <c r="I878">
        <v>0</v>
      </c>
      <c r="J878" t="s">
        <v>43</v>
      </c>
      <c r="K878" t="s">
        <v>42</v>
      </c>
      <c r="L878" t="s">
        <v>43</v>
      </c>
      <c r="M878" t="s">
        <v>42</v>
      </c>
      <c r="N878" t="s">
        <v>42</v>
      </c>
      <c r="O878">
        <v>5</v>
      </c>
      <c r="P878">
        <v>5</v>
      </c>
      <c r="Q878">
        <v>3</v>
      </c>
      <c r="R878">
        <v>1</v>
      </c>
      <c r="S878">
        <v>1</v>
      </c>
      <c r="T878">
        <f t="shared" si="65"/>
        <v>2</v>
      </c>
      <c r="U878" t="str" cm="1">
        <f t="array" ref="U878">_xlfn.IFS(T878&lt;3, "low", AND(T878&gt;=3, T878&lt;5), "med", T878&gt;=5, "high")</f>
        <v>low</v>
      </c>
      <c r="V878">
        <v>2</v>
      </c>
      <c r="W878" t="str" cm="1">
        <f t="array" ref="W878">_xlfn.IFS(V878&lt;5, "low", AND(V878&gt;=5, V878&lt;10), "med", V878&gt;=10, "high")</f>
        <v>low</v>
      </c>
      <c r="X878">
        <v>9</v>
      </c>
      <c r="Y878">
        <v>10</v>
      </c>
      <c r="Z878">
        <v>11</v>
      </c>
      <c r="AA878">
        <f t="shared" si="66"/>
        <v>0</v>
      </c>
      <c r="AB878">
        <f t="shared" si="67"/>
        <v>0</v>
      </c>
      <c r="AC878">
        <f t="shared" si="68"/>
        <v>0</v>
      </c>
      <c r="AD878" s="1">
        <f t="shared" si="69"/>
        <v>10</v>
      </c>
    </row>
    <row r="879" spans="1:30" x14ac:dyDescent="0.35">
      <c r="A879" t="s">
        <v>34</v>
      </c>
      <c r="B879">
        <v>15</v>
      </c>
      <c r="C879" t="s">
        <v>52</v>
      </c>
      <c r="D879" t="s">
        <v>47</v>
      </c>
      <c r="E879" t="s">
        <v>44</v>
      </c>
      <c r="F879" t="s">
        <v>38</v>
      </c>
      <c r="G879" t="s">
        <v>45</v>
      </c>
      <c r="H879">
        <v>1</v>
      </c>
      <c r="I879">
        <v>0</v>
      </c>
      <c r="J879" t="s">
        <v>43</v>
      </c>
      <c r="K879" t="s">
        <v>42</v>
      </c>
      <c r="L879" t="s">
        <v>43</v>
      </c>
      <c r="M879" t="s">
        <v>43</v>
      </c>
      <c r="N879" t="s">
        <v>42</v>
      </c>
      <c r="O879">
        <v>5</v>
      </c>
      <c r="P879">
        <v>2</v>
      </c>
      <c r="Q879">
        <v>1</v>
      </c>
      <c r="R879">
        <v>1</v>
      </c>
      <c r="S879">
        <v>3</v>
      </c>
      <c r="T879">
        <f t="shared" si="65"/>
        <v>4</v>
      </c>
      <c r="U879" t="str" cm="1">
        <f t="array" ref="U879">_xlfn.IFS(T879&lt;3, "low", AND(T879&gt;=3, T879&lt;5), "med", T879&gt;=5, "high")</f>
        <v>med</v>
      </c>
      <c r="V879">
        <v>0</v>
      </c>
      <c r="W879" t="str" cm="1">
        <f t="array" ref="W879">_xlfn.IFS(V879&lt;5, "low", AND(V879&gt;=5, V879&lt;10), "med", V879&gt;=10, "high")</f>
        <v>low</v>
      </c>
      <c r="X879">
        <v>9</v>
      </c>
      <c r="Y879">
        <v>10</v>
      </c>
      <c r="Z879">
        <v>9</v>
      </c>
      <c r="AA879">
        <f t="shared" si="66"/>
        <v>0</v>
      </c>
      <c r="AB879">
        <f t="shared" si="67"/>
        <v>1</v>
      </c>
      <c r="AC879">
        <f t="shared" si="68"/>
        <v>1</v>
      </c>
      <c r="AD879" s="1">
        <f t="shared" si="69"/>
        <v>9.3333333333333339</v>
      </c>
    </row>
    <row r="880" spans="1:30" x14ac:dyDescent="0.35">
      <c r="A880" t="s">
        <v>34</v>
      </c>
      <c r="B880">
        <v>16</v>
      </c>
      <c r="C880" t="s">
        <v>52</v>
      </c>
      <c r="D880" t="s">
        <v>36</v>
      </c>
      <c r="E880" t="s">
        <v>44</v>
      </c>
      <c r="F880" t="s">
        <v>45</v>
      </c>
      <c r="G880" t="s">
        <v>45</v>
      </c>
      <c r="H880">
        <v>2</v>
      </c>
      <c r="I880">
        <v>0</v>
      </c>
      <c r="J880" t="s">
        <v>43</v>
      </c>
      <c r="K880" t="s">
        <v>42</v>
      </c>
      <c r="L880" t="s">
        <v>43</v>
      </c>
      <c r="M880" t="s">
        <v>43</v>
      </c>
      <c r="N880" t="s">
        <v>43</v>
      </c>
      <c r="O880">
        <v>3</v>
      </c>
      <c r="P880">
        <v>4</v>
      </c>
      <c r="Q880">
        <v>5</v>
      </c>
      <c r="R880">
        <v>1</v>
      </c>
      <c r="S880">
        <v>2</v>
      </c>
      <c r="T880">
        <f t="shared" si="65"/>
        <v>3</v>
      </c>
      <c r="U880" t="str" cm="1">
        <f t="array" ref="U880">_xlfn.IFS(T880&lt;3, "low", AND(T880&gt;=3, T880&lt;5), "med", T880&gt;=5, "high")</f>
        <v>med</v>
      </c>
      <c r="V880">
        <v>1</v>
      </c>
      <c r="W880" t="str" cm="1">
        <f t="array" ref="W880">_xlfn.IFS(V880&lt;5, "low", AND(V880&gt;=5, V880&lt;10), "med", V880&gt;=10, "high")</f>
        <v>low</v>
      </c>
      <c r="X880">
        <v>9</v>
      </c>
      <c r="Y880">
        <v>10</v>
      </c>
      <c r="Z880">
        <v>11</v>
      </c>
      <c r="AA880">
        <f t="shared" si="66"/>
        <v>0</v>
      </c>
      <c r="AB880">
        <f t="shared" si="67"/>
        <v>0</v>
      </c>
      <c r="AC880">
        <f t="shared" si="68"/>
        <v>0</v>
      </c>
      <c r="AD880" s="1">
        <f t="shared" si="69"/>
        <v>10</v>
      </c>
    </row>
    <row r="881" spans="1:30" x14ac:dyDescent="0.35">
      <c r="A881" t="s">
        <v>34</v>
      </c>
      <c r="B881">
        <v>16</v>
      </c>
      <c r="C881" t="s">
        <v>35</v>
      </c>
      <c r="D881" t="s">
        <v>47</v>
      </c>
      <c r="E881" t="s">
        <v>37</v>
      </c>
      <c r="F881" t="s">
        <v>45</v>
      </c>
      <c r="G881" t="s">
        <v>45</v>
      </c>
      <c r="H881">
        <v>1</v>
      </c>
      <c r="I881">
        <v>0</v>
      </c>
      <c r="J881" t="s">
        <v>43</v>
      </c>
      <c r="K881" t="s">
        <v>42</v>
      </c>
      <c r="L881" t="s">
        <v>43</v>
      </c>
      <c r="M881" t="s">
        <v>43</v>
      </c>
      <c r="N881" t="s">
        <v>43</v>
      </c>
      <c r="O881">
        <v>4</v>
      </c>
      <c r="P881">
        <v>3</v>
      </c>
      <c r="Q881">
        <v>4</v>
      </c>
      <c r="R881">
        <v>1</v>
      </c>
      <c r="S881">
        <v>2</v>
      </c>
      <c r="T881">
        <f t="shared" si="65"/>
        <v>3</v>
      </c>
      <c r="U881" t="str" cm="1">
        <f t="array" ref="U881">_xlfn.IFS(T881&lt;3, "low", AND(T881&gt;=3, T881&lt;5), "med", T881&gt;=5, "high")</f>
        <v>med</v>
      </c>
      <c r="V881">
        <v>6</v>
      </c>
      <c r="W881" t="str" cm="1">
        <f t="array" ref="W881">_xlfn.IFS(V881&lt;5, "low", AND(V881&gt;=5, V881&lt;10), "med", V881&gt;=10, "high")</f>
        <v>med</v>
      </c>
      <c r="X881">
        <v>7</v>
      </c>
      <c r="Y881">
        <v>7</v>
      </c>
      <c r="Z881">
        <v>8</v>
      </c>
      <c r="AA881">
        <f t="shared" si="66"/>
        <v>0</v>
      </c>
      <c r="AB881">
        <f t="shared" si="67"/>
        <v>0</v>
      </c>
      <c r="AC881">
        <f t="shared" si="68"/>
        <v>0</v>
      </c>
      <c r="AD881" s="1">
        <f t="shared" si="69"/>
        <v>7.333333333333333</v>
      </c>
    </row>
    <row r="882" spans="1:30" x14ac:dyDescent="0.35">
      <c r="A882" t="s">
        <v>34</v>
      </c>
      <c r="B882">
        <v>17</v>
      </c>
      <c r="C882" t="s">
        <v>52</v>
      </c>
      <c r="D882" t="s">
        <v>36</v>
      </c>
      <c r="E882" t="s">
        <v>44</v>
      </c>
      <c r="F882" t="s">
        <v>38</v>
      </c>
      <c r="G882" t="s">
        <v>45</v>
      </c>
      <c r="H882">
        <v>2</v>
      </c>
      <c r="I882">
        <v>0</v>
      </c>
      <c r="J882" t="s">
        <v>43</v>
      </c>
      <c r="K882" t="s">
        <v>42</v>
      </c>
      <c r="L882" t="s">
        <v>43</v>
      </c>
      <c r="M882" t="s">
        <v>43</v>
      </c>
      <c r="N882" t="s">
        <v>43</v>
      </c>
      <c r="O882">
        <v>4</v>
      </c>
      <c r="P882">
        <v>3</v>
      </c>
      <c r="Q882">
        <v>5</v>
      </c>
      <c r="R882">
        <v>1</v>
      </c>
      <c r="S882">
        <v>2</v>
      </c>
      <c r="T882">
        <f t="shared" si="65"/>
        <v>3</v>
      </c>
      <c r="U882" t="str" cm="1">
        <f t="array" ref="U882">_xlfn.IFS(T882&lt;3, "low", AND(T882&gt;=3, T882&lt;5), "med", T882&gt;=5, "high")</f>
        <v>med</v>
      </c>
      <c r="V882">
        <v>0</v>
      </c>
      <c r="W882" t="str" cm="1">
        <f t="array" ref="W882">_xlfn.IFS(V882&lt;5, "low", AND(V882&gt;=5, V882&lt;10), "med", V882&gt;=10, "high")</f>
        <v>low</v>
      </c>
      <c r="X882">
        <v>11</v>
      </c>
      <c r="Y882">
        <v>10</v>
      </c>
      <c r="Z882">
        <v>11</v>
      </c>
      <c r="AA882">
        <f t="shared" si="66"/>
        <v>1</v>
      </c>
      <c r="AB882">
        <f t="shared" si="67"/>
        <v>0</v>
      </c>
      <c r="AC882">
        <f t="shared" si="68"/>
        <v>1</v>
      </c>
      <c r="AD882" s="1">
        <f t="shared" si="69"/>
        <v>10.666666666666666</v>
      </c>
    </row>
    <row r="883" spans="1:30" x14ac:dyDescent="0.35">
      <c r="A883" t="s">
        <v>34</v>
      </c>
      <c r="B883">
        <v>16</v>
      </c>
      <c r="C883" t="s">
        <v>35</v>
      </c>
      <c r="D883" t="s">
        <v>36</v>
      </c>
      <c r="E883" t="s">
        <v>44</v>
      </c>
      <c r="F883" t="s">
        <v>45</v>
      </c>
      <c r="G883" t="s">
        <v>48</v>
      </c>
      <c r="H883">
        <v>1</v>
      </c>
      <c r="I883">
        <v>1</v>
      </c>
      <c r="J883" t="s">
        <v>43</v>
      </c>
      <c r="K883" t="s">
        <v>42</v>
      </c>
      <c r="L883" t="s">
        <v>42</v>
      </c>
      <c r="M883" t="s">
        <v>42</v>
      </c>
      <c r="N883" t="s">
        <v>43</v>
      </c>
      <c r="O883">
        <v>4</v>
      </c>
      <c r="P883">
        <v>4</v>
      </c>
      <c r="Q883">
        <v>3</v>
      </c>
      <c r="R883">
        <v>1</v>
      </c>
      <c r="S883">
        <v>4</v>
      </c>
      <c r="T883">
        <f t="shared" si="65"/>
        <v>5</v>
      </c>
      <c r="U883" t="str" cm="1">
        <f t="array" ref="U883">_xlfn.IFS(T883&lt;3, "low", AND(T883&gt;=3, T883&lt;5), "med", T883&gt;=5, "high")</f>
        <v>high</v>
      </c>
      <c r="V883">
        <v>1</v>
      </c>
      <c r="W883" t="str" cm="1">
        <f t="array" ref="W883">_xlfn.IFS(V883&lt;5, "low", AND(V883&gt;=5, V883&lt;10), "med", V883&gt;=10, "high")</f>
        <v>low</v>
      </c>
      <c r="X883">
        <v>9</v>
      </c>
      <c r="Y883">
        <v>10</v>
      </c>
      <c r="Z883">
        <v>10</v>
      </c>
      <c r="AA883">
        <f t="shared" si="66"/>
        <v>0</v>
      </c>
      <c r="AB883">
        <f t="shared" si="67"/>
        <v>0</v>
      </c>
      <c r="AC883">
        <f t="shared" si="68"/>
        <v>0</v>
      </c>
      <c r="AD883" s="1">
        <f t="shared" si="69"/>
        <v>9.6666666666666661</v>
      </c>
    </row>
    <row r="884" spans="1:30" x14ac:dyDescent="0.35">
      <c r="A884" t="s">
        <v>34</v>
      </c>
      <c r="B884">
        <v>18</v>
      </c>
      <c r="C884" t="s">
        <v>52</v>
      </c>
      <c r="D884" t="s">
        <v>47</v>
      </c>
      <c r="E884" t="s">
        <v>37</v>
      </c>
      <c r="F884" t="s">
        <v>45</v>
      </c>
      <c r="G884" t="s">
        <v>45</v>
      </c>
      <c r="H884">
        <v>3</v>
      </c>
      <c r="I884">
        <v>2</v>
      </c>
      <c r="J884" t="s">
        <v>43</v>
      </c>
      <c r="K884" t="s">
        <v>42</v>
      </c>
      <c r="L884" t="s">
        <v>43</v>
      </c>
      <c r="M884" t="s">
        <v>43</v>
      </c>
      <c r="N884" t="s">
        <v>42</v>
      </c>
      <c r="O884">
        <v>3</v>
      </c>
      <c r="P884">
        <v>3</v>
      </c>
      <c r="Q884">
        <v>2</v>
      </c>
      <c r="R884">
        <v>1</v>
      </c>
      <c r="S884">
        <v>1</v>
      </c>
      <c r="T884">
        <f t="shared" si="65"/>
        <v>2</v>
      </c>
      <c r="U884" t="str" cm="1">
        <f t="array" ref="U884">_xlfn.IFS(T884&lt;3, "low", AND(T884&gt;=3, T884&lt;5), "med", T884&gt;=5, "high")</f>
        <v>low</v>
      </c>
      <c r="V884">
        <v>6</v>
      </c>
      <c r="W884" t="str" cm="1">
        <f t="array" ref="W884">_xlfn.IFS(V884&lt;5, "low", AND(V884&gt;=5, V884&lt;10), "med", V884&gt;=10, "high")</f>
        <v>med</v>
      </c>
      <c r="X884">
        <v>7</v>
      </c>
      <c r="Y884">
        <v>9</v>
      </c>
      <c r="Z884">
        <v>10</v>
      </c>
      <c r="AA884">
        <f t="shared" si="66"/>
        <v>0</v>
      </c>
      <c r="AB884">
        <f t="shared" si="67"/>
        <v>0</v>
      </c>
      <c r="AC884">
        <f t="shared" si="68"/>
        <v>0</v>
      </c>
      <c r="AD884" s="1">
        <f t="shared" si="69"/>
        <v>8.6666666666666661</v>
      </c>
    </row>
    <row r="885" spans="1:30" x14ac:dyDescent="0.35">
      <c r="A885" t="s">
        <v>34</v>
      </c>
      <c r="B885">
        <v>19</v>
      </c>
      <c r="C885" t="s">
        <v>35</v>
      </c>
      <c r="D885" t="s">
        <v>36</v>
      </c>
      <c r="E885" t="s">
        <v>44</v>
      </c>
      <c r="F885" t="s">
        <v>38</v>
      </c>
      <c r="G885" t="s">
        <v>48</v>
      </c>
      <c r="H885">
        <v>3</v>
      </c>
      <c r="I885">
        <v>1</v>
      </c>
      <c r="J885" t="s">
        <v>43</v>
      </c>
      <c r="K885" t="s">
        <v>43</v>
      </c>
      <c r="L885" t="s">
        <v>43</v>
      </c>
      <c r="M885" t="s">
        <v>42</v>
      </c>
      <c r="N885" t="s">
        <v>42</v>
      </c>
      <c r="O885">
        <v>5</v>
      </c>
      <c r="P885">
        <v>3</v>
      </c>
      <c r="Q885">
        <v>1</v>
      </c>
      <c r="R885">
        <v>1</v>
      </c>
      <c r="S885">
        <v>1</v>
      </c>
      <c r="T885">
        <f t="shared" si="65"/>
        <v>2</v>
      </c>
      <c r="U885" t="str" cm="1">
        <f t="array" ref="U885">_xlfn.IFS(T885&lt;3, "low", AND(T885&gt;=3, T885&lt;5), "med", T885&gt;=5, "high")</f>
        <v>low</v>
      </c>
      <c r="V885">
        <v>6</v>
      </c>
      <c r="W885" t="str" cm="1">
        <f t="array" ref="W885">_xlfn.IFS(V885&lt;5, "low", AND(V885&gt;=5, V885&lt;10), "med", V885&gt;=10, "high")</f>
        <v>med</v>
      </c>
      <c r="X885">
        <v>7</v>
      </c>
      <c r="Y885">
        <v>9</v>
      </c>
      <c r="Z885">
        <v>9</v>
      </c>
      <c r="AA885">
        <f t="shared" si="66"/>
        <v>0</v>
      </c>
      <c r="AB885">
        <f t="shared" si="67"/>
        <v>0</v>
      </c>
      <c r="AC885">
        <f t="shared" si="68"/>
        <v>0</v>
      </c>
      <c r="AD885" s="1">
        <f t="shared" si="69"/>
        <v>8.3333333333333339</v>
      </c>
    </row>
    <row r="886" spans="1:30" x14ac:dyDescent="0.35">
      <c r="A886" t="s">
        <v>50</v>
      </c>
      <c r="B886">
        <v>18</v>
      </c>
      <c r="C886" t="s">
        <v>52</v>
      </c>
      <c r="D886" t="s">
        <v>36</v>
      </c>
      <c r="E886" t="s">
        <v>44</v>
      </c>
      <c r="F886" t="s">
        <v>45</v>
      </c>
      <c r="G886" t="s">
        <v>45</v>
      </c>
      <c r="H886">
        <v>1</v>
      </c>
      <c r="I886">
        <v>1</v>
      </c>
      <c r="J886" t="s">
        <v>43</v>
      </c>
      <c r="K886" t="s">
        <v>43</v>
      </c>
      <c r="L886" t="s">
        <v>43</v>
      </c>
      <c r="M886" t="s">
        <v>42</v>
      </c>
      <c r="N886" t="s">
        <v>43</v>
      </c>
      <c r="O886">
        <v>4</v>
      </c>
      <c r="P886">
        <v>4</v>
      </c>
      <c r="Q886">
        <v>3</v>
      </c>
      <c r="R886">
        <v>3</v>
      </c>
      <c r="S886">
        <v>4</v>
      </c>
      <c r="T886">
        <f t="shared" si="65"/>
        <v>7</v>
      </c>
      <c r="U886" t="str" cm="1">
        <f t="array" ref="U886">_xlfn.IFS(T886&lt;3, "low", AND(T886&gt;=3, T886&lt;5), "med", T886&gt;=5, "high")</f>
        <v>high</v>
      </c>
      <c r="V886">
        <v>0</v>
      </c>
      <c r="W886" t="str" cm="1">
        <f t="array" ref="W886">_xlfn.IFS(V886&lt;5, "low", AND(V886&gt;=5, V886&lt;10), "med", V886&gt;=10, "high")</f>
        <v>low</v>
      </c>
      <c r="X886">
        <v>8</v>
      </c>
      <c r="Y886">
        <v>9</v>
      </c>
      <c r="Z886">
        <v>10</v>
      </c>
      <c r="AA886">
        <f t="shared" si="66"/>
        <v>0</v>
      </c>
      <c r="AB886">
        <f t="shared" si="67"/>
        <v>0</v>
      </c>
      <c r="AC886">
        <f t="shared" si="68"/>
        <v>0</v>
      </c>
      <c r="AD886" s="1">
        <f t="shared" si="69"/>
        <v>9</v>
      </c>
    </row>
    <row r="887" spans="1:30" x14ac:dyDescent="0.35">
      <c r="A887" t="s">
        <v>34</v>
      </c>
      <c r="B887">
        <v>18</v>
      </c>
      <c r="C887" t="s">
        <v>52</v>
      </c>
      <c r="D887" t="s">
        <v>36</v>
      </c>
      <c r="E887" t="s">
        <v>44</v>
      </c>
      <c r="F887" t="s">
        <v>38</v>
      </c>
      <c r="G887" t="s">
        <v>38</v>
      </c>
      <c r="H887">
        <v>1</v>
      </c>
      <c r="I887">
        <v>1</v>
      </c>
      <c r="J887" t="s">
        <v>43</v>
      </c>
      <c r="K887" t="s">
        <v>43</v>
      </c>
      <c r="L887" t="s">
        <v>43</v>
      </c>
      <c r="M887" t="s">
        <v>43</v>
      </c>
      <c r="N887" t="s">
        <v>42</v>
      </c>
      <c r="O887">
        <v>3</v>
      </c>
      <c r="P887">
        <v>2</v>
      </c>
      <c r="Q887">
        <v>3</v>
      </c>
      <c r="R887">
        <v>1</v>
      </c>
      <c r="S887">
        <v>1</v>
      </c>
      <c r="T887">
        <f t="shared" si="65"/>
        <v>2</v>
      </c>
      <c r="U887" t="str" cm="1">
        <f t="array" ref="U887">_xlfn.IFS(T887&lt;3, "low", AND(T887&gt;=3, T887&lt;5), "med", T887&gt;=5, "high")</f>
        <v>low</v>
      </c>
      <c r="V887">
        <v>4</v>
      </c>
      <c r="W887" t="str" cm="1">
        <f t="array" ref="W887">_xlfn.IFS(V887&lt;5, "low", AND(V887&gt;=5, V887&lt;10), "med", V887&gt;=10, "high")</f>
        <v>low</v>
      </c>
      <c r="X887">
        <v>9</v>
      </c>
      <c r="Y887">
        <v>11</v>
      </c>
      <c r="Z887">
        <v>10</v>
      </c>
      <c r="AA887">
        <f t="shared" si="66"/>
        <v>0</v>
      </c>
      <c r="AB887">
        <f t="shared" si="67"/>
        <v>1</v>
      </c>
      <c r="AC887">
        <f t="shared" si="68"/>
        <v>1</v>
      </c>
      <c r="AD887" s="1">
        <f t="shared" si="69"/>
        <v>10</v>
      </c>
    </row>
    <row r="888" spans="1:30" x14ac:dyDescent="0.35">
      <c r="A888" t="s">
        <v>34</v>
      </c>
      <c r="B888">
        <v>19</v>
      </c>
      <c r="C888" t="s">
        <v>35</v>
      </c>
      <c r="D888" t="s">
        <v>36</v>
      </c>
      <c r="E888" t="s">
        <v>44</v>
      </c>
      <c r="F888" t="s">
        <v>45</v>
      </c>
      <c r="G888" t="s">
        <v>45</v>
      </c>
      <c r="H888">
        <v>2</v>
      </c>
      <c r="I888">
        <v>1</v>
      </c>
      <c r="J888" t="s">
        <v>43</v>
      </c>
      <c r="K888" t="s">
        <v>42</v>
      </c>
      <c r="L888" t="s">
        <v>43</v>
      </c>
      <c r="M888" t="s">
        <v>43</v>
      </c>
      <c r="N888" t="s">
        <v>42</v>
      </c>
      <c r="O888">
        <v>1</v>
      </c>
      <c r="P888">
        <v>1</v>
      </c>
      <c r="Q888">
        <v>4</v>
      </c>
      <c r="R888">
        <v>4</v>
      </c>
      <c r="S888">
        <v>1</v>
      </c>
      <c r="T888">
        <f t="shared" si="65"/>
        <v>5</v>
      </c>
      <c r="U888" t="str" cm="1">
        <f t="array" ref="U888">_xlfn.IFS(T888&lt;3, "low", AND(T888&gt;=3, T888&lt;5), "med", T888&gt;=5, "high")</f>
        <v>high</v>
      </c>
      <c r="V888">
        <v>12</v>
      </c>
      <c r="W888" t="str" cm="1">
        <f t="array" ref="W888">_xlfn.IFS(V888&lt;5, "low", AND(V888&gt;=5, V888&lt;10), "med", V888&gt;=10, "high")</f>
        <v>high</v>
      </c>
      <c r="X888">
        <v>7</v>
      </c>
      <c r="Y888">
        <v>8</v>
      </c>
      <c r="Z888">
        <v>9</v>
      </c>
      <c r="AA888">
        <f t="shared" si="66"/>
        <v>0</v>
      </c>
      <c r="AB888">
        <f t="shared" si="67"/>
        <v>0</v>
      </c>
      <c r="AC888">
        <f t="shared" si="68"/>
        <v>0</v>
      </c>
      <c r="AD888" s="1">
        <f t="shared" si="69"/>
        <v>8</v>
      </c>
    </row>
    <row r="889" spans="1:30" x14ac:dyDescent="0.35">
      <c r="A889" t="s">
        <v>34</v>
      </c>
      <c r="B889">
        <v>16</v>
      </c>
      <c r="C889" t="s">
        <v>52</v>
      </c>
      <c r="D889" t="s">
        <v>36</v>
      </c>
      <c r="E889" t="s">
        <v>37</v>
      </c>
      <c r="F889" t="s">
        <v>28</v>
      </c>
      <c r="G889" t="s">
        <v>45</v>
      </c>
      <c r="H889">
        <v>2</v>
      </c>
      <c r="I889">
        <v>0</v>
      </c>
      <c r="J889" t="s">
        <v>43</v>
      </c>
      <c r="K889" t="s">
        <v>43</v>
      </c>
      <c r="L889" t="s">
        <v>43</v>
      </c>
      <c r="M889" t="s">
        <v>43</v>
      </c>
      <c r="N889" t="s">
        <v>42</v>
      </c>
      <c r="O889">
        <v>3</v>
      </c>
      <c r="P889">
        <v>3</v>
      </c>
      <c r="Q889">
        <v>2</v>
      </c>
      <c r="R889">
        <v>1</v>
      </c>
      <c r="S889">
        <v>1</v>
      </c>
      <c r="T889">
        <f t="shared" si="65"/>
        <v>2</v>
      </c>
      <c r="U889" t="str" cm="1">
        <f t="array" ref="U889">_xlfn.IFS(T889&lt;3, "low", AND(T889&gt;=3, T889&lt;5), "med", T889&gt;=5, "high")</f>
        <v>low</v>
      </c>
      <c r="V889">
        <v>2</v>
      </c>
      <c r="W889" t="str" cm="1">
        <f t="array" ref="W889">_xlfn.IFS(V889&lt;5, "low", AND(V889&gt;=5, V889&lt;10), "med", V889&gt;=10, "high")</f>
        <v>low</v>
      </c>
      <c r="X889">
        <v>8</v>
      </c>
      <c r="Y889">
        <v>10</v>
      </c>
      <c r="Z889">
        <v>10</v>
      </c>
      <c r="AA889">
        <f t="shared" si="66"/>
        <v>0</v>
      </c>
      <c r="AB889">
        <f t="shared" si="67"/>
        <v>0</v>
      </c>
      <c r="AC889">
        <f t="shared" si="68"/>
        <v>0</v>
      </c>
      <c r="AD889" s="1">
        <f t="shared" si="69"/>
        <v>9.3333333333333339</v>
      </c>
    </row>
    <row r="890" spans="1:30" x14ac:dyDescent="0.35">
      <c r="A890" t="s">
        <v>34</v>
      </c>
      <c r="B890">
        <v>17</v>
      </c>
      <c r="C890" t="s">
        <v>35</v>
      </c>
      <c r="D890" t="s">
        <v>36</v>
      </c>
      <c r="E890" t="s">
        <v>44</v>
      </c>
      <c r="F890" t="s">
        <v>45</v>
      </c>
      <c r="G890" t="s">
        <v>38</v>
      </c>
      <c r="H890">
        <v>1</v>
      </c>
      <c r="I890">
        <v>0</v>
      </c>
      <c r="J890" t="s">
        <v>43</v>
      </c>
      <c r="K890" t="s">
        <v>43</v>
      </c>
      <c r="L890" t="s">
        <v>43</v>
      </c>
      <c r="M890" t="s">
        <v>42</v>
      </c>
      <c r="N890" t="s">
        <v>43</v>
      </c>
      <c r="O890">
        <v>2</v>
      </c>
      <c r="P890">
        <v>4</v>
      </c>
      <c r="Q890">
        <v>4</v>
      </c>
      <c r="R890">
        <v>3</v>
      </c>
      <c r="S890">
        <v>5</v>
      </c>
      <c r="T890">
        <f t="shared" si="65"/>
        <v>8</v>
      </c>
      <c r="U890" t="str" cm="1">
        <f t="array" ref="U890">_xlfn.IFS(T890&lt;3, "low", AND(T890&gt;=3, T890&lt;5), "med", T890&gt;=5, "high")</f>
        <v>high</v>
      </c>
      <c r="V890">
        <v>5</v>
      </c>
      <c r="W890" t="str" cm="1">
        <f t="array" ref="W890">_xlfn.IFS(V890&lt;5, "low", AND(V890&gt;=5, V890&lt;10), "med", V890&gt;=10, "high")</f>
        <v>med</v>
      </c>
      <c r="X890">
        <v>9</v>
      </c>
      <c r="Y890">
        <v>9</v>
      </c>
      <c r="Z890">
        <v>10</v>
      </c>
      <c r="AA890">
        <f t="shared" si="66"/>
        <v>0</v>
      </c>
      <c r="AB890">
        <f t="shared" si="67"/>
        <v>0</v>
      </c>
      <c r="AC890">
        <f t="shared" si="68"/>
        <v>0</v>
      </c>
      <c r="AD890" s="1">
        <f t="shared" si="69"/>
        <v>9.3333333333333339</v>
      </c>
    </row>
    <row r="891" spans="1:30" x14ac:dyDescent="0.35">
      <c r="A891" t="s">
        <v>34</v>
      </c>
      <c r="B891">
        <v>16</v>
      </c>
      <c r="C891" t="s">
        <v>52</v>
      </c>
      <c r="D891" t="s">
        <v>47</v>
      </c>
      <c r="E891" t="s">
        <v>44</v>
      </c>
      <c r="F891" t="s">
        <v>38</v>
      </c>
      <c r="G891" t="s">
        <v>45</v>
      </c>
      <c r="H891">
        <v>2</v>
      </c>
      <c r="I891">
        <v>0</v>
      </c>
      <c r="J891" t="s">
        <v>43</v>
      </c>
      <c r="K891" t="s">
        <v>43</v>
      </c>
      <c r="L891" t="s">
        <v>43</v>
      </c>
      <c r="M891" t="s">
        <v>42</v>
      </c>
      <c r="N891" t="s">
        <v>43</v>
      </c>
      <c r="O891">
        <v>4</v>
      </c>
      <c r="P891">
        <v>4</v>
      </c>
      <c r="Q891">
        <v>5</v>
      </c>
      <c r="R891">
        <v>1</v>
      </c>
      <c r="S891">
        <v>3</v>
      </c>
      <c r="T891">
        <f t="shared" si="65"/>
        <v>4</v>
      </c>
      <c r="U891" t="str" cm="1">
        <f t="array" ref="U891">_xlfn.IFS(T891&lt;3, "low", AND(T891&gt;=3, T891&lt;5), "med", T891&gt;=5, "high")</f>
        <v>med</v>
      </c>
      <c r="V891">
        <v>0</v>
      </c>
      <c r="W891" t="str" cm="1">
        <f t="array" ref="W891">_xlfn.IFS(V891&lt;5, "low", AND(V891&gt;=5, V891&lt;10), "med", V891&gt;=10, "high")</f>
        <v>low</v>
      </c>
      <c r="X891">
        <v>8</v>
      </c>
      <c r="Y891">
        <v>9</v>
      </c>
      <c r="Z891">
        <v>9</v>
      </c>
      <c r="AA891">
        <f t="shared" si="66"/>
        <v>0</v>
      </c>
      <c r="AB891">
        <f t="shared" si="67"/>
        <v>0</v>
      </c>
      <c r="AC891">
        <f t="shared" si="68"/>
        <v>0</v>
      </c>
      <c r="AD891" s="1">
        <f t="shared" si="69"/>
        <v>8.6666666666666661</v>
      </c>
    </row>
    <row r="892" spans="1:30" x14ac:dyDescent="0.35">
      <c r="A892" t="s">
        <v>34</v>
      </c>
      <c r="B892">
        <v>16</v>
      </c>
      <c r="C892" t="s">
        <v>35</v>
      </c>
      <c r="D892" t="s">
        <v>36</v>
      </c>
      <c r="E892" t="s">
        <v>44</v>
      </c>
      <c r="F892" t="s">
        <v>45</v>
      </c>
      <c r="G892" t="s">
        <v>45</v>
      </c>
      <c r="H892">
        <v>1</v>
      </c>
      <c r="I892">
        <v>0</v>
      </c>
      <c r="J892" t="s">
        <v>43</v>
      </c>
      <c r="K892" t="s">
        <v>43</v>
      </c>
      <c r="L892" t="s">
        <v>43</v>
      </c>
      <c r="M892" t="s">
        <v>42</v>
      </c>
      <c r="N892" t="s">
        <v>42</v>
      </c>
      <c r="O892">
        <v>4</v>
      </c>
      <c r="P892">
        <v>5</v>
      </c>
      <c r="Q892">
        <v>4</v>
      </c>
      <c r="R892">
        <v>1</v>
      </c>
      <c r="S892">
        <v>1</v>
      </c>
      <c r="T892">
        <f t="shared" si="65"/>
        <v>2</v>
      </c>
      <c r="U892" t="str" cm="1">
        <f t="array" ref="U892">_xlfn.IFS(T892&lt;3, "low", AND(T892&gt;=3, T892&lt;5), "med", T892&gt;=5, "high")</f>
        <v>low</v>
      </c>
      <c r="V892">
        <v>0</v>
      </c>
      <c r="W892" t="str" cm="1">
        <f t="array" ref="W892">_xlfn.IFS(V892&lt;5, "low", AND(V892&gt;=5, V892&lt;10), "med", V892&gt;=10, "high")</f>
        <v>low</v>
      </c>
      <c r="X892">
        <v>14</v>
      </c>
      <c r="Y892">
        <v>13</v>
      </c>
      <c r="Z892">
        <v>13</v>
      </c>
      <c r="AA892">
        <f t="shared" si="66"/>
        <v>1</v>
      </c>
      <c r="AB892">
        <f t="shared" si="67"/>
        <v>0</v>
      </c>
      <c r="AC892">
        <f t="shared" si="68"/>
        <v>1</v>
      </c>
      <c r="AD892" s="1">
        <f t="shared" si="69"/>
        <v>13.333333333333334</v>
      </c>
    </row>
    <row r="893" spans="1:30" x14ac:dyDescent="0.35">
      <c r="A893" t="s">
        <v>34</v>
      </c>
      <c r="B893">
        <v>16</v>
      </c>
      <c r="C893" t="s">
        <v>52</v>
      </c>
      <c r="D893" t="s">
        <v>47</v>
      </c>
      <c r="E893" t="s">
        <v>44</v>
      </c>
      <c r="F893" t="s">
        <v>48</v>
      </c>
      <c r="G893" t="s">
        <v>48</v>
      </c>
      <c r="H893">
        <v>1</v>
      </c>
      <c r="I893">
        <v>0</v>
      </c>
      <c r="J893" t="s">
        <v>43</v>
      </c>
      <c r="K893" t="s">
        <v>42</v>
      </c>
      <c r="L893" t="s">
        <v>43</v>
      </c>
      <c r="M893" t="s">
        <v>42</v>
      </c>
      <c r="N893" t="s">
        <v>42</v>
      </c>
      <c r="O893">
        <v>4</v>
      </c>
      <c r="P893">
        <v>4</v>
      </c>
      <c r="Q893">
        <v>4</v>
      </c>
      <c r="R893">
        <v>2</v>
      </c>
      <c r="S893">
        <v>2</v>
      </c>
      <c r="T893">
        <f t="shared" si="65"/>
        <v>4</v>
      </c>
      <c r="U893" t="str" cm="1">
        <f t="array" ref="U893">_xlfn.IFS(T893&lt;3, "low", AND(T893&gt;=3, T893&lt;5), "med", T893&gt;=5, "high")</f>
        <v>med</v>
      </c>
      <c r="V893">
        <v>2</v>
      </c>
      <c r="W893" t="str" cm="1">
        <f t="array" ref="W893">_xlfn.IFS(V893&lt;5, "low", AND(V893&gt;=5, V893&lt;10), "med", V893&gt;=10, "high")</f>
        <v>low</v>
      </c>
      <c r="X893">
        <v>14</v>
      </c>
      <c r="Y893">
        <v>14</v>
      </c>
      <c r="Z893">
        <v>14</v>
      </c>
      <c r="AA893">
        <f t="shared" si="66"/>
        <v>0</v>
      </c>
      <c r="AB893">
        <f t="shared" si="67"/>
        <v>0</v>
      </c>
      <c r="AC893">
        <f t="shared" si="68"/>
        <v>0</v>
      </c>
      <c r="AD893" s="1">
        <f t="shared" si="69"/>
        <v>14</v>
      </c>
    </row>
    <row r="894" spans="1:30" x14ac:dyDescent="0.35">
      <c r="A894" t="s">
        <v>50</v>
      </c>
      <c r="B894">
        <v>17</v>
      </c>
      <c r="C894" t="s">
        <v>35</v>
      </c>
      <c r="D894" t="s">
        <v>36</v>
      </c>
      <c r="E894" t="s">
        <v>44</v>
      </c>
      <c r="F894" t="s">
        <v>48</v>
      </c>
      <c r="G894" t="s">
        <v>38</v>
      </c>
      <c r="H894">
        <v>4</v>
      </c>
      <c r="I894">
        <v>1</v>
      </c>
      <c r="J894" t="s">
        <v>43</v>
      </c>
      <c r="K894" t="s">
        <v>42</v>
      </c>
      <c r="L894" t="s">
        <v>42</v>
      </c>
      <c r="M894" t="s">
        <v>42</v>
      </c>
      <c r="N894" t="s">
        <v>43</v>
      </c>
      <c r="O894">
        <v>5</v>
      </c>
      <c r="P894">
        <v>4</v>
      </c>
      <c r="Q894">
        <v>5</v>
      </c>
      <c r="R894">
        <v>3</v>
      </c>
      <c r="S894">
        <v>4</v>
      </c>
      <c r="T894">
        <f t="shared" si="65"/>
        <v>7</v>
      </c>
      <c r="U894" t="str" cm="1">
        <f t="array" ref="U894">_xlfn.IFS(T894&lt;3, "low", AND(T894&gt;=3, T894&lt;5), "med", T894&gt;=5, "high")</f>
        <v>high</v>
      </c>
      <c r="V894">
        <v>0</v>
      </c>
      <c r="W894" t="str" cm="1">
        <f t="array" ref="W894">_xlfn.IFS(V894&lt;5, "low", AND(V894&gt;=5, V894&lt;10), "med", V894&gt;=10, "high")</f>
        <v>low</v>
      </c>
      <c r="X894">
        <v>10</v>
      </c>
      <c r="Y894">
        <v>11</v>
      </c>
      <c r="Z894">
        <v>10</v>
      </c>
      <c r="AA894">
        <f t="shared" si="66"/>
        <v>0</v>
      </c>
      <c r="AB894">
        <f t="shared" si="67"/>
        <v>1</v>
      </c>
      <c r="AC894">
        <f t="shared" si="68"/>
        <v>1</v>
      </c>
      <c r="AD894" s="1">
        <f t="shared" si="69"/>
        <v>10.333333333333334</v>
      </c>
    </row>
    <row r="895" spans="1:30" x14ac:dyDescent="0.35">
      <c r="A895" t="s">
        <v>34</v>
      </c>
      <c r="B895">
        <v>16</v>
      </c>
      <c r="C895" t="s">
        <v>35</v>
      </c>
      <c r="D895" t="s">
        <v>36</v>
      </c>
      <c r="E895" t="s">
        <v>44</v>
      </c>
      <c r="F895" t="s">
        <v>45</v>
      </c>
      <c r="G895" t="s">
        <v>48</v>
      </c>
      <c r="H895">
        <v>2</v>
      </c>
      <c r="I895">
        <v>0</v>
      </c>
      <c r="J895" t="s">
        <v>43</v>
      </c>
      <c r="K895" t="s">
        <v>42</v>
      </c>
      <c r="L895" t="s">
        <v>43</v>
      </c>
      <c r="M895" t="s">
        <v>42</v>
      </c>
      <c r="N895" t="s">
        <v>43</v>
      </c>
      <c r="O895">
        <v>5</v>
      </c>
      <c r="P895">
        <v>3</v>
      </c>
      <c r="Q895">
        <v>3</v>
      </c>
      <c r="R895">
        <v>1</v>
      </c>
      <c r="S895">
        <v>1</v>
      </c>
      <c r="T895">
        <f t="shared" si="65"/>
        <v>2</v>
      </c>
      <c r="U895" t="str" cm="1">
        <f t="array" ref="U895">_xlfn.IFS(T895&lt;3, "low", AND(T895&gt;=3, T895&lt;5), "med", T895&gt;=5, "high")</f>
        <v>low</v>
      </c>
      <c r="V895">
        <v>0</v>
      </c>
      <c r="W895" t="str" cm="1">
        <f t="array" ref="W895">_xlfn.IFS(V895&lt;5, "low", AND(V895&gt;=5, V895&lt;10), "med", V895&gt;=10, "high")</f>
        <v>low</v>
      </c>
      <c r="X895">
        <v>14</v>
      </c>
      <c r="Y895">
        <v>13</v>
      </c>
      <c r="Z895">
        <v>14</v>
      </c>
      <c r="AA895">
        <f t="shared" si="66"/>
        <v>1</v>
      </c>
      <c r="AB895">
        <f t="shared" si="67"/>
        <v>0</v>
      </c>
      <c r="AC895">
        <f t="shared" si="68"/>
        <v>1</v>
      </c>
      <c r="AD895" s="1">
        <f t="shared" si="69"/>
        <v>13.666666666666666</v>
      </c>
    </row>
    <row r="896" spans="1:30" x14ac:dyDescent="0.35">
      <c r="A896" t="s">
        <v>34</v>
      </c>
      <c r="B896">
        <v>16</v>
      </c>
      <c r="C896" t="s">
        <v>35</v>
      </c>
      <c r="D896" t="s">
        <v>36</v>
      </c>
      <c r="E896" t="s">
        <v>44</v>
      </c>
      <c r="F896" t="s">
        <v>48</v>
      </c>
      <c r="G896" t="s">
        <v>45</v>
      </c>
      <c r="H896">
        <v>1</v>
      </c>
      <c r="I896">
        <v>0</v>
      </c>
      <c r="J896" t="s">
        <v>43</v>
      </c>
      <c r="K896" t="s">
        <v>42</v>
      </c>
      <c r="L896" t="s">
        <v>42</v>
      </c>
      <c r="M896" t="s">
        <v>42</v>
      </c>
      <c r="N896" t="s">
        <v>42</v>
      </c>
      <c r="O896">
        <v>4</v>
      </c>
      <c r="P896">
        <v>2</v>
      </c>
      <c r="Q896">
        <v>5</v>
      </c>
      <c r="R896">
        <v>1</v>
      </c>
      <c r="S896">
        <v>2</v>
      </c>
      <c r="T896">
        <f t="shared" si="65"/>
        <v>3</v>
      </c>
      <c r="U896" t="str" cm="1">
        <f t="array" ref="U896">_xlfn.IFS(T896&lt;3, "low", AND(T896&gt;=3, T896&lt;5), "med", T896&gt;=5, "high")</f>
        <v>med</v>
      </c>
      <c r="V896">
        <v>0</v>
      </c>
      <c r="W896" t="str" cm="1">
        <f t="array" ref="W896">_xlfn.IFS(V896&lt;5, "low", AND(V896&gt;=5, V896&lt;10), "med", V896&gt;=10, "high")</f>
        <v>low</v>
      </c>
      <c r="X896">
        <v>17</v>
      </c>
      <c r="Y896">
        <v>16</v>
      </c>
      <c r="Z896">
        <v>16</v>
      </c>
      <c r="AA896">
        <f t="shared" si="66"/>
        <v>1</v>
      </c>
      <c r="AB896">
        <f t="shared" si="67"/>
        <v>0</v>
      </c>
      <c r="AC896">
        <f t="shared" si="68"/>
        <v>1</v>
      </c>
      <c r="AD896" s="1">
        <f t="shared" si="69"/>
        <v>16.333333333333332</v>
      </c>
    </row>
    <row r="897" spans="1:30" x14ac:dyDescent="0.35">
      <c r="A897" t="s">
        <v>50</v>
      </c>
      <c r="B897">
        <v>17</v>
      </c>
      <c r="C897" t="s">
        <v>35</v>
      </c>
      <c r="D897" t="s">
        <v>36</v>
      </c>
      <c r="E897" t="s">
        <v>44</v>
      </c>
      <c r="F897" t="s">
        <v>45</v>
      </c>
      <c r="G897" t="s">
        <v>45</v>
      </c>
      <c r="H897">
        <v>1</v>
      </c>
      <c r="I897">
        <v>1</v>
      </c>
      <c r="J897" t="s">
        <v>43</v>
      </c>
      <c r="K897" t="s">
        <v>42</v>
      </c>
      <c r="L897" t="s">
        <v>43</v>
      </c>
      <c r="M897" t="s">
        <v>42</v>
      </c>
      <c r="N897" t="s">
        <v>42</v>
      </c>
      <c r="O897">
        <v>5</v>
      </c>
      <c r="P897">
        <v>3</v>
      </c>
      <c r="Q897">
        <v>5</v>
      </c>
      <c r="R897">
        <v>5</v>
      </c>
      <c r="S897">
        <v>5</v>
      </c>
      <c r="T897">
        <f t="shared" si="65"/>
        <v>10</v>
      </c>
      <c r="U897" t="str" cm="1">
        <f t="array" ref="U897">_xlfn.IFS(T897&lt;3, "low", AND(T897&gt;=3, T897&lt;5), "med", T897&gt;=5, "high")</f>
        <v>high</v>
      </c>
      <c r="V897">
        <v>12</v>
      </c>
      <c r="W897" t="str" cm="1">
        <f t="array" ref="W897">_xlfn.IFS(V897&lt;5, "low", AND(V897&gt;=5, V897&lt;10), "med", V897&gt;=10, "high")</f>
        <v>high</v>
      </c>
      <c r="X897">
        <v>6</v>
      </c>
      <c r="Y897">
        <v>7</v>
      </c>
      <c r="Z897">
        <v>7</v>
      </c>
      <c r="AA897">
        <f t="shared" si="66"/>
        <v>0</v>
      </c>
      <c r="AB897">
        <f t="shared" si="67"/>
        <v>0</v>
      </c>
      <c r="AC897">
        <f t="shared" si="68"/>
        <v>0</v>
      </c>
      <c r="AD897" s="1">
        <f t="shared" si="69"/>
        <v>6.666666666666667</v>
      </c>
    </row>
    <row r="898" spans="1:30" x14ac:dyDescent="0.35">
      <c r="A898" t="s">
        <v>50</v>
      </c>
      <c r="B898">
        <v>16</v>
      </c>
      <c r="C898" t="s">
        <v>35</v>
      </c>
      <c r="D898" t="s">
        <v>47</v>
      </c>
      <c r="E898" t="s">
        <v>44</v>
      </c>
      <c r="F898" t="s">
        <v>45</v>
      </c>
      <c r="G898" t="s">
        <v>45</v>
      </c>
      <c r="H898">
        <v>1</v>
      </c>
      <c r="I898">
        <v>0</v>
      </c>
      <c r="J898" t="s">
        <v>43</v>
      </c>
      <c r="K898" t="s">
        <v>43</v>
      </c>
      <c r="L898" t="s">
        <v>43</v>
      </c>
      <c r="M898" t="s">
        <v>42</v>
      </c>
      <c r="N898" t="s">
        <v>43</v>
      </c>
      <c r="O898">
        <v>4</v>
      </c>
      <c r="P898">
        <v>2</v>
      </c>
      <c r="Q898">
        <v>5</v>
      </c>
      <c r="R898">
        <v>1</v>
      </c>
      <c r="S898">
        <v>5</v>
      </c>
      <c r="T898">
        <f t="shared" si="65"/>
        <v>6</v>
      </c>
      <c r="U898" t="str" cm="1">
        <f t="array" ref="U898">_xlfn.IFS(T898&lt;3, "low", AND(T898&gt;=3, T898&lt;5), "med", T898&gt;=5, "high")</f>
        <v>high</v>
      </c>
      <c r="V898">
        <v>8</v>
      </c>
      <c r="W898" t="str" cm="1">
        <f t="array" ref="W898">_xlfn.IFS(V898&lt;5, "low", AND(V898&gt;=5, V898&lt;10), "med", V898&gt;=10, "high")</f>
        <v>med</v>
      </c>
      <c r="X898">
        <v>14</v>
      </c>
      <c r="Y898">
        <v>12</v>
      </c>
      <c r="Z898">
        <v>13</v>
      </c>
      <c r="AA898">
        <f t="shared" si="66"/>
        <v>1</v>
      </c>
      <c r="AB898">
        <f t="shared" si="67"/>
        <v>0</v>
      </c>
      <c r="AC898">
        <f t="shared" si="68"/>
        <v>1</v>
      </c>
      <c r="AD898" s="1">
        <f t="shared" si="69"/>
        <v>13</v>
      </c>
    </row>
    <row r="899" spans="1:30" x14ac:dyDescent="0.35">
      <c r="A899" t="s">
        <v>50</v>
      </c>
      <c r="B899">
        <v>17</v>
      </c>
      <c r="C899" t="s">
        <v>52</v>
      </c>
      <c r="D899" t="s">
        <v>47</v>
      </c>
      <c r="E899" t="s">
        <v>44</v>
      </c>
      <c r="F899" t="s">
        <v>48</v>
      </c>
      <c r="G899" t="s">
        <v>48</v>
      </c>
      <c r="H899">
        <v>4</v>
      </c>
      <c r="I899">
        <v>1</v>
      </c>
      <c r="J899" t="s">
        <v>43</v>
      </c>
      <c r="K899" t="s">
        <v>42</v>
      </c>
      <c r="L899" t="s">
        <v>43</v>
      </c>
      <c r="M899" t="s">
        <v>43</v>
      </c>
      <c r="N899" t="s">
        <v>43</v>
      </c>
      <c r="O899">
        <v>1</v>
      </c>
      <c r="P899">
        <v>3</v>
      </c>
      <c r="Q899">
        <v>5</v>
      </c>
      <c r="R899">
        <v>3</v>
      </c>
      <c r="S899">
        <v>5</v>
      </c>
      <c r="T899">
        <f t="shared" ref="T899:T962" si="70">R899+S899</f>
        <v>8</v>
      </c>
      <c r="U899" t="str" cm="1">
        <f t="array" ref="U899">_xlfn.IFS(T899&lt;3, "low", AND(T899&gt;=3, T899&lt;5), "med", T899&gt;=5, "high")</f>
        <v>high</v>
      </c>
      <c r="V899">
        <v>2</v>
      </c>
      <c r="W899" t="str" cm="1">
        <f t="array" ref="W899">_xlfn.IFS(V899&lt;5, "low", AND(V899&gt;=5, V899&lt;10), "med", V899&gt;=10, "high")</f>
        <v>low</v>
      </c>
      <c r="X899">
        <v>10</v>
      </c>
      <c r="Y899">
        <v>8</v>
      </c>
      <c r="Z899">
        <v>9</v>
      </c>
      <c r="AA899">
        <f t="shared" ref="AA899:AA962" si="71">IF(Y899&lt;X899,1,0)</f>
        <v>1</v>
      </c>
      <c r="AB899">
        <f t="shared" ref="AB899:AB962" si="72">IF(Z899&lt;Y899,1,0)</f>
        <v>0</v>
      </c>
      <c r="AC899">
        <f t="shared" ref="AC899:AC962" si="73">SUM(AA899:AB899)</f>
        <v>1</v>
      </c>
      <c r="AD899" s="1">
        <f t="shared" ref="AD899:AD962" si="74">AVERAGE(X899:Z899)</f>
        <v>9</v>
      </c>
    </row>
    <row r="900" spans="1:30" x14ac:dyDescent="0.35">
      <c r="A900" t="s">
        <v>34</v>
      </c>
      <c r="B900">
        <v>16</v>
      </c>
      <c r="C900" t="s">
        <v>35</v>
      </c>
      <c r="D900" t="s">
        <v>36</v>
      </c>
      <c r="E900" t="s">
        <v>44</v>
      </c>
      <c r="F900" t="s">
        <v>45</v>
      </c>
      <c r="G900" t="s">
        <v>45</v>
      </c>
      <c r="H900">
        <v>4</v>
      </c>
      <c r="I900">
        <v>0</v>
      </c>
      <c r="J900" t="s">
        <v>42</v>
      </c>
      <c r="K900" t="s">
        <v>42</v>
      </c>
      <c r="L900" t="s">
        <v>43</v>
      </c>
      <c r="M900" t="s">
        <v>42</v>
      </c>
      <c r="N900" t="s">
        <v>43</v>
      </c>
      <c r="O900">
        <v>2</v>
      </c>
      <c r="P900">
        <v>2</v>
      </c>
      <c r="Q900">
        <v>1</v>
      </c>
      <c r="R900">
        <v>1</v>
      </c>
      <c r="S900">
        <v>1</v>
      </c>
      <c r="T900">
        <f t="shared" si="70"/>
        <v>2</v>
      </c>
      <c r="U900" t="str" cm="1">
        <f t="array" ref="U900">_xlfn.IFS(T900&lt;3, "low", AND(T900&gt;=3, T900&lt;5), "med", T900&gt;=5, "high")</f>
        <v>low</v>
      </c>
      <c r="V900">
        <v>0</v>
      </c>
      <c r="W900" t="str" cm="1">
        <f t="array" ref="W900">_xlfn.IFS(V900&lt;5, "low", AND(V900&gt;=5, V900&lt;10), "med", V900&gt;=10, "high")</f>
        <v>low</v>
      </c>
      <c r="X900">
        <v>14</v>
      </c>
      <c r="Y900">
        <v>14</v>
      </c>
      <c r="Z900">
        <v>14</v>
      </c>
      <c r="AA900">
        <f t="shared" si="71"/>
        <v>0</v>
      </c>
      <c r="AB900">
        <f t="shared" si="72"/>
        <v>0</v>
      </c>
      <c r="AC900">
        <f t="shared" si="73"/>
        <v>0</v>
      </c>
      <c r="AD900" s="1">
        <f t="shared" si="74"/>
        <v>14</v>
      </c>
    </row>
    <row r="901" spans="1:30" x14ac:dyDescent="0.35">
      <c r="A901" t="s">
        <v>34</v>
      </c>
      <c r="B901">
        <v>19</v>
      </c>
      <c r="C901" t="s">
        <v>35</v>
      </c>
      <c r="D901" t="s">
        <v>47</v>
      </c>
      <c r="E901" t="s">
        <v>44</v>
      </c>
      <c r="F901" t="s">
        <v>45</v>
      </c>
      <c r="G901" t="s">
        <v>45</v>
      </c>
      <c r="H901">
        <v>3</v>
      </c>
      <c r="I901">
        <v>0</v>
      </c>
      <c r="J901" t="s">
        <v>43</v>
      </c>
      <c r="K901" t="s">
        <v>43</v>
      </c>
      <c r="L901" t="s">
        <v>43</v>
      </c>
      <c r="M901" t="s">
        <v>43</v>
      </c>
      <c r="N901" t="s">
        <v>42</v>
      </c>
      <c r="O901">
        <v>5</v>
      </c>
      <c r="P901">
        <v>4</v>
      </c>
      <c r="Q901">
        <v>5</v>
      </c>
      <c r="R901">
        <v>1</v>
      </c>
      <c r="S901">
        <v>1</v>
      </c>
      <c r="T901">
        <f t="shared" si="70"/>
        <v>2</v>
      </c>
      <c r="U901" t="str" cm="1">
        <f t="array" ref="U901">_xlfn.IFS(T901&lt;3, "low", AND(T901&gt;=3, T901&lt;5), "med", T901&gt;=5, "high")</f>
        <v>low</v>
      </c>
      <c r="V901">
        <v>0</v>
      </c>
      <c r="W901" t="str" cm="1">
        <f t="array" ref="W901">_xlfn.IFS(V901&lt;5, "low", AND(V901&gt;=5, V901&lt;10), "med", V901&gt;=10, "high")</f>
        <v>low</v>
      </c>
      <c r="X901">
        <v>12</v>
      </c>
      <c r="Y901">
        <v>13</v>
      </c>
      <c r="Z901">
        <v>13</v>
      </c>
      <c r="AA901">
        <f t="shared" si="71"/>
        <v>0</v>
      </c>
      <c r="AB901">
        <f t="shared" si="72"/>
        <v>0</v>
      </c>
      <c r="AC901">
        <f t="shared" si="73"/>
        <v>0</v>
      </c>
      <c r="AD901" s="1">
        <f t="shared" si="74"/>
        <v>12.666666666666666</v>
      </c>
    </row>
    <row r="902" spans="1:30" x14ac:dyDescent="0.35">
      <c r="A902" t="s">
        <v>34</v>
      </c>
      <c r="B902">
        <v>17</v>
      </c>
      <c r="C902" t="s">
        <v>52</v>
      </c>
      <c r="D902" t="s">
        <v>36</v>
      </c>
      <c r="E902" t="s">
        <v>44</v>
      </c>
      <c r="F902" t="s">
        <v>38</v>
      </c>
      <c r="G902" t="s">
        <v>45</v>
      </c>
      <c r="H902">
        <v>1</v>
      </c>
      <c r="I902">
        <v>0</v>
      </c>
      <c r="J902" t="s">
        <v>43</v>
      </c>
      <c r="K902" t="s">
        <v>42</v>
      </c>
      <c r="L902" t="s">
        <v>43</v>
      </c>
      <c r="M902" t="s">
        <v>42</v>
      </c>
      <c r="N902" t="s">
        <v>42</v>
      </c>
      <c r="O902">
        <v>4</v>
      </c>
      <c r="P902">
        <v>4</v>
      </c>
      <c r="Q902">
        <v>5</v>
      </c>
      <c r="R902">
        <v>1</v>
      </c>
      <c r="S902">
        <v>2</v>
      </c>
      <c r="T902">
        <f t="shared" si="70"/>
        <v>3</v>
      </c>
      <c r="U902" t="str" cm="1">
        <f t="array" ref="U902">_xlfn.IFS(T902&lt;3, "low", AND(T902&gt;=3, T902&lt;5), "med", T902&gt;=5, "high")</f>
        <v>med</v>
      </c>
      <c r="V902">
        <v>0</v>
      </c>
      <c r="W902" t="str" cm="1">
        <f t="array" ref="W902">_xlfn.IFS(V902&lt;5, "low", AND(V902&gt;=5, V902&lt;10), "med", V902&gt;=10, "high")</f>
        <v>low</v>
      </c>
      <c r="X902">
        <v>11</v>
      </c>
      <c r="Y902">
        <v>11</v>
      </c>
      <c r="Z902">
        <v>11</v>
      </c>
      <c r="AA902">
        <f t="shared" si="71"/>
        <v>0</v>
      </c>
      <c r="AB902">
        <f t="shared" si="72"/>
        <v>0</v>
      </c>
      <c r="AC902">
        <f t="shared" si="73"/>
        <v>0</v>
      </c>
      <c r="AD902" s="1">
        <f t="shared" si="74"/>
        <v>11</v>
      </c>
    </row>
    <row r="903" spans="1:30" x14ac:dyDescent="0.35">
      <c r="A903" t="s">
        <v>34</v>
      </c>
      <c r="B903">
        <v>20</v>
      </c>
      <c r="C903" t="s">
        <v>35</v>
      </c>
      <c r="D903" t="s">
        <v>36</v>
      </c>
      <c r="E903" t="s">
        <v>44</v>
      </c>
      <c r="F903" t="s">
        <v>38</v>
      </c>
      <c r="G903" t="s">
        <v>48</v>
      </c>
      <c r="H903">
        <v>2</v>
      </c>
      <c r="I903">
        <v>1</v>
      </c>
      <c r="J903" t="s">
        <v>43</v>
      </c>
      <c r="K903" t="s">
        <v>43</v>
      </c>
      <c r="L903" t="s">
        <v>43</v>
      </c>
      <c r="M903" t="s">
        <v>42</v>
      </c>
      <c r="N903" t="s">
        <v>42</v>
      </c>
      <c r="O903">
        <v>3</v>
      </c>
      <c r="P903">
        <v>3</v>
      </c>
      <c r="Q903">
        <v>4</v>
      </c>
      <c r="R903">
        <v>2</v>
      </c>
      <c r="S903">
        <v>4</v>
      </c>
      <c r="T903">
        <f t="shared" si="70"/>
        <v>6</v>
      </c>
      <c r="U903" t="str" cm="1">
        <f t="array" ref="U903">_xlfn.IFS(T903&lt;3, "low", AND(T903&gt;=3, T903&lt;5), "med", T903&gt;=5, "high")</f>
        <v>high</v>
      </c>
      <c r="V903">
        <v>8</v>
      </c>
      <c r="W903" t="str" cm="1">
        <f t="array" ref="W903">_xlfn.IFS(V903&lt;5, "low", AND(V903&gt;=5, V903&lt;10), "med", V903&gt;=10, "high")</f>
        <v>med</v>
      </c>
      <c r="X903">
        <v>11</v>
      </c>
      <c r="Y903">
        <v>9</v>
      </c>
      <c r="Z903">
        <v>10</v>
      </c>
      <c r="AA903">
        <f t="shared" si="71"/>
        <v>1</v>
      </c>
      <c r="AB903">
        <f t="shared" si="72"/>
        <v>0</v>
      </c>
      <c r="AC903">
        <f t="shared" si="73"/>
        <v>1</v>
      </c>
      <c r="AD903" s="1">
        <f t="shared" si="74"/>
        <v>10</v>
      </c>
    </row>
    <row r="904" spans="1:30" x14ac:dyDescent="0.35">
      <c r="A904" t="s">
        <v>34</v>
      </c>
      <c r="B904">
        <v>17</v>
      </c>
      <c r="C904" t="s">
        <v>35</v>
      </c>
      <c r="D904" t="s">
        <v>47</v>
      </c>
      <c r="E904" t="s">
        <v>44</v>
      </c>
      <c r="F904" t="s">
        <v>45</v>
      </c>
      <c r="G904" t="s">
        <v>48</v>
      </c>
      <c r="H904">
        <v>3</v>
      </c>
      <c r="I904">
        <v>0</v>
      </c>
      <c r="J904" t="s">
        <v>43</v>
      </c>
      <c r="K904" t="s">
        <v>42</v>
      </c>
      <c r="L904" t="s">
        <v>43</v>
      </c>
      <c r="M904" t="s">
        <v>43</v>
      </c>
      <c r="N904" t="s">
        <v>42</v>
      </c>
      <c r="O904">
        <v>4</v>
      </c>
      <c r="P904">
        <v>3</v>
      </c>
      <c r="Q904">
        <v>3</v>
      </c>
      <c r="R904">
        <v>1</v>
      </c>
      <c r="S904">
        <v>1</v>
      </c>
      <c r="T904">
        <f t="shared" si="70"/>
        <v>2</v>
      </c>
      <c r="U904" t="str" cm="1">
        <f t="array" ref="U904">_xlfn.IFS(T904&lt;3, "low", AND(T904&gt;=3, T904&lt;5), "med", T904&gt;=5, "high")</f>
        <v>low</v>
      </c>
      <c r="V904">
        <v>0</v>
      </c>
      <c r="W904" t="str" cm="1">
        <f t="array" ref="W904">_xlfn.IFS(V904&lt;5, "low", AND(V904&gt;=5, V904&lt;10), "med", V904&gt;=10, "high")</f>
        <v>low</v>
      </c>
      <c r="X904">
        <v>11</v>
      </c>
      <c r="Y904">
        <v>11</v>
      </c>
      <c r="Z904">
        <v>10</v>
      </c>
      <c r="AA904">
        <f t="shared" si="71"/>
        <v>0</v>
      </c>
      <c r="AB904">
        <f t="shared" si="72"/>
        <v>1</v>
      </c>
      <c r="AC904">
        <f t="shared" si="73"/>
        <v>1</v>
      </c>
      <c r="AD904" s="1">
        <f t="shared" si="74"/>
        <v>10.666666666666666</v>
      </c>
    </row>
    <row r="905" spans="1:30" x14ac:dyDescent="0.35">
      <c r="A905" t="s">
        <v>50</v>
      </c>
      <c r="B905">
        <v>17</v>
      </c>
      <c r="C905" t="s">
        <v>52</v>
      </c>
      <c r="D905" t="s">
        <v>36</v>
      </c>
      <c r="E905" t="s">
        <v>44</v>
      </c>
      <c r="F905" t="s">
        <v>45</v>
      </c>
      <c r="G905" t="s">
        <v>45</v>
      </c>
      <c r="H905">
        <v>1</v>
      </c>
      <c r="I905">
        <v>1</v>
      </c>
      <c r="J905" t="s">
        <v>43</v>
      </c>
      <c r="K905" t="s">
        <v>42</v>
      </c>
      <c r="L905" t="s">
        <v>43</v>
      </c>
      <c r="M905" t="s">
        <v>43</v>
      </c>
      <c r="N905" t="s">
        <v>43</v>
      </c>
      <c r="O905">
        <v>4</v>
      </c>
      <c r="P905">
        <v>4</v>
      </c>
      <c r="Q905">
        <v>5</v>
      </c>
      <c r="R905">
        <v>1</v>
      </c>
      <c r="S905">
        <v>2</v>
      </c>
      <c r="T905">
        <f t="shared" si="70"/>
        <v>3</v>
      </c>
      <c r="U905" t="str" cm="1">
        <f t="array" ref="U905">_xlfn.IFS(T905&lt;3, "low", AND(T905&gt;=3, T905&lt;5), "med", T905&gt;=5, "high")</f>
        <v>med</v>
      </c>
      <c r="V905">
        <v>0</v>
      </c>
      <c r="W905" t="str" cm="1">
        <f t="array" ref="W905">_xlfn.IFS(V905&lt;5, "low", AND(V905&gt;=5, V905&lt;10), "med", V905&gt;=10, "high")</f>
        <v>low</v>
      </c>
      <c r="X905">
        <v>10</v>
      </c>
      <c r="Y905">
        <v>9</v>
      </c>
      <c r="Z905">
        <v>9</v>
      </c>
      <c r="AA905">
        <f t="shared" si="71"/>
        <v>1</v>
      </c>
      <c r="AB905">
        <f t="shared" si="72"/>
        <v>0</v>
      </c>
      <c r="AC905">
        <f t="shared" si="73"/>
        <v>1</v>
      </c>
      <c r="AD905" s="1">
        <f t="shared" si="74"/>
        <v>9.3333333333333339</v>
      </c>
    </row>
    <row r="906" spans="1:30" x14ac:dyDescent="0.35">
      <c r="A906" t="s">
        <v>34</v>
      </c>
      <c r="B906">
        <v>16</v>
      </c>
      <c r="C906" t="s">
        <v>52</v>
      </c>
      <c r="D906" t="s">
        <v>47</v>
      </c>
      <c r="E906" t="s">
        <v>44</v>
      </c>
      <c r="F906" t="s">
        <v>38</v>
      </c>
      <c r="G906" t="s">
        <v>45</v>
      </c>
      <c r="H906">
        <v>2</v>
      </c>
      <c r="I906">
        <v>0</v>
      </c>
      <c r="J906" t="s">
        <v>43</v>
      </c>
      <c r="K906" t="s">
        <v>42</v>
      </c>
      <c r="L906" t="s">
        <v>43</v>
      </c>
      <c r="M906" t="s">
        <v>43</v>
      </c>
      <c r="N906" t="s">
        <v>43</v>
      </c>
      <c r="O906">
        <v>5</v>
      </c>
      <c r="P906">
        <v>3</v>
      </c>
      <c r="Q906">
        <v>2</v>
      </c>
      <c r="R906">
        <v>1</v>
      </c>
      <c r="S906">
        <v>1</v>
      </c>
      <c r="T906">
        <f t="shared" si="70"/>
        <v>2</v>
      </c>
      <c r="U906" t="str" cm="1">
        <f t="array" ref="U906">_xlfn.IFS(T906&lt;3, "low", AND(T906&gt;=3, T906&lt;5), "med", T906&gt;=5, "high")</f>
        <v>low</v>
      </c>
      <c r="V906">
        <v>0</v>
      </c>
      <c r="W906" t="str" cm="1">
        <f t="array" ref="W906">_xlfn.IFS(V906&lt;5, "low", AND(V906&gt;=5, V906&lt;10), "med", V906&gt;=10, "high")</f>
        <v>low</v>
      </c>
      <c r="X906">
        <v>16</v>
      </c>
      <c r="Y906">
        <v>17</v>
      </c>
      <c r="Z906">
        <v>18</v>
      </c>
      <c r="AA906">
        <f t="shared" si="71"/>
        <v>0</v>
      </c>
      <c r="AB906">
        <f t="shared" si="72"/>
        <v>0</v>
      </c>
      <c r="AC906">
        <f t="shared" si="73"/>
        <v>0</v>
      </c>
      <c r="AD906" s="1">
        <f t="shared" si="74"/>
        <v>17</v>
      </c>
    </row>
    <row r="907" spans="1:30" x14ac:dyDescent="0.35">
      <c r="A907" t="s">
        <v>34</v>
      </c>
      <c r="B907">
        <v>17</v>
      </c>
      <c r="C907" t="s">
        <v>52</v>
      </c>
      <c r="D907" t="s">
        <v>36</v>
      </c>
      <c r="E907" t="s">
        <v>44</v>
      </c>
      <c r="F907" t="s">
        <v>45</v>
      </c>
      <c r="G907" t="s">
        <v>45</v>
      </c>
      <c r="H907">
        <v>2</v>
      </c>
      <c r="I907">
        <v>0</v>
      </c>
      <c r="J907" t="s">
        <v>43</v>
      </c>
      <c r="K907" t="s">
        <v>42</v>
      </c>
      <c r="L907" t="s">
        <v>43</v>
      </c>
      <c r="M907" t="s">
        <v>42</v>
      </c>
      <c r="N907" t="s">
        <v>43</v>
      </c>
      <c r="O907">
        <v>5</v>
      </c>
      <c r="P907">
        <v>3</v>
      </c>
      <c r="Q907">
        <v>2</v>
      </c>
      <c r="R907">
        <v>1</v>
      </c>
      <c r="S907">
        <v>1</v>
      </c>
      <c r="T907">
        <f t="shared" si="70"/>
        <v>2</v>
      </c>
      <c r="U907" t="str" cm="1">
        <f t="array" ref="U907">_xlfn.IFS(T907&lt;3, "low", AND(T907&gt;=3, T907&lt;5), "med", T907&gt;=5, "high")</f>
        <v>low</v>
      </c>
      <c r="V907">
        <v>0</v>
      </c>
      <c r="W907" t="str" cm="1">
        <f t="array" ref="W907">_xlfn.IFS(V907&lt;5, "low", AND(V907&gt;=5, V907&lt;10), "med", V907&gt;=10, "high")</f>
        <v>low</v>
      </c>
      <c r="X907">
        <v>15</v>
      </c>
      <c r="Y907">
        <v>17</v>
      </c>
      <c r="Z907">
        <v>17</v>
      </c>
      <c r="AA907">
        <f t="shared" si="71"/>
        <v>0</v>
      </c>
      <c r="AB907">
        <f t="shared" si="72"/>
        <v>0</v>
      </c>
      <c r="AC907">
        <f t="shared" si="73"/>
        <v>0</v>
      </c>
      <c r="AD907" s="1">
        <f t="shared" si="74"/>
        <v>16.333333333333332</v>
      </c>
    </row>
    <row r="908" spans="1:30" x14ac:dyDescent="0.35">
      <c r="A908" t="s">
        <v>34</v>
      </c>
      <c r="B908">
        <v>17</v>
      </c>
      <c r="C908" t="s">
        <v>35</v>
      </c>
      <c r="D908" t="s">
        <v>36</v>
      </c>
      <c r="E908" t="s">
        <v>37</v>
      </c>
      <c r="F908" t="s">
        <v>45</v>
      </c>
      <c r="G908" t="s">
        <v>45</v>
      </c>
      <c r="H908">
        <v>2</v>
      </c>
      <c r="I908">
        <v>0</v>
      </c>
      <c r="J908" t="s">
        <v>43</v>
      </c>
      <c r="K908" t="s">
        <v>43</v>
      </c>
      <c r="L908" t="s">
        <v>43</v>
      </c>
      <c r="M908" t="s">
        <v>43</v>
      </c>
      <c r="N908" t="s">
        <v>42</v>
      </c>
      <c r="O908">
        <v>4</v>
      </c>
      <c r="P908">
        <v>4</v>
      </c>
      <c r="Q908">
        <v>5</v>
      </c>
      <c r="R908">
        <v>1</v>
      </c>
      <c r="S908">
        <v>1</v>
      </c>
      <c r="T908">
        <f t="shared" si="70"/>
        <v>2</v>
      </c>
      <c r="U908" t="str" cm="1">
        <f t="array" ref="U908">_xlfn.IFS(T908&lt;3, "low", AND(T908&gt;=3, T908&lt;5), "med", T908&gt;=5, "high")</f>
        <v>low</v>
      </c>
      <c r="V908">
        <v>1</v>
      </c>
      <c r="W908" t="str" cm="1">
        <f t="array" ref="W908">_xlfn.IFS(V908&lt;5, "low", AND(V908&gt;=5, V908&lt;10), "med", V908&gt;=10, "high")</f>
        <v>low</v>
      </c>
      <c r="X908">
        <v>11</v>
      </c>
      <c r="Y908">
        <v>9</v>
      </c>
      <c r="Z908">
        <v>10</v>
      </c>
      <c r="AA908">
        <f t="shared" si="71"/>
        <v>1</v>
      </c>
      <c r="AB908">
        <f t="shared" si="72"/>
        <v>0</v>
      </c>
      <c r="AC908">
        <f t="shared" si="73"/>
        <v>1</v>
      </c>
      <c r="AD908" s="1">
        <f t="shared" si="74"/>
        <v>10</v>
      </c>
    </row>
    <row r="909" spans="1:30" x14ac:dyDescent="0.35">
      <c r="A909" t="s">
        <v>34</v>
      </c>
      <c r="B909">
        <v>18</v>
      </c>
      <c r="C909" t="s">
        <v>52</v>
      </c>
      <c r="D909" t="s">
        <v>36</v>
      </c>
      <c r="E909" t="s">
        <v>44</v>
      </c>
      <c r="F909" t="s">
        <v>38</v>
      </c>
      <c r="G909" t="s">
        <v>45</v>
      </c>
      <c r="H909">
        <v>2</v>
      </c>
      <c r="I909">
        <v>1</v>
      </c>
      <c r="J909" t="s">
        <v>43</v>
      </c>
      <c r="K909" t="s">
        <v>42</v>
      </c>
      <c r="L909" t="s">
        <v>43</v>
      </c>
      <c r="M909" t="s">
        <v>43</v>
      </c>
      <c r="N909" t="s">
        <v>42</v>
      </c>
      <c r="O909">
        <v>4</v>
      </c>
      <c r="P909">
        <v>3</v>
      </c>
      <c r="Q909">
        <v>2</v>
      </c>
      <c r="R909">
        <v>1</v>
      </c>
      <c r="S909">
        <v>1</v>
      </c>
      <c r="T909">
        <f t="shared" si="70"/>
        <v>2</v>
      </c>
      <c r="U909" t="str" cm="1">
        <f t="array" ref="U909">_xlfn.IFS(T909&lt;3, "low", AND(T909&gt;=3, T909&lt;5), "med", T909&gt;=5, "high")</f>
        <v>low</v>
      </c>
      <c r="V909">
        <v>9</v>
      </c>
      <c r="W909" t="str" cm="1">
        <f t="array" ref="W909">_xlfn.IFS(V909&lt;5, "low", AND(V909&gt;=5, V909&lt;10), "med", V909&gt;=10, "high")</f>
        <v>med</v>
      </c>
      <c r="X909">
        <v>7</v>
      </c>
      <c r="Y909">
        <v>7</v>
      </c>
      <c r="Z909">
        <v>7</v>
      </c>
      <c r="AA909">
        <f t="shared" si="71"/>
        <v>0</v>
      </c>
      <c r="AB909">
        <f t="shared" si="72"/>
        <v>0</v>
      </c>
      <c r="AC909">
        <f t="shared" si="73"/>
        <v>0</v>
      </c>
      <c r="AD909" s="1">
        <f t="shared" si="74"/>
        <v>7</v>
      </c>
    </row>
    <row r="910" spans="1:30" x14ac:dyDescent="0.35">
      <c r="A910" t="s">
        <v>34</v>
      </c>
      <c r="B910">
        <v>16</v>
      </c>
      <c r="C910" t="s">
        <v>35</v>
      </c>
      <c r="D910" t="s">
        <v>36</v>
      </c>
      <c r="E910" t="s">
        <v>44</v>
      </c>
      <c r="F910" t="s">
        <v>45</v>
      </c>
      <c r="G910" t="s">
        <v>45</v>
      </c>
      <c r="H910">
        <v>1</v>
      </c>
      <c r="I910">
        <v>0</v>
      </c>
      <c r="J910" t="s">
        <v>43</v>
      </c>
      <c r="K910" t="s">
        <v>43</v>
      </c>
      <c r="L910" t="s">
        <v>43</v>
      </c>
      <c r="M910" t="s">
        <v>42</v>
      </c>
      <c r="N910" t="s">
        <v>43</v>
      </c>
      <c r="O910">
        <v>3</v>
      </c>
      <c r="P910">
        <v>1</v>
      </c>
      <c r="Q910">
        <v>3</v>
      </c>
      <c r="R910">
        <v>1</v>
      </c>
      <c r="S910">
        <v>3</v>
      </c>
      <c r="T910">
        <f t="shared" si="70"/>
        <v>4</v>
      </c>
      <c r="U910" t="str" cm="1">
        <f t="array" ref="U910">_xlfn.IFS(T910&lt;3, "low", AND(T910&gt;=3, T910&lt;5), "med", T910&gt;=5, "high")</f>
        <v>med</v>
      </c>
      <c r="V910">
        <v>0</v>
      </c>
      <c r="W910" t="str" cm="1">
        <f t="array" ref="W910">_xlfn.IFS(V910&lt;5, "low", AND(V910&gt;=5, V910&lt;10), "med", V910&gt;=10, "high")</f>
        <v>low</v>
      </c>
      <c r="X910">
        <v>8</v>
      </c>
      <c r="Y910">
        <v>6</v>
      </c>
      <c r="Z910">
        <v>8</v>
      </c>
      <c r="AA910">
        <f t="shared" si="71"/>
        <v>1</v>
      </c>
      <c r="AB910">
        <f t="shared" si="72"/>
        <v>0</v>
      </c>
      <c r="AC910">
        <f t="shared" si="73"/>
        <v>1</v>
      </c>
      <c r="AD910" s="1">
        <f t="shared" si="74"/>
        <v>7.333333333333333</v>
      </c>
    </row>
    <row r="911" spans="1:30" x14ac:dyDescent="0.35">
      <c r="A911" t="s">
        <v>34</v>
      </c>
      <c r="B911">
        <v>16</v>
      </c>
      <c r="C911" t="s">
        <v>35</v>
      </c>
      <c r="D911" t="s">
        <v>36</v>
      </c>
      <c r="E911" t="s">
        <v>44</v>
      </c>
      <c r="F911" t="s">
        <v>48</v>
      </c>
      <c r="G911" t="s">
        <v>38</v>
      </c>
      <c r="H911">
        <v>1</v>
      </c>
      <c r="I911">
        <v>0</v>
      </c>
      <c r="J911" t="s">
        <v>43</v>
      </c>
      <c r="K911" t="s">
        <v>43</v>
      </c>
      <c r="L911" t="s">
        <v>43</v>
      </c>
      <c r="M911" t="s">
        <v>43</v>
      </c>
      <c r="N911" t="s">
        <v>43</v>
      </c>
      <c r="O911">
        <v>3</v>
      </c>
      <c r="P911">
        <v>1</v>
      </c>
      <c r="Q911">
        <v>3</v>
      </c>
      <c r="R911">
        <v>1</v>
      </c>
      <c r="S911">
        <v>4</v>
      </c>
      <c r="T911">
        <f t="shared" si="70"/>
        <v>5</v>
      </c>
      <c r="U911" t="str" cm="1">
        <f t="array" ref="U911">_xlfn.IFS(T911&lt;3, "low", AND(T911&gt;=3, T911&lt;5), "med", T911&gt;=5, "high")</f>
        <v>high</v>
      </c>
      <c r="V911">
        <v>2</v>
      </c>
      <c r="W911" t="str" cm="1">
        <f t="array" ref="W911">_xlfn.IFS(V911&lt;5, "low", AND(V911&gt;=5, V911&lt;10), "med", V911&gt;=10, "high")</f>
        <v>low</v>
      </c>
      <c r="X911">
        <v>7</v>
      </c>
      <c r="Y911">
        <v>6</v>
      </c>
      <c r="Z911">
        <v>7</v>
      </c>
      <c r="AA911">
        <f t="shared" si="71"/>
        <v>1</v>
      </c>
      <c r="AB911">
        <f t="shared" si="72"/>
        <v>0</v>
      </c>
      <c r="AC911">
        <f t="shared" si="73"/>
        <v>1</v>
      </c>
      <c r="AD911" s="1">
        <f t="shared" si="74"/>
        <v>6.666666666666667</v>
      </c>
    </row>
    <row r="912" spans="1:30" x14ac:dyDescent="0.35">
      <c r="A912" t="s">
        <v>34</v>
      </c>
      <c r="B912">
        <v>18</v>
      </c>
      <c r="C912" t="s">
        <v>35</v>
      </c>
      <c r="D912" t="s">
        <v>47</v>
      </c>
      <c r="E912" t="s">
        <v>44</v>
      </c>
      <c r="F912" t="s">
        <v>45</v>
      </c>
      <c r="G912" t="s">
        <v>38</v>
      </c>
      <c r="H912">
        <v>2</v>
      </c>
      <c r="I912">
        <v>0</v>
      </c>
      <c r="J912" t="s">
        <v>42</v>
      </c>
      <c r="K912" t="s">
        <v>43</v>
      </c>
      <c r="L912" t="s">
        <v>43</v>
      </c>
      <c r="M912" t="s">
        <v>43</v>
      </c>
      <c r="N912" t="s">
        <v>43</v>
      </c>
      <c r="O912">
        <v>2</v>
      </c>
      <c r="P912">
        <v>3</v>
      </c>
      <c r="Q912">
        <v>5</v>
      </c>
      <c r="R912">
        <v>1</v>
      </c>
      <c r="S912">
        <v>4</v>
      </c>
      <c r="T912">
        <f t="shared" si="70"/>
        <v>5</v>
      </c>
      <c r="U912" t="str" cm="1">
        <f t="array" ref="U912">_xlfn.IFS(T912&lt;3, "low", AND(T912&gt;=3, T912&lt;5), "med", T912&gt;=5, "high")</f>
        <v>high</v>
      </c>
      <c r="V912">
        <v>8</v>
      </c>
      <c r="W912" t="str" cm="1">
        <f t="array" ref="W912">_xlfn.IFS(V912&lt;5, "low", AND(V912&gt;=5, V912&lt;10), "med", V912&gt;=10, "high")</f>
        <v>med</v>
      </c>
      <c r="X912">
        <v>9</v>
      </c>
      <c r="Y912">
        <v>8</v>
      </c>
      <c r="Z912">
        <v>10</v>
      </c>
      <c r="AA912">
        <f t="shared" si="71"/>
        <v>1</v>
      </c>
      <c r="AB912">
        <f t="shared" si="72"/>
        <v>0</v>
      </c>
      <c r="AC912">
        <f t="shared" si="73"/>
        <v>1</v>
      </c>
      <c r="AD912" s="1">
        <f t="shared" si="74"/>
        <v>9</v>
      </c>
    </row>
    <row r="913" spans="1:30" x14ac:dyDescent="0.35">
      <c r="A913" t="s">
        <v>34</v>
      </c>
      <c r="B913">
        <v>16</v>
      </c>
      <c r="C913" t="s">
        <v>52</v>
      </c>
      <c r="D913" t="s">
        <v>36</v>
      </c>
      <c r="E913" t="s">
        <v>44</v>
      </c>
      <c r="F913" t="s">
        <v>28</v>
      </c>
      <c r="G913" t="s">
        <v>39</v>
      </c>
      <c r="H913">
        <v>2</v>
      </c>
      <c r="I913">
        <v>0</v>
      </c>
      <c r="J913" t="s">
        <v>43</v>
      </c>
      <c r="K913" t="s">
        <v>43</v>
      </c>
      <c r="L913" t="s">
        <v>43</v>
      </c>
      <c r="M913" t="s">
        <v>42</v>
      </c>
      <c r="N913" t="s">
        <v>42</v>
      </c>
      <c r="O913">
        <v>4</v>
      </c>
      <c r="P913">
        <v>3</v>
      </c>
      <c r="Q913">
        <v>3</v>
      </c>
      <c r="R913">
        <v>2</v>
      </c>
      <c r="S913">
        <v>3</v>
      </c>
      <c r="T913">
        <f t="shared" si="70"/>
        <v>5</v>
      </c>
      <c r="U913" t="str" cm="1">
        <f t="array" ref="U913">_xlfn.IFS(T913&lt;3, "low", AND(T913&gt;=3, T913&lt;5), "med", T913&gt;=5, "high")</f>
        <v>high</v>
      </c>
      <c r="V913">
        <v>0</v>
      </c>
      <c r="W913" t="str" cm="1">
        <f t="array" ref="W913">_xlfn.IFS(V913&lt;5, "low", AND(V913&gt;=5, V913&lt;10), "med", V913&gt;=10, "high")</f>
        <v>low</v>
      </c>
      <c r="X913">
        <v>14</v>
      </c>
      <c r="Y913">
        <v>16</v>
      </c>
      <c r="Z913">
        <v>16</v>
      </c>
      <c r="AA913">
        <f t="shared" si="71"/>
        <v>0</v>
      </c>
      <c r="AB913">
        <f t="shared" si="72"/>
        <v>0</v>
      </c>
      <c r="AC913">
        <f t="shared" si="73"/>
        <v>0</v>
      </c>
      <c r="AD913" s="1">
        <f t="shared" si="74"/>
        <v>15.333333333333334</v>
      </c>
    </row>
    <row r="914" spans="1:30" x14ac:dyDescent="0.35">
      <c r="A914" t="s">
        <v>34</v>
      </c>
      <c r="B914">
        <v>16</v>
      </c>
      <c r="C914" t="s">
        <v>52</v>
      </c>
      <c r="D914" t="s">
        <v>47</v>
      </c>
      <c r="E914" t="s">
        <v>44</v>
      </c>
      <c r="F914" t="s">
        <v>45</v>
      </c>
      <c r="G914" t="s">
        <v>45</v>
      </c>
      <c r="H914">
        <v>1</v>
      </c>
      <c r="I914">
        <v>0</v>
      </c>
      <c r="J914" t="s">
        <v>43</v>
      </c>
      <c r="K914" t="s">
        <v>43</v>
      </c>
      <c r="L914" t="s">
        <v>43</v>
      </c>
      <c r="M914" t="s">
        <v>42</v>
      </c>
      <c r="N914" t="s">
        <v>43</v>
      </c>
      <c r="O914">
        <v>5</v>
      </c>
      <c r="P914">
        <v>4</v>
      </c>
      <c r="Q914">
        <v>5</v>
      </c>
      <c r="R914">
        <v>1</v>
      </c>
      <c r="S914">
        <v>4</v>
      </c>
      <c r="T914">
        <f t="shared" si="70"/>
        <v>5</v>
      </c>
      <c r="U914" t="str" cm="1">
        <f t="array" ref="U914">_xlfn.IFS(T914&lt;3, "low", AND(T914&gt;=3, T914&lt;5), "med", T914&gt;=5, "high")</f>
        <v>high</v>
      </c>
      <c r="V914">
        <v>0</v>
      </c>
      <c r="W914" t="str" cm="1">
        <f t="array" ref="W914">_xlfn.IFS(V914&lt;5, "low", AND(V914&gt;=5, V914&lt;10), "med", V914&gt;=10, "high")</f>
        <v>low</v>
      </c>
      <c r="X914">
        <v>14</v>
      </c>
      <c r="Y914">
        <v>14</v>
      </c>
      <c r="Z914">
        <v>15</v>
      </c>
      <c r="AA914">
        <f t="shared" si="71"/>
        <v>0</v>
      </c>
      <c r="AB914">
        <f t="shared" si="72"/>
        <v>0</v>
      </c>
      <c r="AC914">
        <f t="shared" si="73"/>
        <v>0</v>
      </c>
      <c r="AD914" s="1">
        <f t="shared" si="74"/>
        <v>14.333333333333334</v>
      </c>
    </row>
    <row r="915" spans="1:30" x14ac:dyDescent="0.35">
      <c r="A915" t="s">
        <v>34</v>
      </c>
      <c r="B915">
        <v>18</v>
      </c>
      <c r="C915" t="s">
        <v>35</v>
      </c>
      <c r="D915" t="s">
        <v>36</v>
      </c>
      <c r="E915" t="s">
        <v>37</v>
      </c>
      <c r="F915" t="s">
        <v>45</v>
      </c>
      <c r="G915" t="s">
        <v>48</v>
      </c>
      <c r="H915">
        <v>2</v>
      </c>
      <c r="I915">
        <v>1</v>
      </c>
      <c r="J915" t="s">
        <v>43</v>
      </c>
      <c r="K915" t="s">
        <v>42</v>
      </c>
      <c r="L915" t="s">
        <v>43</v>
      </c>
      <c r="M915" t="s">
        <v>43</v>
      </c>
      <c r="N915" t="s">
        <v>43</v>
      </c>
      <c r="O915">
        <v>2</v>
      </c>
      <c r="P915">
        <v>3</v>
      </c>
      <c r="Q915">
        <v>2</v>
      </c>
      <c r="R915">
        <v>1</v>
      </c>
      <c r="S915">
        <v>3</v>
      </c>
      <c r="T915">
        <f t="shared" si="70"/>
        <v>4</v>
      </c>
      <c r="U915" t="str" cm="1">
        <f t="array" ref="U915">_xlfn.IFS(T915&lt;3, "low", AND(T915&gt;=3, T915&lt;5), "med", T915&gt;=5, "high")</f>
        <v>med</v>
      </c>
      <c r="V915">
        <v>8</v>
      </c>
      <c r="W915" t="str" cm="1">
        <f t="array" ref="W915">_xlfn.IFS(V915&lt;5, "low", AND(V915&gt;=5, V915&lt;10), "med", V915&gt;=10, "high")</f>
        <v>med</v>
      </c>
      <c r="X915">
        <v>8</v>
      </c>
      <c r="Y915">
        <v>5</v>
      </c>
      <c r="Z915">
        <v>8</v>
      </c>
      <c r="AA915">
        <f t="shared" si="71"/>
        <v>1</v>
      </c>
      <c r="AB915">
        <f t="shared" si="72"/>
        <v>0</v>
      </c>
      <c r="AC915">
        <f t="shared" si="73"/>
        <v>1</v>
      </c>
      <c r="AD915" s="1">
        <f t="shared" si="74"/>
        <v>7</v>
      </c>
    </row>
    <row r="916" spans="1:30" x14ac:dyDescent="0.35">
      <c r="A916" t="s">
        <v>50</v>
      </c>
      <c r="B916">
        <v>16</v>
      </c>
      <c r="C916" t="s">
        <v>52</v>
      </c>
      <c r="D916" t="s">
        <v>36</v>
      </c>
      <c r="E916" t="s">
        <v>44</v>
      </c>
      <c r="F916" t="s">
        <v>45</v>
      </c>
      <c r="G916" t="s">
        <v>48</v>
      </c>
      <c r="H916">
        <v>2</v>
      </c>
      <c r="I916">
        <v>0</v>
      </c>
      <c r="J916" t="s">
        <v>43</v>
      </c>
      <c r="K916" t="s">
        <v>43</v>
      </c>
      <c r="L916" t="s">
        <v>43</v>
      </c>
      <c r="M916" t="s">
        <v>42</v>
      </c>
      <c r="N916" t="s">
        <v>43</v>
      </c>
      <c r="O916">
        <v>5</v>
      </c>
      <c r="P916">
        <v>2</v>
      </c>
      <c r="Q916">
        <v>1</v>
      </c>
      <c r="R916">
        <v>1</v>
      </c>
      <c r="S916">
        <v>1</v>
      </c>
      <c r="T916">
        <f t="shared" si="70"/>
        <v>2</v>
      </c>
      <c r="U916" t="str" cm="1">
        <f t="array" ref="U916">_xlfn.IFS(T916&lt;3, "low", AND(T916&gt;=3, T916&lt;5), "med", T916&gt;=5, "high")</f>
        <v>low</v>
      </c>
      <c r="V916">
        <v>0</v>
      </c>
      <c r="W916" t="str" cm="1">
        <f t="array" ref="W916">_xlfn.IFS(V916&lt;5, "low", AND(V916&gt;=5, V916&lt;10), "med", V916&gt;=10, "high")</f>
        <v>low</v>
      </c>
      <c r="X916">
        <v>8</v>
      </c>
      <c r="Y916">
        <v>7</v>
      </c>
      <c r="Z916">
        <v>0</v>
      </c>
      <c r="AA916">
        <f t="shared" si="71"/>
        <v>1</v>
      </c>
      <c r="AB916">
        <f t="shared" si="72"/>
        <v>1</v>
      </c>
      <c r="AC916">
        <f t="shared" si="73"/>
        <v>2</v>
      </c>
      <c r="AD916" s="1">
        <f t="shared" si="74"/>
        <v>5</v>
      </c>
    </row>
    <row r="917" spans="1:30" x14ac:dyDescent="0.35">
      <c r="A917" t="s">
        <v>34</v>
      </c>
      <c r="B917">
        <v>16</v>
      </c>
      <c r="C917" t="s">
        <v>35</v>
      </c>
      <c r="D917" t="s">
        <v>47</v>
      </c>
      <c r="E917" t="s">
        <v>44</v>
      </c>
      <c r="F917" t="s">
        <v>38</v>
      </c>
      <c r="G917" t="s">
        <v>45</v>
      </c>
      <c r="H917">
        <v>2</v>
      </c>
      <c r="I917">
        <v>0</v>
      </c>
      <c r="J917" t="s">
        <v>43</v>
      </c>
      <c r="K917" t="s">
        <v>42</v>
      </c>
      <c r="L917" t="s">
        <v>43</v>
      </c>
      <c r="M917" t="s">
        <v>43</v>
      </c>
      <c r="N917" t="s">
        <v>43</v>
      </c>
      <c r="O917">
        <v>4</v>
      </c>
      <c r="P917">
        <v>3</v>
      </c>
      <c r="Q917">
        <v>2</v>
      </c>
      <c r="R917">
        <v>1</v>
      </c>
      <c r="S917">
        <v>3</v>
      </c>
      <c r="T917">
        <f t="shared" si="70"/>
        <v>4</v>
      </c>
      <c r="U917" t="str" cm="1">
        <f t="array" ref="U917">_xlfn.IFS(T917&lt;3, "low", AND(T917&gt;=3, T917&lt;5), "med", T917&gt;=5, "high")</f>
        <v>med</v>
      </c>
      <c r="V917">
        <v>6</v>
      </c>
      <c r="W917" t="str" cm="1">
        <f t="array" ref="W917">_xlfn.IFS(V917&lt;5, "low", AND(V917&gt;=5, V917&lt;10), "med", V917&gt;=10, "high")</f>
        <v>med</v>
      </c>
      <c r="X917">
        <v>6</v>
      </c>
      <c r="Y917">
        <v>8</v>
      </c>
      <c r="Z917">
        <v>8</v>
      </c>
      <c r="AA917">
        <f t="shared" si="71"/>
        <v>0</v>
      </c>
      <c r="AB917">
        <f t="shared" si="72"/>
        <v>0</v>
      </c>
      <c r="AC917">
        <f t="shared" si="73"/>
        <v>0</v>
      </c>
      <c r="AD917" s="1">
        <f t="shared" si="74"/>
        <v>7.333333333333333</v>
      </c>
    </row>
    <row r="918" spans="1:30" x14ac:dyDescent="0.35">
      <c r="A918" t="s">
        <v>34</v>
      </c>
      <c r="B918">
        <v>16</v>
      </c>
      <c r="C918" t="s">
        <v>52</v>
      </c>
      <c r="D918" t="s">
        <v>36</v>
      </c>
      <c r="E918" t="s">
        <v>44</v>
      </c>
      <c r="F918" t="s">
        <v>38</v>
      </c>
      <c r="G918" t="s">
        <v>48</v>
      </c>
      <c r="H918">
        <v>2</v>
      </c>
      <c r="I918">
        <v>0</v>
      </c>
      <c r="J918" t="s">
        <v>43</v>
      </c>
      <c r="K918" t="s">
        <v>42</v>
      </c>
      <c r="L918" t="s">
        <v>43</v>
      </c>
      <c r="M918" t="s">
        <v>42</v>
      </c>
      <c r="N918" t="s">
        <v>43</v>
      </c>
      <c r="O918">
        <v>3</v>
      </c>
      <c r="P918">
        <v>3</v>
      </c>
      <c r="Q918">
        <v>3</v>
      </c>
      <c r="R918">
        <v>1</v>
      </c>
      <c r="S918">
        <v>1</v>
      </c>
      <c r="T918">
        <f t="shared" si="70"/>
        <v>2</v>
      </c>
      <c r="U918" t="str" cm="1">
        <f t="array" ref="U918">_xlfn.IFS(T918&lt;3, "low", AND(T918&gt;=3, T918&lt;5), "med", T918&gt;=5, "high")</f>
        <v>low</v>
      </c>
      <c r="V918">
        <v>0</v>
      </c>
      <c r="W918" t="str" cm="1">
        <f t="array" ref="W918">_xlfn.IFS(V918&lt;5, "low", AND(V918&gt;=5, V918&lt;10), "med", V918&gt;=10, "high")</f>
        <v>low</v>
      </c>
      <c r="X918">
        <v>8</v>
      </c>
      <c r="Y918">
        <v>10</v>
      </c>
      <c r="Z918">
        <v>10</v>
      </c>
      <c r="AA918">
        <f t="shared" si="71"/>
        <v>0</v>
      </c>
      <c r="AB918">
        <f t="shared" si="72"/>
        <v>0</v>
      </c>
      <c r="AC918">
        <f t="shared" si="73"/>
        <v>0</v>
      </c>
      <c r="AD918" s="1">
        <f t="shared" si="74"/>
        <v>9.3333333333333339</v>
      </c>
    </row>
    <row r="919" spans="1:30" x14ac:dyDescent="0.35">
      <c r="A919" t="s">
        <v>34</v>
      </c>
      <c r="B919">
        <v>16</v>
      </c>
      <c r="C919" t="s">
        <v>35</v>
      </c>
      <c r="D919" t="s">
        <v>36</v>
      </c>
      <c r="E919" t="s">
        <v>44</v>
      </c>
      <c r="F919" t="s">
        <v>28</v>
      </c>
      <c r="G919" t="s">
        <v>28</v>
      </c>
      <c r="H919">
        <v>2</v>
      </c>
      <c r="I919">
        <v>0</v>
      </c>
      <c r="J919" t="s">
        <v>43</v>
      </c>
      <c r="K919" t="s">
        <v>42</v>
      </c>
      <c r="L919" t="s">
        <v>43</v>
      </c>
      <c r="M919" t="s">
        <v>43</v>
      </c>
      <c r="N919" t="s">
        <v>42</v>
      </c>
      <c r="O919">
        <v>4</v>
      </c>
      <c r="P919">
        <v>3</v>
      </c>
      <c r="Q919">
        <v>4</v>
      </c>
      <c r="R919">
        <v>1</v>
      </c>
      <c r="S919">
        <v>2</v>
      </c>
      <c r="T919">
        <f t="shared" si="70"/>
        <v>3</v>
      </c>
      <c r="U919" t="str" cm="1">
        <f t="array" ref="U919">_xlfn.IFS(T919&lt;3, "low", AND(T919&gt;=3, T919&lt;5), "med", T919&gt;=5, "high")</f>
        <v>med</v>
      </c>
      <c r="V919">
        <v>4</v>
      </c>
      <c r="W919" t="str" cm="1">
        <f t="array" ref="W919">_xlfn.IFS(V919&lt;5, "low", AND(V919&gt;=5, V919&lt;10), "med", V919&gt;=10, "high")</f>
        <v>low</v>
      </c>
      <c r="X919">
        <v>8</v>
      </c>
      <c r="Y919">
        <v>8</v>
      </c>
      <c r="Z919">
        <v>8</v>
      </c>
      <c r="AA919">
        <f t="shared" si="71"/>
        <v>0</v>
      </c>
      <c r="AB919">
        <f t="shared" si="72"/>
        <v>0</v>
      </c>
      <c r="AC919">
        <f t="shared" si="73"/>
        <v>0</v>
      </c>
      <c r="AD919" s="1">
        <f t="shared" si="74"/>
        <v>8</v>
      </c>
    </row>
    <row r="920" spans="1:30" x14ac:dyDescent="0.35">
      <c r="A920" t="s">
        <v>50</v>
      </c>
      <c r="B920">
        <v>18</v>
      </c>
      <c r="C920" t="s">
        <v>35</v>
      </c>
      <c r="D920" t="s">
        <v>47</v>
      </c>
      <c r="E920" t="s">
        <v>44</v>
      </c>
      <c r="F920" t="s">
        <v>38</v>
      </c>
      <c r="G920" t="s">
        <v>28</v>
      </c>
      <c r="H920">
        <v>4</v>
      </c>
      <c r="I920">
        <v>0</v>
      </c>
      <c r="J920" t="s">
        <v>43</v>
      </c>
      <c r="K920" t="s">
        <v>42</v>
      </c>
      <c r="L920" t="s">
        <v>43</v>
      </c>
      <c r="M920" t="s">
        <v>42</v>
      </c>
      <c r="N920" t="s">
        <v>42</v>
      </c>
      <c r="O920">
        <v>5</v>
      </c>
      <c r="P920">
        <v>5</v>
      </c>
      <c r="Q920">
        <v>5</v>
      </c>
      <c r="R920">
        <v>5</v>
      </c>
      <c r="S920">
        <v>5</v>
      </c>
      <c r="T920">
        <f t="shared" si="70"/>
        <v>10</v>
      </c>
      <c r="U920" t="str" cm="1">
        <f t="array" ref="U920">_xlfn.IFS(T920&lt;3, "low", AND(T920&gt;=3, T920&lt;5), "med", T920&gt;=5, "high")</f>
        <v>high</v>
      </c>
      <c r="V920">
        <v>2</v>
      </c>
      <c r="W920" t="str" cm="1">
        <f t="array" ref="W920">_xlfn.IFS(V920&lt;5, "low", AND(V920&gt;=5, V920&lt;10), "med", V920&gt;=10, "high")</f>
        <v>low</v>
      </c>
      <c r="X920">
        <v>5</v>
      </c>
      <c r="Y920">
        <v>6</v>
      </c>
      <c r="Z920">
        <v>6</v>
      </c>
      <c r="AA920">
        <f t="shared" si="71"/>
        <v>0</v>
      </c>
      <c r="AB920">
        <f t="shared" si="72"/>
        <v>0</v>
      </c>
      <c r="AC920">
        <f t="shared" si="73"/>
        <v>0</v>
      </c>
      <c r="AD920" s="1">
        <f t="shared" si="74"/>
        <v>5.666666666666667</v>
      </c>
    </row>
    <row r="921" spans="1:30" x14ac:dyDescent="0.35">
      <c r="A921" t="s">
        <v>34</v>
      </c>
      <c r="B921">
        <v>16</v>
      </c>
      <c r="C921" t="s">
        <v>52</v>
      </c>
      <c r="D921" t="s">
        <v>47</v>
      </c>
      <c r="E921" t="s">
        <v>44</v>
      </c>
      <c r="F921" t="s">
        <v>38</v>
      </c>
      <c r="G921" t="s">
        <v>45</v>
      </c>
      <c r="H921">
        <v>2</v>
      </c>
      <c r="I921">
        <v>0</v>
      </c>
      <c r="J921" t="s">
        <v>43</v>
      </c>
      <c r="K921" t="s">
        <v>42</v>
      </c>
      <c r="L921" t="s">
        <v>43</v>
      </c>
      <c r="M921" t="s">
        <v>43</v>
      </c>
      <c r="N921" t="s">
        <v>43</v>
      </c>
      <c r="O921">
        <v>4</v>
      </c>
      <c r="P921">
        <v>2</v>
      </c>
      <c r="Q921">
        <v>1</v>
      </c>
      <c r="R921">
        <v>1</v>
      </c>
      <c r="S921">
        <v>1</v>
      </c>
      <c r="T921">
        <f t="shared" si="70"/>
        <v>2</v>
      </c>
      <c r="U921" t="str" cm="1">
        <f t="array" ref="U921">_xlfn.IFS(T921&lt;3, "low", AND(T921&gt;=3, T921&lt;5), "med", T921&gt;=5, "high")</f>
        <v>low</v>
      </c>
      <c r="V921">
        <v>2</v>
      </c>
      <c r="W921" t="str" cm="1">
        <f t="array" ref="W921">_xlfn.IFS(V921&lt;5, "low", AND(V921&gt;=5, V921&lt;10), "med", V921&gt;=10, "high")</f>
        <v>low</v>
      </c>
      <c r="X921">
        <v>7</v>
      </c>
      <c r="Y921">
        <v>9</v>
      </c>
      <c r="Z921">
        <v>8</v>
      </c>
      <c r="AA921">
        <f t="shared" si="71"/>
        <v>0</v>
      </c>
      <c r="AB921">
        <f t="shared" si="72"/>
        <v>1</v>
      </c>
      <c r="AC921">
        <f t="shared" si="73"/>
        <v>1</v>
      </c>
      <c r="AD921" s="1">
        <f t="shared" si="74"/>
        <v>8</v>
      </c>
    </row>
    <row r="922" spans="1:30" x14ac:dyDescent="0.35">
      <c r="A922" t="s">
        <v>50</v>
      </c>
      <c r="B922">
        <v>17</v>
      </c>
      <c r="C922" t="s">
        <v>35</v>
      </c>
      <c r="D922" t="s">
        <v>47</v>
      </c>
      <c r="E922" t="s">
        <v>44</v>
      </c>
      <c r="F922" t="s">
        <v>45</v>
      </c>
      <c r="G922" t="s">
        <v>48</v>
      </c>
      <c r="H922">
        <v>3</v>
      </c>
      <c r="I922">
        <v>0</v>
      </c>
      <c r="J922" t="s">
        <v>43</v>
      </c>
      <c r="K922" t="s">
        <v>42</v>
      </c>
      <c r="L922" t="s">
        <v>43</v>
      </c>
      <c r="M922" t="s">
        <v>43</v>
      </c>
      <c r="N922" t="s">
        <v>43</v>
      </c>
      <c r="O922">
        <v>4</v>
      </c>
      <c r="P922">
        <v>4</v>
      </c>
      <c r="Q922">
        <v>3</v>
      </c>
      <c r="R922">
        <v>1</v>
      </c>
      <c r="S922">
        <v>2</v>
      </c>
      <c r="T922">
        <f t="shared" si="70"/>
        <v>3</v>
      </c>
      <c r="U922" t="str" cm="1">
        <f t="array" ref="U922">_xlfn.IFS(T922&lt;3, "low", AND(T922&gt;=3, T922&lt;5), "med", T922&gt;=5, "high")</f>
        <v>med</v>
      </c>
      <c r="V922">
        <v>0</v>
      </c>
      <c r="W922" t="str" cm="1">
        <f t="array" ref="W922">_xlfn.IFS(V922&lt;5, "low", AND(V922&gt;=5, V922&lt;10), "med", V922&gt;=10, "high")</f>
        <v>low</v>
      </c>
      <c r="X922">
        <v>15</v>
      </c>
      <c r="Y922">
        <v>14</v>
      </c>
      <c r="Z922">
        <v>16</v>
      </c>
      <c r="AA922">
        <f t="shared" si="71"/>
        <v>1</v>
      </c>
      <c r="AB922">
        <f t="shared" si="72"/>
        <v>0</v>
      </c>
      <c r="AC922">
        <f t="shared" si="73"/>
        <v>1</v>
      </c>
      <c r="AD922" s="1">
        <f t="shared" si="74"/>
        <v>15</v>
      </c>
    </row>
    <row r="923" spans="1:30" x14ac:dyDescent="0.35">
      <c r="A923" t="s">
        <v>34</v>
      </c>
      <c r="B923">
        <v>17</v>
      </c>
      <c r="C923" t="s">
        <v>52</v>
      </c>
      <c r="D923" t="s">
        <v>36</v>
      </c>
      <c r="E923" t="s">
        <v>44</v>
      </c>
      <c r="F923" t="s">
        <v>45</v>
      </c>
      <c r="G923" t="s">
        <v>45</v>
      </c>
      <c r="H923">
        <v>1</v>
      </c>
      <c r="I923">
        <v>0</v>
      </c>
      <c r="J923" t="s">
        <v>43</v>
      </c>
      <c r="K923" t="s">
        <v>43</v>
      </c>
      <c r="L923" t="s">
        <v>43</v>
      </c>
      <c r="M923" t="s">
        <v>43</v>
      </c>
      <c r="N923" t="s">
        <v>42</v>
      </c>
      <c r="O923">
        <v>4</v>
      </c>
      <c r="P923">
        <v>2</v>
      </c>
      <c r="Q923">
        <v>3</v>
      </c>
      <c r="R923">
        <v>1</v>
      </c>
      <c r="S923">
        <v>2</v>
      </c>
      <c r="T923">
        <f t="shared" si="70"/>
        <v>3</v>
      </c>
      <c r="U923" t="str" cm="1">
        <f t="array" ref="U923">_xlfn.IFS(T923&lt;3, "low", AND(T923&gt;=3, T923&lt;5), "med", T923&gt;=5, "high")</f>
        <v>med</v>
      </c>
      <c r="V923">
        <v>1</v>
      </c>
      <c r="W923" t="str" cm="1">
        <f t="array" ref="W923">_xlfn.IFS(V923&lt;5, "low", AND(V923&gt;=5, V923&lt;10), "med", V923&gt;=10, "high")</f>
        <v>low</v>
      </c>
      <c r="X923">
        <v>13</v>
      </c>
      <c r="Y923">
        <v>14</v>
      </c>
      <c r="Z923">
        <v>14</v>
      </c>
      <c r="AA923">
        <f t="shared" si="71"/>
        <v>0</v>
      </c>
      <c r="AB923">
        <f t="shared" si="72"/>
        <v>0</v>
      </c>
      <c r="AC923">
        <f t="shared" si="73"/>
        <v>0</v>
      </c>
      <c r="AD923" s="1">
        <f t="shared" si="74"/>
        <v>13.666666666666666</v>
      </c>
    </row>
    <row r="924" spans="1:30" x14ac:dyDescent="0.35">
      <c r="A924" t="s">
        <v>50</v>
      </c>
      <c r="B924">
        <v>16</v>
      </c>
      <c r="C924" t="s">
        <v>35</v>
      </c>
      <c r="D924" t="s">
        <v>47</v>
      </c>
      <c r="E924" t="s">
        <v>44</v>
      </c>
      <c r="F924" t="s">
        <v>48</v>
      </c>
      <c r="G924" t="s">
        <v>48</v>
      </c>
      <c r="H924">
        <v>3</v>
      </c>
      <c r="I924">
        <v>0</v>
      </c>
      <c r="J924" t="s">
        <v>43</v>
      </c>
      <c r="K924" t="s">
        <v>43</v>
      </c>
      <c r="L924" t="s">
        <v>43</v>
      </c>
      <c r="M924" t="s">
        <v>43</v>
      </c>
      <c r="N924" t="s">
        <v>43</v>
      </c>
      <c r="O924">
        <v>5</v>
      </c>
      <c r="P924">
        <v>1</v>
      </c>
      <c r="Q924">
        <v>3</v>
      </c>
      <c r="R924">
        <v>2</v>
      </c>
      <c r="S924">
        <v>2</v>
      </c>
      <c r="T924">
        <f t="shared" si="70"/>
        <v>4</v>
      </c>
      <c r="U924" t="str" cm="1">
        <f t="array" ref="U924">_xlfn.IFS(T924&lt;3, "low", AND(T924&gt;=3, T924&lt;5), "med", T924&gt;=5, "high")</f>
        <v>med</v>
      </c>
      <c r="V924">
        <v>0</v>
      </c>
      <c r="W924" t="str" cm="1">
        <f t="array" ref="W924">_xlfn.IFS(V924&lt;5, "low", AND(V924&gt;=5, V924&lt;10), "med", V924&gt;=10, "high")</f>
        <v>low</v>
      </c>
      <c r="X924">
        <v>10</v>
      </c>
      <c r="Y924">
        <v>9</v>
      </c>
      <c r="Z924">
        <v>10</v>
      </c>
      <c r="AA924">
        <f t="shared" si="71"/>
        <v>1</v>
      </c>
      <c r="AB924">
        <f t="shared" si="72"/>
        <v>0</v>
      </c>
      <c r="AC924">
        <f t="shared" si="73"/>
        <v>1</v>
      </c>
      <c r="AD924" s="1">
        <f t="shared" si="74"/>
        <v>9.6666666666666661</v>
      </c>
    </row>
    <row r="925" spans="1:30" x14ac:dyDescent="0.35">
      <c r="A925" t="s">
        <v>34</v>
      </c>
      <c r="B925">
        <v>17</v>
      </c>
      <c r="C925" t="s">
        <v>52</v>
      </c>
      <c r="D925" t="s">
        <v>36</v>
      </c>
      <c r="E925" t="s">
        <v>44</v>
      </c>
      <c r="F925" t="s">
        <v>38</v>
      </c>
      <c r="G925" t="s">
        <v>45</v>
      </c>
      <c r="H925">
        <v>1</v>
      </c>
      <c r="I925">
        <v>0</v>
      </c>
      <c r="J925" t="s">
        <v>43</v>
      </c>
      <c r="K925" t="s">
        <v>42</v>
      </c>
      <c r="L925" t="s">
        <v>42</v>
      </c>
      <c r="M925" t="s">
        <v>43</v>
      </c>
      <c r="N925" t="s">
        <v>43</v>
      </c>
      <c r="O925">
        <v>5</v>
      </c>
      <c r="P925">
        <v>1</v>
      </c>
      <c r="Q925">
        <v>3</v>
      </c>
      <c r="R925">
        <v>1</v>
      </c>
      <c r="S925">
        <v>2</v>
      </c>
      <c r="T925">
        <f t="shared" si="70"/>
        <v>3</v>
      </c>
      <c r="U925" t="str" cm="1">
        <f t="array" ref="U925">_xlfn.IFS(T925&lt;3, "low", AND(T925&gt;=3, T925&lt;5), "med", T925&gt;=5, "high")</f>
        <v>med</v>
      </c>
      <c r="V925">
        <v>5</v>
      </c>
      <c r="W925" t="str" cm="1">
        <f t="array" ref="W925">_xlfn.IFS(V925&lt;5, "low", AND(V925&gt;=5, V925&lt;10), "med", V925&gt;=10, "high")</f>
        <v>med</v>
      </c>
      <c r="X925">
        <v>9</v>
      </c>
      <c r="Y925">
        <v>9</v>
      </c>
      <c r="Z925">
        <v>9</v>
      </c>
      <c r="AA925">
        <f t="shared" si="71"/>
        <v>0</v>
      </c>
      <c r="AB925">
        <f t="shared" si="72"/>
        <v>0</v>
      </c>
      <c r="AC925">
        <f t="shared" si="73"/>
        <v>0</v>
      </c>
      <c r="AD925" s="1">
        <f t="shared" si="74"/>
        <v>9</v>
      </c>
    </row>
    <row r="926" spans="1:30" x14ac:dyDescent="0.35">
      <c r="A926" t="s">
        <v>34</v>
      </c>
      <c r="B926">
        <v>16</v>
      </c>
      <c r="C926" t="s">
        <v>35</v>
      </c>
      <c r="D926" t="s">
        <v>47</v>
      </c>
      <c r="E926" t="s">
        <v>44</v>
      </c>
      <c r="F926" t="s">
        <v>48</v>
      </c>
      <c r="G926" t="s">
        <v>48</v>
      </c>
      <c r="H926">
        <v>1</v>
      </c>
      <c r="I926">
        <v>0</v>
      </c>
      <c r="J926" t="s">
        <v>43</v>
      </c>
      <c r="K926" t="s">
        <v>42</v>
      </c>
      <c r="L926" t="s">
        <v>43</v>
      </c>
      <c r="M926" t="s">
        <v>43</v>
      </c>
      <c r="N926" t="s">
        <v>43</v>
      </c>
      <c r="O926">
        <v>5</v>
      </c>
      <c r="P926">
        <v>1</v>
      </c>
      <c r="Q926">
        <v>3</v>
      </c>
      <c r="R926">
        <v>1</v>
      </c>
      <c r="S926">
        <v>2</v>
      </c>
      <c r="T926">
        <f t="shared" si="70"/>
        <v>3</v>
      </c>
      <c r="U926" t="str" cm="1">
        <f t="array" ref="U926">_xlfn.IFS(T926&lt;3, "low", AND(T926&gt;=3, T926&lt;5), "med", T926&gt;=5, "high")</f>
        <v>med</v>
      </c>
      <c r="V926">
        <v>1</v>
      </c>
      <c r="W926" t="str" cm="1">
        <f t="array" ref="W926">_xlfn.IFS(V926&lt;5, "low", AND(V926&gt;=5, V926&lt;10), "med", V926&gt;=10, "high")</f>
        <v>low</v>
      </c>
      <c r="X926">
        <v>11</v>
      </c>
      <c r="Y926">
        <v>11</v>
      </c>
      <c r="Z926">
        <v>11</v>
      </c>
      <c r="AA926">
        <f t="shared" si="71"/>
        <v>0</v>
      </c>
      <c r="AB926">
        <f t="shared" si="72"/>
        <v>0</v>
      </c>
      <c r="AC926">
        <f t="shared" si="73"/>
        <v>0</v>
      </c>
      <c r="AD926" s="1">
        <f t="shared" si="74"/>
        <v>11</v>
      </c>
    </row>
    <row r="927" spans="1:30" x14ac:dyDescent="0.35">
      <c r="A927" t="s">
        <v>50</v>
      </c>
      <c r="B927">
        <v>17</v>
      </c>
      <c r="C927" t="s">
        <v>35</v>
      </c>
      <c r="D927" t="s">
        <v>36</v>
      </c>
      <c r="E927" t="s">
        <v>44</v>
      </c>
      <c r="F927" t="s">
        <v>48</v>
      </c>
      <c r="G927" t="s">
        <v>48</v>
      </c>
      <c r="H927">
        <v>1</v>
      </c>
      <c r="I927">
        <v>0</v>
      </c>
      <c r="J927" t="s">
        <v>43</v>
      </c>
      <c r="K927" t="s">
        <v>42</v>
      </c>
      <c r="L927" t="s">
        <v>43</v>
      </c>
      <c r="M927" t="s">
        <v>42</v>
      </c>
      <c r="N927" t="s">
        <v>43</v>
      </c>
      <c r="O927">
        <v>4</v>
      </c>
      <c r="P927">
        <v>1</v>
      </c>
      <c r="Q927">
        <v>4</v>
      </c>
      <c r="R927">
        <v>5</v>
      </c>
      <c r="S927">
        <v>5</v>
      </c>
      <c r="T927">
        <f t="shared" si="70"/>
        <v>10</v>
      </c>
      <c r="U927" t="str" cm="1">
        <f t="array" ref="U927">_xlfn.IFS(T927&lt;3, "low", AND(T927&gt;=3, T927&lt;5), "med", T927&gt;=5, "high")</f>
        <v>high</v>
      </c>
      <c r="V927">
        <v>8</v>
      </c>
      <c r="W927" t="str" cm="1">
        <f t="array" ref="W927">_xlfn.IFS(V927&lt;5, "low", AND(V927&gt;=5, V927&lt;10), "med", V927&gt;=10, "high")</f>
        <v>med</v>
      </c>
      <c r="X927">
        <v>7</v>
      </c>
      <c r="Y927">
        <v>10</v>
      </c>
      <c r="Z927">
        <v>9</v>
      </c>
      <c r="AA927">
        <f t="shared" si="71"/>
        <v>0</v>
      </c>
      <c r="AB927">
        <f t="shared" si="72"/>
        <v>1</v>
      </c>
      <c r="AC927">
        <f t="shared" si="73"/>
        <v>1</v>
      </c>
      <c r="AD927" s="1">
        <f t="shared" si="74"/>
        <v>8.6666666666666661</v>
      </c>
    </row>
    <row r="928" spans="1:30" x14ac:dyDescent="0.35">
      <c r="A928" t="s">
        <v>50</v>
      </c>
      <c r="B928">
        <v>17</v>
      </c>
      <c r="C928" t="s">
        <v>35</v>
      </c>
      <c r="D928" t="s">
        <v>36</v>
      </c>
      <c r="E928" t="s">
        <v>44</v>
      </c>
      <c r="F928" t="s">
        <v>38</v>
      </c>
      <c r="G928" t="s">
        <v>48</v>
      </c>
      <c r="H928">
        <v>2</v>
      </c>
      <c r="I928">
        <v>0</v>
      </c>
      <c r="J928" t="s">
        <v>43</v>
      </c>
      <c r="K928" t="s">
        <v>43</v>
      </c>
      <c r="L928" t="s">
        <v>43</v>
      </c>
      <c r="M928" t="s">
        <v>43</v>
      </c>
      <c r="N928" t="s">
        <v>42</v>
      </c>
      <c r="O928">
        <v>5</v>
      </c>
      <c r="P928">
        <v>1</v>
      </c>
      <c r="Q928">
        <v>3</v>
      </c>
      <c r="R928">
        <v>3</v>
      </c>
      <c r="S928">
        <v>3</v>
      </c>
      <c r="T928">
        <f t="shared" si="70"/>
        <v>6</v>
      </c>
      <c r="U928" t="str" cm="1">
        <f t="array" ref="U928">_xlfn.IFS(T928&lt;3, "low", AND(T928&gt;=3, T928&lt;5), "med", T928&gt;=5, "high")</f>
        <v>high</v>
      </c>
      <c r="V928">
        <v>0</v>
      </c>
      <c r="W928" t="str" cm="1">
        <f t="array" ref="W928">_xlfn.IFS(V928&lt;5, "low", AND(V928&gt;=5, V928&lt;10), "med", V928&gt;=10, "high")</f>
        <v>low</v>
      </c>
      <c r="X928">
        <v>10</v>
      </c>
      <c r="Y928">
        <v>10</v>
      </c>
      <c r="Z928">
        <v>10</v>
      </c>
      <c r="AA928">
        <f t="shared" si="71"/>
        <v>0</v>
      </c>
      <c r="AB928">
        <f t="shared" si="72"/>
        <v>0</v>
      </c>
      <c r="AC928">
        <f t="shared" si="73"/>
        <v>0</v>
      </c>
      <c r="AD928" s="1">
        <f t="shared" si="74"/>
        <v>10</v>
      </c>
    </row>
    <row r="929" spans="1:30" x14ac:dyDescent="0.35">
      <c r="A929" t="s">
        <v>50</v>
      </c>
      <c r="B929">
        <v>16</v>
      </c>
      <c r="C929" t="s">
        <v>35</v>
      </c>
      <c r="D929" t="s">
        <v>36</v>
      </c>
      <c r="E929" t="s">
        <v>44</v>
      </c>
      <c r="F929" t="s">
        <v>28</v>
      </c>
      <c r="G929" t="s">
        <v>48</v>
      </c>
      <c r="H929">
        <v>2</v>
      </c>
      <c r="I929">
        <v>0</v>
      </c>
      <c r="J929" t="s">
        <v>43</v>
      </c>
      <c r="K929" t="s">
        <v>43</v>
      </c>
      <c r="L929" t="s">
        <v>43</v>
      </c>
      <c r="M929" t="s">
        <v>43</v>
      </c>
      <c r="N929" t="s">
        <v>42</v>
      </c>
      <c r="O929">
        <v>4</v>
      </c>
      <c r="P929">
        <v>2</v>
      </c>
      <c r="Q929">
        <v>2</v>
      </c>
      <c r="R929">
        <v>1</v>
      </c>
      <c r="S929">
        <v>4</v>
      </c>
      <c r="T929">
        <f t="shared" si="70"/>
        <v>5</v>
      </c>
      <c r="U929" t="str" cm="1">
        <f t="array" ref="U929">_xlfn.IFS(T929&lt;3, "low", AND(T929&gt;=3, T929&lt;5), "med", T929&gt;=5, "high")</f>
        <v>high</v>
      </c>
      <c r="V929">
        <v>2</v>
      </c>
      <c r="W929" t="str" cm="1">
        <f t="array" ref="W929">_xlfn.IFS(V929&lt;5, "low", AND(V929&gt;=5, V929&lt;10), "med", V929&gt;=10, "high")</f>
        <v>low</v>
      </c>
      <c r="X929">
        <v>9</v>
      </c>
      <c r="Y929">
        <v>7</v>
      </c>
      <c r="Z929">
        <v>8</v>
      </c>
      <c r="AA929">
        <f t="shared" si="71"/>
        <v>1</v>
      </c>
      <c r="AB929">
        <f t="shared" si="72"/>
        <v>0</v>
      </c>
      <c r="AC929">
        <f t="shared" si="73"/>
        <v>1</v>
      </c>
      <c r="AD929" s="1">
        <f t="shared" si="74"/>
        <v>8</v>
      </c>
    </row>
    <row r="930" spans="1:30" x14ac:dyDescent="0.35">
      <c r="A930" t="s">
        <v>34</v>
      </c>
      <c r="B930">
        <v>16</v>
      </c>
      <c r="C930" t="s">
        <v>35</v>
      </c>
      <c r="D930" t="s">
        <v>47</v>
      </c>
      <c r="E930" t="s">
        <v>44</v>
      </c>
      <c r="F930" t="s">
        <v>45</v>
      </c>
      <c r="G930" t="s">
        <v>48</v>
      </c>
      <c r="H930">
        <v>2</v>
      </c>
      <c r="I930">
        <v>0</v>
      </c>
      <c r="J930" t="s">
        <v>43</v>
      </c>
      <c r="K930" t="s">
        <v>43</v>
      </c>
      <c r="L930" t="s">
        <v>43</v>
      </c>
      <c r="M930" t="s">
        <v>43</v>
      </c>
      <c r="N930" t="s">
        <v>42</v>
      </c>
      <c r="O930">
        <v>3</v>
      </c>
      <c r="P930">
        <v>2</v>
      </c>
      <c r="Q930">
        <v>2</v>
      </c>
      <c r="R930">
        <v>1</v>
      </c>
      <c r="S930">
        <v>1</v>
      </c>
      <c r="T930">
        <f t="shared" si="70"/>
        <v>2</v>
      </c>
      <c r="U930" t="str" cm="1">
        <f t="array" ref="U930">_xlfn.IFS(T930&lt;3, "low", AND(T930&gt;=3, T930&lt;5), "med", T930&gt;=5, "high")</f>
        <v>low</v>
      </c>
      <c r="V930">
        <v>0</v>
      </c>
      <c r="W930" t="str" cm="1">
        <f t="array" ref="W930">_xlfn.IFS(V930&lt;5, "low", AND(V930&gt;=5, V930&lt;10), "med", V930&gt;=10, "high")</f>
        <v>low</v>
      </c>
      <c r="X930">
        <v>14</v>
      </c>
      <c r="Y930">
        <v>15</v>
      </c>
      <c r="Z930">
        <v>16</v>
      </c>
      <c r="AA930">
        <f t="shared" si="71"/>
        <v>0</v>
      </c>
      <c r="AB930">
        <f t="shared" si="72"/>
        <v>0</v>
      </c>
      <c r="AC930">
        <f t="shared" si="73"/>
        <v>0</v>
      </c>
      <c r="AD930" s="1">
        <f t="shared" si="74"/>
        <v>15</v>
      </c>
    </row>
    <row r="931" spans="1:30" x14ac:dyDescent="0.35">
      <c r="A931" t="s">
        <v>50</v>
      </c>
      <c r="B931">
        <v>16</v>
      </c>
      <c r="C931" t="s">
        <v>35</v>
      </c>
      <c r="D931" t="s">
        <v>47</v>
      </c>
      <c r="E931" t="s">
        <v>44</v>
      </c>
      <c r="F931" t="s">
        <v>39</v>
      </c>
      <c r="G931" t="s">
        <v>28</v>
      </c>
      <c r="H931">
        <v>1</v>
      </c>
      <c r="I931">
        <v>0</v>
      </c>
      <c r="J931" t="s">
        <v>43</v>
      </c>
      <c r="K931" t="s">
        <v>42</v>
      </c>
      <c r="L931" t="s">
        <v>43</v>
      </c>
      <c r="M931" t="s">
        <v>43</v>
      </c>
      <c r="N931" t="s">
        <v>43</v>
      </c>
      <c r="O931">
        <v>4</v>
      </c>
      <c r="P931">
        <v>1</v>
      </c>
      <c r="Q931">
        <v>2</v>
      </c>
      <c r="R931">
        <v>2</v>
      </c>
      <c r="S931">
        <v>5</v>
      </c>
      <c r="T931">
        <f t="shared" si="70"/>
        <v>7</v>
      </c>
      <c r="U931" t="str" cm="1">
        <f t="array" ref="U931">_xlfn.IFS(T931&lt;3, "low", AND(T931&gt;=3, T931&lt;5), "med", T931&gt;=5, "high")</f>
        <v>high</v>
      </c>
      <c r="V931">
        <v>0</v>
      </c>
      <c r="W931" t="str" cm="1">
        <f t="array" ref="W931">_xlfn.IFS(V931&lt;5, "low", AND(V931&gt;=5, V931&lt;10), "med", V931&gt;=10, "high")</f>
        <v>low</v>
      </c>
      <c r="X931">
        <v>11</v>
      </c>
      <c r="Y931">
        <v>12</v>
      </c>
      <c r="Z931">
        <v>12</v>
      </c>
      <c r="AA931">
        <f t="shared" si="71"/>
        <v>0</v>
      </c>
      <c r="AB931">
        <f t="shared" si="72"/>
        <v>0</v>
      </c>
      <c r="AC931">
        <f t="shared" si="73"/>
        <v>0</v>
      </c>
      <c r="AD931" s="1">
        <f t="shared" si="74"/>
        <v>11.666666666666666</v>
      </c>
    </row>
    <row r="932" spans="1:30" x14ac:dyDescent="0.35">
      <c r="A932" t="s">
        <v>50</v>
      </c>
      <c r="B932">
        <v>15</v>
      </c>
      <c r="C932" t="s">
        <v>52</v>
      </c>
      <c r="D932" t="s">
        <v>36</v>
      </c>
      <c r="E932" t="s">
        <v>44</v>
      </c>
      <c r="F932" t="s">
        <v>45</v>
      </c>
      <c r="G932" t="s">
        <v>48</v>
      </c>
      <c r="H932">
        <v>2</v>
      </c>
      <c r="I932">
        <v>0</v>
      </c>
      <c r="J932" t="s">
        <v>43</v>
      </c>
      <c r="K932" t="s">
        <v>42</v>
      </c>
      <c r="L932" t="s">
        <v>43</v>
      </c>
      <c r="M932" t="s">
        <v>42</v>
      </c>
      <c r="N932" t="s">
        <v>43</v>
      </c>
      <c r="O932">
        <v>5</v>
      </c>
      <c r="P932">
        <v>5</v>
      </c>
      <c r="Q932">
        <v>5</v>
      </c>
      <c r="R932">
        <v>1</v>
      </c>
      <c r="S932">
        <v>3</v>
      </c>
      <c r="T932">
        <f t="shared" si="70"/>
        <v>4</v>
      </c>
      <c r="U932" t="str" cm="1">
        <f t="array" ref="U932">_xlfn.IFS(T932&lt;3, "low", AND(T932&gt;=3, T932&lt;5), "med", T932&gt;=5, "high")</f>
        <v>med</v>
      </c>
      <c r="V932">
        <v>11</v>
      </c>
      <c r="W932" t="str" cm="1">
        <f t="array" ref="W932">_xlfn.IFS(V932&lt;5, "low", AND(V932&gt;=5, V932&lt;10), "med", V932&gt;=10, "high")</f>
        <v>high</v>
      </c>
      <c r="X932">
        <v>9</v>
      </c>
      <c r="Y932">
        <v>11</v>
      </c>
      <c r="Z932">
        <v>10</v>
      </c>
      <c r="AA932">
        <f t="shared" si="71"/>
        <v>0</v>
      </c>
      <c r="AB932">
        <f t="shared" si="72"/>
        <v>1</v>
      </c>
      <c r="AC932">
        <f t="shared" si="73"/>
        <v>1</v>
      </c>
      <c r="AD932" s="1">
        <f t="shared" si="74"/>
        <v>10</v>
      </c>
    </row>
    <row r="933" spans="1:30" x14ac:dyDescent="0.35">
      <c r="A933" t="s">
        <v>50</v>
      </c>
      <c r="B933">
        <v>15</v>
      </c>
      <c r="C933" t="s">
        <v>35</v>
      </c>
      <c r="D933" t="s">
        <v>47</v>
      </c>
      <c r="E933" t="s">
        <v>37</v>
      </c>
      <c r="F933" t="s">
        <v>45</v>
      </c>
      <c r="G933" t="s">
        <v>45</v>
      </c>
      <c r="H933">
        <v>4</v>
      </c>
      <c r="I933">
        <v>0</v>
      </c>
      <c r="J933" t="s">
        <v>43</v>
      </c>
      <c r="K933" t="s">
        <v>42</v>
      </c>
      <c r="L933" t="s">
        <v>43</v>
      </c>
      <c r="M933" t="s">
        <v>42</v>
      </c>
      <c r="N933" t="s">
        <v>43</v>
      </c>
      <c r="O933">
        <v>5</v>
      </c>
      <c r="P933">
        <v>4</v>
      </c>
      <c r="Q933">
        <v>5</v>
      </c>
      <c r="R933">
        <v>2</v>
      </c>
      <c r="S933">
        <v>3</v>
      </c>
      <c r="T933">
        <f t="shared" si="70"/>
        <v>5</v>
      </c>
      <c r="U933" t="str" cm="1">
        <f t="array" ref="U933">_xlfn.IFS(T933&lt;3, "low", AND(T933&gt;=3, T933&lt;5), "med", T933&gt;=5, "high")</f>
        <v>high</v>
      </c>
      <c r="V933">
        <v>8</v>
      </c>
      <c r="W933" t="str" cm="1">
        <f t="array" ref="W933">_xlfn.IFS(V933&lt;5, "low", AND(V933&gt;=5, V933&lt;10), "med", V933&gt;=10, "high")</f>
        <v>med</v>
      </c>
      <c r="X933">
        <v>13</v>
      </c>
      <c r="Y933">
        <v>14</v>
      </c>
      <c r="Z933">
        <v>14</v>
      </c>
      <c r="AA933">
        <f t="shared" si="71"/>
        <v>0</v>
      </c>
      <c r="AB933">
        <f t="shared" si="72"/>
        <v>0</v>
      </c>
      <c r="AC933">
        <f t="shared" si="73"/>
        <v>0</v>
      </c>
      <c r="AD933" s="1">
        <f t="shared" si="74"/>
        <v>13.666666666666666</v>
      </c>
    </row>
    <row r="934" spans="1:30" x14ac:dyDescent="0.35">
      <c r="A934" t="s">
        <v>50</v>
      </c>
      <c r="B934">
        <v>15</v>
      </c>
      <c r="C934" t="s">
        <v>35</v>
      </c>
      <c r="D934" t="s">
        <v>47</v>
      </c>
      <c r="E934" t="s">
        <v>37</v>
      </c>
      <c r="F934" t="s">
        <v>48</v>
      </c>
      <c r="G934" t="s">
        <v>48</v>
      </c>
      <c r="H934">
        <v>1</v>
      </c>
      <c r="I934">
        <v>0</v>
      </c>
      <c r="J934" t="s">
        <v>43</v>
      </c>
      <c r="K934" t="s">
        <v>43</v>
      </c>
      <c r="L934" t="s">
        <v>43</v>
      </c>
      <c r="M934" t="s">
        <v>42</v>
      </c>
      <c r="N934" t="s">
        <v>43</v>
      </c>
      <c r="O934">
        <v>4</v>
      </c>
      <c r="P934">
        <v>3</v>
      </c>
      <c r="Q934">
        <v>3</v>
      </c>
      <c r="R934">
        <v>1</v>
      </c>
      <c r="S934">
        <v>2</v>
      </c>
      <c r="T934">
        <f t="shared" si="70"/>
        <v>3</v>
      </c>
      <c r="U934" t="str" cm="1">
        <f t="array" ref="U934">_xlfn.IFS(T934&lt;3, "low", AND(T934&gt;=3, T934&lt;5), "med", T934&gt;=5, "high")</f>
        <v>med</v>
      </c>
      <c r="V934">
        <v>11</v>
      </c>
      <c r="W934" t="str" cm="1">
        <f t="array" ref="W934">_xlfn.IFS(V934&lt;5, "low", AND(V934&gt;=5, V934&lt;10), "med", V934&gt;=10, "high")</f>
        <v>high</v>
      </c>
      <c r="X934">
        <v>12</v>
      </c>
      <c r="Y934">
        <v>13</v>
      </c>
      <c r="Z934">
        <v>12</v>
      </c>
      <c r="AA934">
        <f t="shared" si="71"/>
        <v>0</v>
      </c>
      <c r="AB934">
        <f t="shared" si="72"/>
        <v>1</v>
      </c>
      <c r="AC934">
        <f t="shared" si="73"/>
        <v>1</v>
      </c>
      <c r="AD934" s="1">
        <f t="shared" si="74"/>
        <v>12.333333333333334</v>
      </c>
    </row>
    <row r="935" spans="1:30" x14ac:dyDescent="0.35">
      <c r="A935" t="s">
        <v>34</v>
      </c>
      <c r="B935">
        <v>16</v>
      </c>
      <c r="C935" t="s">
        <v>52</v>
      </c>
      <c r="D935" t="s">
        <v>47</v>
      </c>
      <c r="E935" t="s">
        <v>44</v>
      </c>
      <c r="F935" t="s">
        <v>45</v>
      </c>
      <c r="G935" t="s">
        <v>45</v>
      </c>
      <c r="H935">
        <v>3</v>
      </c>
      <c r="I935">
        <v>0</v>
      </c>
      <c r="J935" t="s">
        <v>43</v>
      </c>
      <c r="K935" t="s">
        <v>42</v>
      </c>
      <c r="L935" t="s">
        <v>43</v>
      </c>
      <c r="M935" t="s">
        <v>43</v>
      </c>
      <c r="N935" t="s">
        <v>42</v>
      </c>
      <c r="O935">
        <v>4</v>
      </c>
      <c r="P935">
        <v>3</v>
      </c>
      <c r="Q935">
        <v>3</v>
      </c>
      <c r="R935">
        <v>2</v>
      </c>
      <c r="S935">
        <v>2</v>
      </c>
      <c r="T935">
        <f t="shared" si="70"/>
        <v>4</v>
      </c>
      <c r="U935" t="str" cm="1">
        <f t="array" ref="U935">_xlfn.IFS(T935&lt;3, "low", AND(T935&gt;=3, T935&lt;5), "med", T935&gt;=5, "high")</f>
        <v>med</v>
      </c>
      <c r="V935">
        <v>2</v>
      </c>
      <c r="W935" t="str" cm="1">
        <f t="array" ref="W935">_xlfn.IFS(V935&lt;5, "low", AND(V935&gt;=5, V935&lt;10), "med", V935&gt;=10, "high")</f>
        <v>low</v>
      </c>
      <c r="X935">
        <v>11</v>
      </c>
      <c r="Y935">
        <v>11</v>
      </c>
      <c r="Z935">
        <v>11</v>
      </c>
      <c r="AA935">
        <f t="shared" si="71"/>
        <v>0</v>
      </c>
      <c r="AB935">
        <f t="shared" si="72"/>
        <v>0</v>
      </c>
      <c r="AC935">
        <f t="shared" si="73"/>
        <v>0</v>
      </c>
      <c r="AD935" s="1">
        <f t="shared" si="74"/>
        <v>11</v>
      </c>
    </row>
    <row r="936" spans="1:30" x14ac:dyDescent="0.35">
      <c r="A936" t="s">
        <v>34</v>
      </c>
      <c r="B936">
        <v>16</v>
      </c>
      <c r="C936" t="s">
        <v>35</v>
      </c>
      <c r="D936" t="s">
        <v>47</v>
      </c>
      <c r="E936" t="s">
        <v>44</v>
      </c>
      <c r="F936" t="s">
        <v>45</v>
      </c>
      <c r="G936" t="s">
        <v>45</v>
      </c>
      <c r="H936">
        <v>2</v>
      </c>
      <c r="I936">
        <v>0</v>
      </c>
      <c r="J936" t="s">
        <v>43</v>
      </c>
      <c r="K936" t="s">
        <v>42</v>
      </c>
      <c r="L936" t="s">
        <v>43</v>
      </c>
      <c r="M936" t="s">
        <v>42</v>
      </c>
      <c r="N936" t="s">
        <v>43</v>
      </c>
      <c r="O936">
        <v>1</v>
      </c>
      <c r="P936">
        <v>2</v>
      </c>
      <c r="Q936">
        <v>4</v>
      </c>
      <c r="R936">
        <v>2</v>
      </c>
      <c r="S936">
        <v>2</v>
      </c>
      <c r="T936">
        <f t="shared" si="70"/>
        <v>4</v>
      </c>
      <c r="U936" t="str" cm="1">
        <f t="array" ref="U936">_xlfn.IFS(T936&lt;3, "low", AND(T936&gt;=3, T936&lt;5), "med", T936&gt;=5, "high")</f>
        <v>med</v>
      </c>
      <c r="V936">
        <v>8</v>
      </c>
      <c r="W936" t="str" cm="1">
        <f t="array" ref="W936">_xlfn.IFS(V936&lt;5, "low", AND(V936&gt;=5, V936&lt;10), "med", V936&gt;=10, "high")</f>
        <v>med</v>
      </c>
      <c r="X936">
        <v>9</v>
      </c>
      <c r="Y936">
        <v>10</v>
      </c>
      <c r="Z936">
        <v>10</v>
      </c>
      <c r="AA936">
        <f t="shared" si="71"/>
        <v>0</v>
      </c>
      <c r="AB936">
        <f t="shared" si="72"/>
        <v>0</v>
      </c>
      <c r="AC936">
        <f t="shared" si="73"/>
        <v>0</v>
      </c>
      <c r="AD936" s="1">
        <f t="shared" si="74"/>
        <v>9.6666666666666661</v>
      </c>
    </row>
    <row r="937" spans="1:30" x14ac:dyDescent="0.35">
      <c r="A937" t="s">
        <v>34</v>
      </c>
      <c r="B937">
        <v>17</v>
      </c>
      <c r="C937" t="s">
        <v>35</v>
      </c>
      <c r="D937" t="s">
        <v>36</v>
      </c>
      <c r="E937" t="s">
        <v>44</v>
      </c>
      <c r="F937" t="s">
        <v>38</v>
      </c>
      <c r="G937" t="s">
        <v>45</v>
      </c>
      <c r="H937">
        <v>1</v>
      </c>
      <c r="I937">
        <v>0</v>
      </c>
      <c r="J937" t="s">
        <v>43</v>
      </c>
      <c r="K937" t="s">
        <v>43</v>
      </c>
      <c r="L937" t="s">
        <v>43</v>
      </c>
      <c r="M937" t="s">
        <v>43</v>
      </c>
      <c r="N937" t="s">
        <v>42</v>
      </c>
      <c r="O937">
        <v>4</v>
      </c>
      <c r="P937">
        <v>3</v>
      </c>
      <c r="Q937">
        <v>3</v>
      </c>
      <c r="R937">
        <v>2</v>
      </c>
      <c r="S937">
        <v>2</v>
      </c>
      <c r="T937">
        <f t="shared" si="70"/>
        <v>4</v>
      </c>
      <c r="U937" t="str" cm="1">
        <f t="array" ref="U937">_xlfn.IFS(T937&lt;3, "low", AND(T937&gt;=3, T937&lt;5), "med", T937&gt;=5, "high")</f>
        <v>med</v>
      </c>
      <c r="V937">
        <v>5</v>
      </c>
      <c r="W937" t="str" cm="1">
        <f t="array" ref="W937">_xlfn.IFS(V937&lt;5, "low", AND(V937&gt;=5, V937&lt;10), "med", V937&gt;=10, "high")</f>
        <v>med</v>
      </c>
      <c r="X937">
        <v>9</v>
      </c>
      <c r="Y937">
        <v>11</v>
      </c>
      <c r="Z937">
        <v>11</v>
      </c>
      <c r="AA937">
        <f t="shared" si="71"/>
        <v>0</v>
      </c>
      <c r="AB937">
        <f t="shared" si="72"/>
        <v>0</v>
      </c>
      <c r="AC937">
        <f t="shared" si="73"/>
        <v>0</v>
      </c>
      <c r="AD937" s="1">
        <f t="shared" si="74"/>
        <v>10.333333333333334</v>
      </c>
    </row>
    <row r="938" spans="1:30" x14ac:dyDescent="0.35">
      <c r="A938" t="s">
        <v>34</v>
      </c>
      <c r="B938">
        <v>17</v>
      </c>
      <c r="C938" t="s">
        <v>52</v>
      </c>
      <c r="D938" t="s">
        <v>36</v>
      </c>
      <c r="E938" t="s">
        <v>44</v>
      </c>
      <c r="F938" t="s">
        <v>45</v>
      </c>
      <c r="G938" t="s">
        <v>45</v>
      </c>
      <c r="H938">
        <v>2</v>
      </c>
      <c r="I938">
        <v>0</v>
      </c>
      <c r="J938" t="s">
        <v>42</v>
      </c>
      <c r="K938" t="s">
        <v>43</v>
      </c>
      <c r="L938" t="s">
        <v>42</v>
      </c>
      <c r="M938" t="s">
        <v>43</v>
      </c>
      <c r="N938" t="s">
        <v>43</v>
      </c>
      <c r="O938">
        <v>5</v>
      </c>
      <c r="P938">
        <v>1</v>
      </c>
      <c r="Q938">
        <v>3</v>
      </c>
      <c r="R938">
        <v>1</v>
      </c>
      <c r="S938">
        <v>1</v>
      </c>
      <c r="T938">
        <f t="shared" si="70"/>
        <v>2</v>
      </c>
      <c r="U938" t="str" cm="1">
        <f t="array" ref="U938">_xlfn.IFS(T938&lt;3, "low", AND(T938&gt;=3, T938&lt;5), "med", T938&gt;=5, "high")</f>
        <v>low</v>
      </c>
      <c r="V938">
        <v>0</v>
      </c>
      <c r="W938" t="str" cm="1">
        <f t="array" ref="W938">_xlfn.IFS(V938&lt;5, "low", AND(V938&gt;=5, V938&lt;10), "med", V938&gt;=10, "high")</f>
        <v>low</v>
      </c>
      <c r="X938">
        <v>11</v>
      </c>
      <c r="Y938">
        <v>9</v>
      </c>
      <c r="Z938">
        <v>11</v>
      </c>
      <c r="AA938">
        <f t="shared" si="71"/>
        <v>1</v>
      </c>
      <c r="AB938">
        <f t="shared" si="72"/>
        <v>0</v>
      </c>
      <c r="AC938">
        <f t="shared" si="73"/>
        <v>1</v>
      </c>
      <c r="AD938" s="1">
        <f t="shared" si="74"/>
        <v>10.333333333333334</v>
      </c>
    </row>
    <row r="939" spans="1:30" x14ac:dyDescent="0.35">
      <c r="A939" t="s">
        <v>34</v>
      </c>
      <c r="B939">
        <v>16</v>
      </c>
      <c r="C939" t="s">
        <v>35</v>
      </c>
      <c r="D939" t="s">
        <v>36</v>
      </c>
      <c r="E939" t="s">
        <v>44</v>
      </c>
      <c r="F939" t="s">
        <v>39</v>
      </c>
      <c r="G939" t="s">
        <v>48</v>
      </c>
      <c r="H939">
        <v>3</v>
      </c>
      <c r="I939">
        <v>0</v>
      </c>
      <c r="J939" t="s">
        <v>43</v>
      </c>
      <c r="K939" t="s">
        <v>42</v>
      </c>
      <c r="L939" t="s">
        <v>43</v>
      </c>
      <c r="M939" t="s">
        <v>43</v>
      </c>
      <c r="N939" t="s">
        <v>42</v>
      </c>
      <c r="O939">
        <v>5</v>
      </c>
      <c r="P939">
        <v>3</v>
      </c>
      <c r="Q939">
        <v>5</v>
      </c>
      <c r="R939">
        <v>1</v>
      </c>
      <c r="S939">
        <v>4</v>
      </c>
      <c r="T939">
        <f t="shared" si="70"/>
        <v>5</v>
      </c>
      <c r="U939" t="str" cm="1">
        <f t="array" ref="U939">_xlfn.IFS(T939&lt;3, "low", AND(T939&gt;=3, T939&lt;5), "med", T939&gt;=5, "high")</f>
        <v>high</v>
      </c>
      <c r="V939">
        <v>1</v>
      </c>
      <c r="W939" t="str" cm="1">
        <f t="array" ref="W939">_xlfn.IFS(V939&lt;5, "low", AND(V939&gt;=5, V939&lt;10), "med", V939&gt;=10, "high")</f>
        <v>low</v>
      </c>
      <c r="X939">
        <v>10</v>
      </c>
      <c r="Y939">
        <v>11</v>
      </c>
      <c r="Z939">
        <v>12</v>
      </c>
      <c r="AA939">
        <f t="shared" si="71"/>
        <v>0</v>
      </c>
      <c r="AB939">
        <f t="shared" si="72"/>
        <v>0</v>
      </c>
      <c r="AC939">
        <f t="shared" si="73"/>
        <v>0</v>
      </c>
      <c r="AD939" s="1">
        <f t="shared" si="74"/>
        <v>11</v>
      </c>
    </row>
    <row r="940" spans="1:30" x14ac:dyDescent="0.35">
      <c r="A940" t="s">
        <v>50</v>
      </c>
      <c r="B940">
        <v>17</v>
      </c>
      <c r="C940" t="s">
        <v>52</v>
      </c>
      <c r="D940" t="s">
        <v>36</v>
      </c>
      <c r="E940" t="s">
        <v>44</v>
      </c>
      <c r="F940" t="s">
        <v>28</v>
      </c>
      <c r="G940" t="s">
        <v>45</v>
      </c>
      <c r="H940">
        <v>1</v>
      </c>
      <c r="I940">
        <v>3</v>
      </c>
      <c r="J940" t="s">
        <v>43</v>
      </c>
      <c r="K940" t="s">
        <v>43</v>
      </c>
      <c r="L940" t="s">
        <v>43</v>
      </c>
      <c r="M940" t="s">
        <v>42</v>
      </c>
      <c r="N940" t="s">
        <v>42</v>
      </c>
      <c r="O940">
        <v>3</v>
      </c>
      <c r="P940">
        <v>3</v>
      </c>
      <c r="Q940">
        <v>3</v>
      </c>
      <c r="R940">
        <v>1</v>
      </c>
      <c r="S940">
        <v>3</v>
      </c>
      <c r="T940">
        <f t="shared" si="70"/>
        <v>4</v>
      </c>
      <c r="U940" t="str" cm="1">
        <f t="array" ref="U940">_xlfn.IFS(T940&lt;3, "low", AND(T940&gt;=3, T940&lt;5), "med", T940&gt;=5, "high")</f>
        <v>med</v>
      </c>
      <c r="V940">
        <v>2</v>
      </c>
      <c r="W940" t="str" cm="1">
        <f t="array" ref="W940">_xlfn.IFS(V940&lt;5, "low", AND(V940&gt;=5, V940&lt;10), "med", V940&gt;=10, "high")</f>
        <v>low</v>
      </c>
      <c r="X940">
        <v>9</v>
      </c>
      <c r="Y940">
        <v>9</v>
      </c>
      <c r="Z940">
        <v>8</v>
      </c>
      <c r="AA940">
        <f t="shared" si="71"/>
        <v>0</v>
      </c>
      <c r="AB940">
        <f t="shared" si="72"/>
        <v>1</v>
      </c>
      <c r="AC940">
        <f t="shared" si="73"/>
        <v>1</v>
      </c>
      <c r="AD940" s="1">
        <f t="shared" si="74"/>
        <v>8.6666666666666661</v>
      </c>
    </row>
    <row r="941" spans="1:30" x14ac:dyDescent="0.35">
      <c r="A941" t="s">
        <v>50</v>
      </c>
      <c r="B941">
        <v>17</v>
      </c>
      <c r="C941" t="s">
        <v>52</v>
      </c>
      <c r="D941" t="s">
        <v>47</v>
      </c>
      <c r="E941" t="s">
        <v>44</v>
      </c>
      <c r="F941" t="s">
        <v>45</v>
      </c>
      <c r="G941" t="s">
        <v>45</v>
      </c>
      <c r="H941">
        <v>1</v>
      </c>
      <c r="I941">
        <v>0</v>
      </c>
      <c r="J941" t="s">
        <v>43</v>
      </c>
      <c r="K941" t="s">
        <v>43</v>
      </c>
      <c r="L941" t="s">
        <v>43</v>
      </c>
      <c r="M941" t="s">
        <v>42</v>
      </c>
      <c r="N941" t="s">
        <v>42</v>
      </c>
      <c r="O941">
        <v>5</v>
      </c>
      <c r="P941">
        <v>1</v>
      </c>
      <c r="Q941">
        <v>2</v>
      </c>
      <c r="R941">
        <v>3</v>
      </c>
      <c r="S941">
        <v>3</v>
      </c>
      <c r="T941">
        <f t="shared" si="70"/>
        <v>6</v>
      </c>
      <c r="U941" t="str" cm="1">
        <f t="array" ref="U941">_xlfn.IFS(T941&lt;3, "low", AND(T941&gt;=3, T941&lt;5), "med", T941&gt;=5, "high")</f>
        <v>high</v>
      </c>
      <c r="V941">
        <v>2</v>
      </c>
      <c r="W941" t="str" cm="1">
        <f t="array" ref="W941">_xlfn.IFS(V941&lt;5, "low", AND(V941&gt;=5, V941&lt;10), "med", V941&gt;=10, "high")</f>
        <v>low</v>
      </c>
      <c r="X941">
        <v>12</v>
      </c>
      <c r="Y941">
        <v>11</v>
      </c>
      <c r="Z941">
        <v>12</v>
      </c>
      <c r="AA941">
        <f t="shared" si="71"/>
        <v>1</v>
      </c>
      <c r="AB941">
        <f t="shared" si="72"/>
        <v>0</v>
      </c>
      <c r="AC941">
        <f t="shared" si="73"/>
        <v>1</v>
      </c>
      <c r="AD941" s="1">
        <f t="shared" si="74"/>
        <v>11.666666666666666</v>
      </c>
    </row>
    <row r="942" spans="1:30" x14ac:dyDescent="0.35">
      <c r="A942" t="s">
        <v>50</v>
      </c>
      <c r="B942">
        <v>17</v>
      </c>
      <c r="C942" t="s">
        <v>35</v>
      </c>
      <c r="D942" t="s">
        <v>36</v>
      </c>
      <c r="E942" t="s">
        <v>44</v>
      </c>
      <c r="F942" t="s">
        <v>48</v>
      </c>
      <c r="G942" t="s">
        <v>45</v>
      </c>
      <c r="H942">
        <v>2</v>
      </c>
      <c r="I942">
        <v>1</v>
      </c>
      <c r="J942" t="s">
        <v>43</v>
      </c>
      <c r="K942" t="s">
        <v>42</v>
      </c>
      <c r="L942" t="s">
        <v>43</v>
      </c>
      <c r="M942" t="s">
        <v>42</v>
      </c>
      <c r="N942" t="s">
        <v>42</v>
      </c>
      <c r="O942">
        <v>5</v>
      </c>
      <c r="P942">
        <v>4</v>
      </c>
      <c r="Q942">
        <v>4</v>
      </c>
      <c r="R942">
        <v>3</v>
      </c>
      <c r="S942">
        <v>4</v>
      </c>
      <c r="T942">
        <f t="shared" si="70"/>
        <v>7</v>
      </c>
      <c r="U942" t="str" cm="1">
        <f t="array" ref="U942">_xlfn.IFS(T942&lt;3, "low", AND(T942&gt;=3, T942&lt;5), "med", T942&gt;=5, "high")</f>
        <v>high</v>
      </c>
      <c r="V942">
        <v>8</v>
      </c>
      <c r="W942" t="str" cm="1">
        <f t="array" ref="W942">_xlfn.IFS(V942&lt;5, "low", AND(V942&gt;=5, V942&lt;10), "med", V942&gt;=10, "high")</f>
        <v>med</v>
      </c>
      <c r="X942">
        <v>8</v>
      </c>
      <c r="Y942">
        <v>9</v>
      </c>
      <c r="Z942">
        <v>8</v>
      </c>
      <c r="AA942">
        <f t="shared" si="71"/>
        <v>0</v>
      </c>
      <c r="AB942">
        <f t="shared" si="72"/>
        <v>1</v>
      </c>
      <c r="AC942">
        <f t="shared" si="73"/>
        <v>1</v>
      </c>
      <c r="AD942" s="1">
        <f t="shared" si="74"/>
        <v>8.3333333333333339</v>
      </c>
    </row>
    <row r="943" spans="1:30" x14ac:dyDescent="0.35">
      <c r="A943" t="s">
        <v>34</v>
      </c>
      <c r="B943">
        <v>17</v>
      </c>
      <c r="C943" t="s">
        <v>35</v>
      </c>
      <c r="D943" t="s">
        <v>36</v>
      </c>
      <c r="E943" t="s">
        <v>44</v>
      </c>
      <c r="F943" t="s">
        <v>28</v>
      </c>
      <c r="G943" t="s">
        <v>28</v>
      </c>
      <c r="H943">
        <v>2</v>
      </c>
      <c r="I943">
        <v>0</v>
      </c>
      <c r="J943" t="s">
        <v>43</v>
      </c>
      <c r="K943" t="s">
        <v>42</v>
      </c>
      <c r="L943" t="s">
        <v>43</v>
      </c>
      <c r="M943" t="s">
        <v>43</v>
      </c>
      <c r="N943" t="s">
        <v>43</v>
      </c>
      <c r="O943">
        <v>5</v>
      </c>
      <c r="P943">
        <v>2</v>
      </c>
      <c r="Q943">
        <v>5</v>
      </c>
      <c r="R943">
        <v>1</v>
      </c>
      <c r="S943">
        <v>1</v>
      </c>
      <c r="T943">
        <f t="shared" si="70"/>
        <v>2</v>
      </c>
      <c r="U943" t="str" cm="1">
        <f t="array" ref="U943">_xlfn.IFS(T943&lt;3, "low", AND(T943&gt;=3, T943&lt;5), "med", T943&gt;=5, "high")</f>
        <v>low</v>
      </c>
      <c r="V943">
        <v>0</v>
      </c>
      <c r="W943" t="str" cm="1">
        <f t="array" ref="W943">_xlfn.IFS(V943&lt;5, "low", AND(V943&gt;=5, V943&lt;10), "med", V943&gt;=10, "high")</f>
        <v>low</v>
      </c>
      <c r="X943">
        <v>13</v>
      </c>
      <c r="Y943">
        <v>15</v>
      </c>
      <c r="Z943">
        <v>16</v>
      </c>
      <c r="AA943">
        <f t="shared" si="71"/>
        <v>0</v>
      </c>
      <c r="AB943">
        <f t="shared" si="72"/>
        <v>0</v>
      </c>
      <c r="AC943">
        <f t="shared" si="73"/>
        <v>0</v>
      </c>
      <c r="AD943" s="1">
        <f t="shared" si="74"/>
        <v>14.666666666666666</v>
      </c>
    </row>
    <row r="944" spans="1:30" x14ac:dyDescent="0.35">
      <c r="A944" t="s">
        <v>50</v>
      </c>
      <c r="B944">
        <v>16</v>
      </c>
      <c r="C944" t="s">
        <v>52</v>
      </c>
      <c r="D944" t="s">
        <v>47</v>
      </c>
      <c r="E944" t="s">
        <v>44</v>
      </c>
      <c r="F944" t="s">
        <v>45</v>
      </c>
      <c r="G944" t="s">
        <v>38</v>
      </c>
      <c r="H944">
        <v>1</v>
      </c>
      <c r="I944">
        <v>0</v>
      </c>
      <c r="J944" t="s">
        <v>43</v>
      </c>
      <c r="K944" t="s">
        <v>43</v>
      </c>
      <c r="L944" t="s">
        <v>43</v>
      </c>
      <c r="M944" t="s">
        <v>43</v>
      </c>
      <c r="N944" t="s">
        <v>43</v>
      </c>
      <c r="O944">
        <v>4</v>
      </c>
      <c r="P944">
        <v>1</v>
      </c>
      <c r="Q944">
        <v>2</v>
      </c>
      <c r="R944">
        <v>2</v>
      </c>
      <c r="S944">
        <v>1</v>
      </c>
      <c r="T944">
        <f t="shared" si="70"/>
        <v>3</v>
      </c>
      <c r="U944" t="str" cm="1">
        <f t="array" ref="U944">_xlfn.IFS(T944&lt;3, "low", AND(T944&gt;=3, T944&lt;5), "med", T944&gt;=5, "high")</f>
        <v>med</v>
      </c>
      <c r="V944">
        <v>0</v>
      </c>
      <c r="W944" t="str" cm="1">
        <f t="array" ref="W944">_xlfn.IFS(V944&lt;5, "low", AND(V944&gt;=5, V944&lt;10), "med", V944&gt;=10, "high")</f>
        <v>low</v>
      </c>
      <c r="X944">
        <v>10</v>
      </c>
      <c r="Y944">
        <v>11</v>
      </c>
      <c r="Z944">
        <v>11</v>
      </c>
      <c r="AA944">
        <f t="shared" si="71"/>
        <v>0</v>
      </c>
      <c r="AB944">
        <f t="shared" si="72"/>
        <v>0</v>
      </c>
      <c r="AC944">
        <f t="shared" si="73"/>
        <v>0</v>
      </c>
      <c r="AD944" s="1">
        <f t="shared" si="74"/>
        <v>10.666666666666666</v>
      </c>
    </row>
    <row r="945" spans="1:30" x14ac:dyDescent="0.35">
      <c r="A945" t="s">
        <v>34</v>
      </c>
      <c r="B945">
        <v>17</v>
      </c>
      <c r="C945" t="s">
        <v>35</v>
      </c>
      <c r="D945" t="s">
        <v>36</v>
      </c>
      <c r="E945" t="s">
        <v>37</v>
      </c>
      <c r="F945" t="s">
        <v>38</v>
      </c>
      <c r="G945" t="s">
        <v>38</v>
      </c>
      <c r="H945">
        <v>2</v>
      </c>
      <c r="I945">
        <v>0</v>
      </c>
      <c r="J945" t="s">
        <v>43</v>
      </c>
      <c r="K945" t="s">
        <v>43</v>
      </c>
      <c r="L945" t="s">
        <v>43</v>
      </c>
      <c r="M945" t="s">
        <v>42</v>
      </c>
      <c r="N945" t="s">
        <v>42</v>
      </c>
      <c r="O945">
        <v>4</v>
      </c>
      <c r="P945">
        <v>5</v>
      </c>
      <c r="Q945">
        <v>5</v>
      </c>
      <c r="R945">
        <v>1</v>
      </c>
      <c r="S945">
        <v>2</v>
      </c>
      <c r="T945">
        <f t="shared" si="70"/>
        <v>3</v>
      </c>
      <c r="U945" t="str" cm="1">
        <f t="array" ref="U945">_xlfn.IFS(T945&lt;3, "low", AND(T945&gt;=3, T945&lt;5), "med", T945&gt;=5, "high")</f>
        <v>med</v>
      </c>
      <c r="V945">
        <v>2</v>
      </c>
      <c r="W945" t="str" cm="1">
        <f t="array" ref="W945">_xlfn.IFS(V945&lt;5, "low", AND(V945&gt;=5, V945&lt;10), "med", V945&gt;=10, "high")</f>
        <v>low</v>
      </c>
      <c r="X945">
        <v>11</v>
      </c>
      <c r="Y945">
        <v>10</v>
      </c>
      <c r="Z945">
        <v>11</v>
      </c>
      <c r="AA945">
        <f t="shared" si="71"/>
        <v>1</v>
      </c>
      <c r="AB945">
        <f t="shared" si="72"/>
        <v>0</v>
      </c>
      <c r="AC945">
        <f t="shared" si="73"/>
        <v>1</v>
      </c>
      <c r="AD945" s="1">
        <f t="shared" si="74"/>
        <v>10.666666666666666</v>
      </c>
    </row>
    <row r="946" spans="1:30" x14ac:dyDescent="0.35">
      <c r="A946" t="s">
        <v>34</v>
      </c>
      <c r="B946">
        <v>17</v>
      </c>
      <c r="C946" t="s">
        <v>52</v>
      </c>
      <c r="D946" t="s">
        <v>36</v>
      </c>
      <c r="E946" t="s">
        <v>44</v>
      </c>
      <c r="F946" t="s">
        <v>45</v>
      </c>
      <c r="G946" t="s">
        <v>45</v>
      </c>
      <c r="H946">
        <v>2</v>
      </c>
      <c r="I946">
        <v>0</v>
      </c>
      <c r="J946" t="s">
        <v>42</v>
      </c>
      <c r="K946" t="s">
        <v>42</v>
      </c>
      <c r="L946" t="s">
        <v>43</v>
      </c>
      <c r="M946" t="s">
        <v>43</v>
      </c>
      <c r="N946" t="s">
        <v>43</v>
      </c>
      <c r="O946">
        <v>4</v>
      </c>
      <c r="P946">
        <v>3</v>
      </c>
      <c r="Q946">
        <v>3</v>
      </c>
      <c r="R946">
        <v>2</v>
      </c>
      <c r="S946">
        <v>3</v>
      </c>
      <c r="T946">
        <f t="shared" si="70"/>
        <v>5</v>
      </c>
      <c r="U946" t="str" cm="1">
        <f t="array" ref="U946">_xlfn.IFS(T946&lt;3, "low", AND(T946&gt;=3, T946&lt;5), "med", T946&gt;=5, "high")</f>
        <v>high</v>
      </c>
      <c r="V946">
        <v>0</v>
      </c>
      <c r="W946" t="str" cm="1">
        <f t="array" ref="W946">_xlfn.IFS(V946&lt;5, "low", AND(V946&gt;=5, V946&lt;10), "med", V946&gt;=10, "high")</f>
        <v>low</v>
      </c>
      <c r="X946">
        <v>17</v>
      </c>
      <c r="Y946">
        <v>18</v>
      </c>
      <c r="Z946">
        <v>18</v>
      </c>
      <c r="AA946">
        <f t="shared" si="71"/>
        <v>0</v>
      </c>
      <c r="AB946">
        <f t="shared" si="72"/>
        <v>0</v>
      </c>
      <c r="AC946">
        <f t="shared" si="73"/>
        <v>0</v>
      </c>
      <c r="AD946" s="1">
        <f t="shared" si="74"/>
        <v>17.666666666666668</v>
      </c>
    </row>
    <row r="947" spans="1:30" x14ac:dyDescent="0.35">
      <c r="A947" t="s">
        <v>50</v>
      </c>
      <c r="B947">
        <v>16</v>
      </c>
      <c r="C947" t="s">
        <v>35</v>
      </c>
      <c r="D947" t="s">
        <v>47</v>
      </c>
      <c r="E947" t="s">
        <v>37</v>
      </c>
      <c r="F947" t="s">
        <v>45</v>
      </c>
      <c r="G947" t="s">
        <v>48</v>
      </c>
      <c r="H947">
        <v>2</v>
      </c>
      <c r="I947">
        <v>0</v>
      </c>
      <c r="J947" t="s">
        <v>43</v>
      </c>
      <c r="K947" t="s">
        <v>42</v>
      </c>
      <c r="L947" t="s">
        <v>43</v>
      </c>
      <c r="M947" t="s">
        <v>43</v>
      </c>
      <c r="N947" t="s">
        <v>42</v>
      </c>
      <c r="O947">
        <v>4</v>
      </c>
      <c r="P947">
        <v>1</v>
      </c>
      <c r="Q947">
        <v>2</v>
      </c>
      <c r="R947">
        <v>2</v>
      </c>
      <c r="S947">
        <v>2</v>
      </c>
      <c r="T947">
        <f t="shared" si="70"/>
        <v>4</v>
      </c>
      <c r="U947" t="str" cm="1">
        <f t="array" ref="U947">_xlfn.IFS(T947&lt;3, "low", AND(T947&gt;=3, T947&lt;5), "med", T947&gt;=5, "high")</f>
        <v>med</v>
      </c>
      <c r="V947">
        <v>0</v>
      </c>
      <c r="W947" t="str" cm="1">
        <f t="array" ref="W947">_xlfn.IFS(V947&lt;5, "low", AND(V947&gt;=5, V947&lt;10), "med", V947&gt;=10, "high")</f>
        <v>low</v>
      </c>
      <c r="X947">
        <v>12</v>
      </c>
      <c r="Y947">
        <v>13</v>
      </c>
      <c r="Z947">
        <v>13</v>
      </c>
      <c r="AA947">
        <f t="shared" si="71"/>
        <v>0</v>
      </c>
      <c r="AB947">
        <f t="shared" si="72"/>
        <v>0</v>
      </c>
      <c r="AC947">
        <f t="shared" si="73"/>
        <v>0</v>
      </c>
      <c r="AD947" s="1">
        <f t="shared" si="74"/>
        <v>12.666666666666666</v>
      </c>
    </row>
    <row r="948" spans="1:30" x14ac:dyDescent="0.35">
      <c r="A948" t="s">
        <v>50</v>
      </c>
      <c r="B948">
        <v>17</v>
      </c>
      <c r="C948" t="s">
        <v>35</v>
      </c>
      <c r="D948" t="s">
        <v>36</v>
      </c>
      <c r="E948" t="s">
        <v>44</v>
      </c>
      <c r="F948" t="s">
        <v>45</v>
      </c>
      <c r="G948" t="s">
        <v>45</v>
      </c>
      <c r="H948">
        <v>2</v>
      </c>
      <c r="I948">
        <v>0</v>
      </c>
      <c r="J948" t="s">
        <v>43</v>
      </c>
      <c r="K948" t="s">
        <v>42</v>
      </c>
      <c r="L948" t="s">
        <v>42</v>
      </c>
      <c r="M948" t="s">
        <v>43</v>
      </c>
      <c r="N948" t="s">
        <v>43</v>
      </c>
      <c r="O948">
        <v>4</v>
      </c>
      <c r="P948">
        <v>1</v>
      </c>
      <c r="Q948">
        <v>2</v>
      </c>
      <c r="R948">
        <v>2</v>
      </c>
      <c r="S948">
        <v>2</v>
      </c>
      <c r="T948">
        <f t="shared" si="70"/>
        <v>4</v>
      </c>
      <c r="U948" t="str" cm="1">
        <f t="array" ref="U948">_xlfn.IFS(T948&lt;3, "low", AND(T948&gt;=3, T948&lt;5), "med", T948&gt;=5, "high")</f>
        <v>med</v>
      </c>
      <c r="V948">
        <v>0</v>
      </c>
      <c r="W948" t="str" cm="1">
        <f t="array" ref="W948">_xlfn.IFS(V948&lt;5, "low", AND(V948&gt;=5, V948&lt;10), "med", V948&gt;=10, "high")</f>
        <v>low</v>
      </c>
      <c r="X948">
        <v>13</v>
      </c>
      <c r="Y948">
        <v>14</v>
      </c>
      <c r="Z948">
        <v>13</v>
      </c>
      <c r="AA948">
        <f t="shared" si="71"/>
        <v>0</v>
      </c>
      <c r="AB948">
        <f t="shared" si="72"/>
        <v>1</v>
      </c>
      <c r="AC948">
        <f t="shared" si="73"/>
        <v>1</v>
      </c>
      <c r="AD948" s="1">
        <f t="shared" si="74"/>
        <v>13.333333333333334</v>
      </c>
    </row>
    <row r="949" spans="1:30" x14ac:dyDescent="0.35">
      <c r="A949" t="s">
        <v>50</v>
      </c>
      <c r="B949">
        <v>19</v>
      </c>
      <c r="C949" t="s">
        <v>35</v>
      </c>
      <c r="D949" t="s">
        <v>36</v>
      </c>
      <c r="E949" t="s">
        <v>44</v>
      </c>
      <c r="F949" t="s">
        <v>45</v>
      </c>
      <c r="G949" t="s">
        <v>45</v>
      </c>
      <c r="H949">
        <v>2</v>
      </c>
      <c r="I949">
        <v>2</v>
      </c>
      <c r="J949" t="s">
        <v>43</v>
      </c>
      <c r="K949" t="s">
        <v>42</v>
      </c>
      <c r="L949" t="s">
        <v>43</v>
      </c>
      <c r="M949" t="s">
        <v>42</v>
      </c>
      <c r="N949" t="s">
        <v>43</v>
      </c>
      <c r="O949">
        <v>4</v>
      </c>
      <c r="P949">
        <v>4</v>
      </c>
      <c r="Q949">
        <v>3</v>
      </c>
      <c r="R949">
        <v>3</v>
      </c>
      <c r="S949">
        <v>4</v>
      </c>
      <c r="T949">
        <f t="shared" si="70"/>
        <v>7</v>
      </c>
      <c r="U949" t="str" cm="1">
        <f t="array" ref="U949">_xlfn.IFS(T949&lt;3, "low", AND(T949&gt;=3, T949&lt;5), "med", T949&gt;=5, "high")</f>
        <v>high</v>
      </c>
      <c r="V949">
        <v>2</v>
      </c>
      <c r="W949" t="str" cm="1">
        <f t="array" ref="W949">_xlfn.IFS(V949&lt;5, "low", AND(V949&gt;=5, V949&lt;10), "med", V949&gt;=10, "high")</f>
        <v>low</v>
      </c>
      <c r="X949">
        <v>9</v>
      </c>
      <c r="Y949">
        <v>9</v>
      </c>
      <c r="Z949">
        <v>10</v>
      </c>
      <c r="AA949">
        <f t="shared" si="71"/>
        <v>0</v>
      </c>
      <c r="AB949">
        <f t="shared" si="72"/>
        <v>0</v>
      </c>
      <c r="AC949">
        <f t="shared" si="73"/>
        <v>0</v>
      </c>
      <c r="AD949" s="1">
        <f t="shared" si="74"/>
        <v>9.3333333333333339</v>
      </c>
    </row>
    <row r="950" spans="1:30" x14ac:dyDescent="0.35">
      <c r="A950" t="s">
        <v>50</v>
      </c>
      <c r="B950">
        <v>17</v>
      </c>
      <c r="C950" t="s">
        <v>35</v>
      </c>
      <c r="D950" t="s">
        <v>47</v>
      </c>
      <c r="E950" t="s">
        <v>37</v>
      </c>
      <c r="F950" t="s">
        <v>45</v>
      </c>
      <c r="G950" t="s">
        <v>45</v>
      </c>
      <c r="H950">
        <v>1</v>
      </c>
      <c r="I950">
        <v>0</v>
      </c>
      <c r="J950" t="s">
        <v>43</v>
      </c>
      <c r="K950" t="s">
        <v>43</v>
      </c>
      <c r="L950" t="s">
        <v>43</v>
      </c>
      <c r="M950" t="s">
        <v>43</v>
      </c>
      <c r="N950" t="s">
        <v>42</v>
      </c>
      <c r="O950">
        <v>4</v>
      </c>
      <c r="P950">
        <v>1</v>
      </c>
      <c r="Q950">
        <v>2</v>
      </c>
      <c r="R950">
        <v>1</v>
      </c>
      <c r="S950">
        <v>1</v>
      </c>
      <c r="T950">
        <f t="shared" si="70"/>
        <v>2</v>
      </c>
      <c r="U950" t="str" cm="1">
        <f t="array" ref="U950">_xlfn.IFS(T950&lt;3, "low", AND(T950&gt;=3, T950&lt;5), "med", T950&gt;=5, "high")</f>
        <v>low</v>
      </c>
      <c r="V950">
        <v>4</v>
      </c>
      <c r="W950" t="str" cm="1">
        <f t="array" ref="W950">_xlfn.IFS(V950&lt;5, "low", AND(V950&gt;=5, V950&lt;10), "med", V950&gt;=10, "high")</f>
        <v>low</v>
      </c>
      <c r="X950">
        <v>11</v>
      </c>
      <c r="Y950">
        <v>11</v>
      </c>
      <c r="Z950">
        <v>12</v>
      </c>
      <c r="AA950">
        <f t="shared" si="71"/>
        <v>0</v>
      </c>
      <c r="AB950">
        <f t="shared" si="72"/>
        <v>0</v>
      </c>
      <c r="AC950">
        <f t="shared" si="73"/>
        <v>0</v>
      </c>
      <c r="AD950" s="1">
        <f t="shared" si="74"/>
        <v>11.333333333333334</v>
      </c>
    </row>
    <row r="951" spans="1:30" x14ac:dyDescent="0.35">
      <c r="A951" t="s">
        <v>34</v>
      </c>
      <c r="B951">
        <v>17</v>
      </c>
      <c r="C951" t="s">
        <v>52</v>
      </c>
      <c r="D951" t="s">
        <v>36</v>
      </c>
      <c r="E951" t="s">
        <v>44</v>
      </c>
      <c r="F951" t="s">
        <v>38</v>
      </c>
      <c r="G951" t="s">
        <v>38</v>
      </c>
      <c r="H951">
        <v>1</v>
      </c>
      <c r="I951">
        <v>0</v>
      </c>
      <c r="J951" t="s">
        <v>43</v>
      </c>
      <c r="K951" t="s">
        <v>42</v>
      </c>
      <c r="L951" t="s">
        <v>43</v>
      </c>
      <c r="M951" t="s">
        <v>42</v>
      </c>
      <c r="N951" t="s">
        <v>42</v>
      </c>
      <c r="O951">
        <v>3</v>
      </c>
      <c r="P951">
        <v>5</v>
      </c>
      <c r="Q951">
        <v>5</v>
      </c>
      <c r="R951">
        <v>2</v>
      </c>
      <c r="S951">
        <v>2</v>
      </c>
      <c r="T951">
        <f t="shared" si="70"/>
        <v>4</v>
      </c>
      <c r="U951" t="str" cm="1">
        <f t="array" ref="U951">_xlfn.IFS(T951&lt;3, "low", AND(T951&gt;=3, T951&lt;5), "med", T951&gt;=5, "high")</f>
        <v>med</v>
      </c>
      <c r="V951">
        <v>3</v>
      </c>
      <c r="W951" t="str" cm="1">
        <f t="array" ref="W951">_xlfn.IFS(V951&lt;5, "low", AND(V951&gt;=5, V951&lt;10), "med", V951&gt;=10, "high")</f>
        <v>low</v>
      </c>
      <c r="X951">
        <v>10</v>
      </c>
      <c r="Y951">
        <v>11</v>
      </c>
      <c r="Z951">
        <v>10</v>
      </c>
      <c r="AA951">
        <f t="shared" si="71"/>
        <v>0</v>
      </c>
      <c r="AB951">
        <f t="shared" si="72"/>
        <v>1</v>
      </c>
      <c r="AC951">
        <f t="shared" si="73"/>
        <v>1</v>
      </c>
      <c r="AD951" s="1">
        <f t="shared" si="74"/>
        <v>10.333333333333334</v>
      </c>
    </row>
    <row r="952" spans="1:30" x14ac:dyDescent="0.35">
      <c r="A952" t="s">
        <v>34</v>
      </c>
      <c r="B952">
        <v>16</v>
      </c>
      <c r="C952" t="s">
        <v>52</v>
      </c>
      <c r="D952" t="s">
        <v>36</v>
      </c>
      <c r="E952" t="s">
        <v>44</v>
      </c>
      <c r="F952" t="s">
        <v>45</v>
      </c>
      <c r="G952" t="s">
        <v>45</v>
      </c>
      <c r="H952">
        <v>3</v>
      </c>
      <c r="I952">
        <v>0</v>
      </c>
      <c r="J952" t="s">
        <v>42</v>
      </c>
      <c r="K952" t="s">
        <v>42</v>
      </c>
      <c r="L952" t="s">
        <v>43</v>
      </c>
      <c r="M952" t="s">
        <v>43</v>
      </c>
      <c r="N952" t="s">
        <v>42</v>
      </c>
      <c r="O952">
        <v>4</v>
      </c>
      <c r="P952">
        <v>3</v>
      </c>
      <c r="Q952">
        <v>4</v>
      </c>
      <c r="R952">
        <v>1</v>
      </c>
      <c r="S952">
        <v>1</v>
      </c>
      <c r="T952">
        <f t="shared" si="70"/>
        <v>2</v>
      </c>
      <c r="U952" t="str" cm="1">
        <f t="array" ref="U952">_xlfn.IFS(T952&lt;3, "low", AND(T952&gt;=3, T952&lt;5), "med", T952&gt;=5, "high")</f>
        <v>low</v>
      </c>
      <c r="V952">
        <v>5</v>
      </c>
      <c r="W952" t="str" cm="1">
        <f t="array" ref="W952">_xlfn.IFS(V952&lt;5, "low", AND(V952&gt;=5, V952&lt;10), "med", V952&gt;=10, "high")</f>
        <v>med</v>
      </c>
      <c r="X952">
        <v>13</v>
      </c>
      <c r="Y952">
        <v>14</v>
      </c>
      <c r="Z952">
        <v>13</v>
      </c>
      <c r="AA952">
        <f t="shared" si="71"/>
        <v>0</v>
      </c>
      <c r="AB952">
        <f t="shared" si="72"/>
        <v>1</v>
      </c>
      <c r="AC952">
        <f t="shared" si="73"/>
        <v>1</v>
      </c>
      <c r="AD952" s="1">
        <f t="shared" si="74"/>
        <v>13.333333333333334</v>
      </c>
    </row>
    <row r="953" spans="1:30" x14ac:dyDescent="0.35">
      <c r="A953" t="s">
        <v>50</v>
      </c>
      <c r="B953">
        <v>16</v>
      </c>
      <c r="C953" t="s">
        <v>52</v>
      </c>
      <c r="D953" t="s">
        <v>47</v>
      </c>
      <c r="E953" t="s">
        <v>44</v>
      </c>
      <c r="F953" t="s">
        <v>45</v>
      </c>
      <c r="G953" t="s">
        <v>38</v>
      </c>
      <c r="H953">
        <v>1</v>
      </c>
      <c r="I953">
        <v>0</v>
      </c>
      <c r="J953" t="s">
        <v>43</v>
      </c>
      <c r="K953" t="s">
        <v>43</v>
      </c>
      <c r="L953" t="s">
        <v>43</v>
      </c>
      <c r="M953" t="s">
        <v>43</v>
      </c>
      <c r="N953" t="s">
        <v>43</v>
      </c>
      <c r="O953">
        <v>4</v>
      </c>
      <c r="P953">
        <v>4</v>
      </c>
      <c r="Q953">
        <v>4</v>
      </c>
      <c r="R953">
        <v>2</v>
      </c>
      <c r="S953">
        <v>4</v>
      </c>
      <c r="T953">
        <f t="shared" si="70"/>
        <v>6</v>
      </c>
      <c r="U953" t="str" cm="1">
        <f t="array" ref="U953">_xlfn.IFS(T953&lt;3, "low", AND(T953&gt;=3, T953&lt;5), "med", T953&gt;=5, "high")</f>
        <v>high</v>
      </c>
      <c r="V953">
        <v>4</v>
      </c>
      <c r="W953" t="str" cm="1">
        <f t="array" ref="W953">_xlfn.IFS(V953&lt;5, "low", AND(V953&gt;=5, V953&lt;10), "med", V953&gt;=10, "high")</f>
        <v>low</v>
      </c>
      <c r="X953">
        <v>9</v>
      </c>
      <c r="Y953">
        <v>10</v>
      </c>
      <c r="Z953">
        <v>11</v>
      </c>
      <c r="AA953">
        <f t="shared" si="71"/>
        <v>0</v>
      </c>
      <c r="AB953">
        <f t="shared" si="72"/>
        <v>0</v>
      </c>
      <c r="AC953">
        <f t="shared" si="73"/>
        <v>0</v>
      </c>
      <c r="AD953" s="1">
        <f t="shared" si="74"/>
        <v>10</v>
      </c>
    </row>
    <row r="954" spans="1:30" x14ac:dyDescent="0.35">
      <c r="A954" t="s">
        <v>34</v>
      </c>
      <c r="B954">
        <v>17</v>
      </c>
      <c r="C954" t="s">
        <v>52</v>
      </c>
      <c r="D954" t="s">
        <v>36</v>
      </c>
      <c r="E954" t="s">
        <v>44</v>
      </c>
      <c r="F954" t="s">
        <v>45</v>
      </c>
      <c r="G954" t="s">
        <v>45</v>
      </c>
      <c r="H954">
        <v>2</v>
      </c>
      <c r="I954">
        <v>3</v>
      </c>
      <c r="J954" t="s">
        <v>43</v>
      </c>
      <c r="K954" t="s">
        <v>42</v>
      </c>
      <c r="L954" t="s">
        <v>43</v>
      </c>
      <c r="M954" t="s">
        <v>42</v>
      </c>
      <c r="N954" t="s">
        <v>42</v>
      </c>
      <c r="O954">
        <v>5</v>
      </c>
      <c r="P954">
        <v>4</v>
      </c>
      <c r="Q954">
        <v>4</v>
      </c>
      <c r="R954">
        <v>1</v>
      </c>
      <c r="S954">
        <v>1</v>
      </c>
      <c r="T954">
        <f t="shared" si="70"/>
        <v>2</v>
      </c>
      <c r="U954" t="str" cm="1">
        <f t="array" ref="U954">_xlfn.IFS(T954&lt;3, "low", AND(T954&gt;=3, T954&lt;5), "med", T954&gt;=5, "high")</f>
        <v>low</v>
      </c>
      <c r="V954">
        <v>2</v>
      </c>
      <c r="W954" t="str" cm="1">
        <f t="array" ref="W954">_xlfn.IFS(V954&lt;5, "low", AND(V954&gt;=5, V954&lt;10), "med", V954&gt;=10, "high")</f>
        <v>low</v>
      </c>
      <c r="X954">
        <v>7</v>
      </c>
      <c r="Y954">
        <v>9</v>
      </c>
      <c r="Z954">
        <v>10</v>
      </c>
      <c r="AA954">
        <f t="shared" si="71"/>
        <v>0</v>
      </c>
      <c r="AB954">
        <f t="shared" si="72"/>
        <v>0</v>
      </c>
      <c r="AC954">
        <f t="shared" si="73"/>
        <v>0</v>
      </c>
      <c r="AD954" s="1">
        <f t="shared" si="74"/>
        <v>8.6666666666666661</v>
      </c>
    </row>
    <row r="955" spans="1:30" x14ac:dyDescent="0.35">
      <c r="A955" t="s">
        <v>50</v>
      </c>
      <c r="B955">
        <v>17</v>
      </c>
      <c r="C955" t="s">
        <v>52</v>
      </c>
      <c r="D955" t="s">
        <v>36</v>
      </c>
      <c r="E955" t="s">
        <v>44</v>
      </c>
      <c r="F955" t="s">
        <v>45</v>
      </c>
      <c r="G955" t="s">
        <v>45</v>
      </c>
      <c r="H955">
        <v>1</v>
      </c>
      <c r="I955">
        <v>0</v>
      </c>
      <c r="J955" t="s">
        <v>43</v>
      </c>
      <c r="K955" t="s">
        <v>43</v>
      </c>
      <c r="L955" t="s">
        <v>43</v>
      </c>
      <c r="M955" t="s">
        <v>42</v>
      </c>
      <c r="N955" t="s">
        <v>42</v>
      </c>
      <c r="O955">
        <v>5</v>
      </c>
      <c r="P955">
        <v>5</v>
      </c>
      <c r="Q955">
        <v>5</v>
      </c>
      <c r="R955">
        <v>3</v>
      </c>
      <c r="S955">
        <v>5</v>
      </c>
      <c r="T955">
        <f t="shared" si="70"/>
        <v>8</v>
      </c>
      <c r="U955" t="str" cm="1">
        <f t="array" ref="U955">_xlfn.IFS(T955&lt;3, "low", AND(T955&gt;=3, T955&lt;5), "med", T955&gt;=5, "high")</f>
        <v>high</v>
      </c>
      <c r="V955">
        <v>0</v>
      </c>
      <c r="W955" t="str" cm="1">
        <f t="array" ref="W955">_xlfn.IFS(V955&lt;5, "low", AND(V955&gt;=5, V955&lt;10), "med", V955&gt;=10, "high")</f>
        <v>low</v>
      </c>
      <c r="X955">
        <v>8</v>
      </c>
      <c r="Y955">
        <v>13</v>
      </c>
      <c r="Z955">
        <v>10</v>
      </c>
      <c r="AA955">
        <f t="shared" si="71"/>
        <v>0</v>
      </c>
      <c r="AB955">
        <f t="shared" si="72"/>
        <v>1</v>
      </c>
      <c r="AC955">
        <f t="shared" si="73"/>
        <v>1</v>
      </c>
      <c r="AD955" s="1">
        <f t="shared" si="74"/>
        <v>10.333333333333334</v>
      </c>
    </row>
    <row r="956" spans="1:30" x14ac:dyDescent="0.35">
      <c r="A956" t="s">
        <v>50</v>
      </c>
      <c r="B956">
        <v>18</v>
      </c>
      <c r="C956" t="s">
        <v>52</v>
      </c>
      <c r="D956" t="s">
        <v>36</v>
      </c>
      <c r="E956" t="s">
        <v>44</v>
      </c>
      <c r="F956" t="s">
        <v>38</v>
      </c>
      <c r="G956" t="s">
        <v>38</v>
      </c>
      <c r="H956">
        <v>1</v>
      </c>
      <c r="I956">
        <v>1</v>
      </c>
      <c r="J956" t="s">
        <v>42</v>
      </c>
      <c r="K956" t="s">
        <v>42</v>
      </c>
      <c r="L956" t="s">
        <v>43</v>
      </c>
      <c r="M956" t="s">
        <v>43</v>
      </c>
      <c r="N956" t="s">
        <v>43</v>
      </c>
      <c r="O956">
        <v>4</v>
      </c>
      <c r="P956">
        <v>3</v>
      </c>
      <c r="Q956">
        <v>2</v>
      </c>
      <c r="R956">
        <v>1</v>
      </c>
      <c r="S956">
        <v>1</v>
      </c>
      <c r="T956">
        <f t="shared" si="70"/>
        <v>2</v>
      </c>
      <c r="U956" t="str" cm="1">
        <f t="array" ref="U956">_xlfn.IFS(T956&lt;3, "low", AND(T956&gt;=3, T956&lt;5), "med", T956&gt;=5, "high")</f>
        <v>low</v>
      </c>
      <c r="V956">
        <v>0</v>
      </c>
      <c r="W956" t="str" cm="1">
        <f t="array" ref="W956">_xlfn.IFS(V956&lt;5, "low", AND(V956&gt;=5, V956&lt;10), "med", V956&gt;=10, "high")</f>
        <v>low</v>
      </c>
      <c r="X956">
        <v>12</v>
      </c>
      <c r="Y956">
        <v>12</v>
      </c>
      <c r="Z956">
        <v>13</v>
      </c>
      <c r="AA956">
        <f t="shared" si="71"/>
        <v>0</v>
      </c>
      <c r="AB956">
        <f t="shared" si="72"/>
        <v>0</v>
      </c>
      <c r="AC956">
        <f t="shared" si="73"/>
        <v>0</v>
      </c>
      <c r="AD956" s="1">
        <f t="shared" si="74"/>
        <v>12.333333333333334</v>
      </c>
    </row>
    <row r="957" spans="1:30" x14ac:dyDescent="0.35">
      <c r="A957" t="s">
        <v>50</v>
      </c>
      <c r="B957">
        <v>17</v>
      </c>
      <c r="C957" t="s">
        <v>52</v>
      </c>
      <c r="D957" t="s">
        <v>36</v>
      </c>
      <c r="E957" t="s">
        <v>44</v>
      </c>
      <c r="F957" t="s">
        <v>45</v>
      </c>
      <c r="G957" t="s">
        <v>48</v>
      </c>
      <c r="H957">
        <v>1</v>
      </c>
      <c r="I957">
        <v>0</v>
      </c>
      <c r="J957" t="s">
        <v>43</v>
      </c>
      <c r="K957" t="s">
        <v>42</v>
      </c>
      <c r="L957" t="s">
        <v>43</v>
      </c>
      <c r="M957" t="s">
        <v>42</v>
      </c>
      <c r="N957" t="s">
        <v>42</v>
      </c>
      <c r="O957">
        <v>4</v>
      </c>
      <c r="P957">
        <v>5</v>
      </c>
      <c r="Q957">
        <v>5</v>
      </c>
      <c r="R957">
        <v>1</v>
      </c>
      <c r="S957">
        <v>3</v>
      </c>
      <c r="T957">
        <f t="shared" si="70"/>
        <v>4</v>
      </c>
      <c r="U957" t="str" cm="1">
        <f t="array" ref="U957">_xlfn.IFS(T957&lt;3, "low", AND(T957&gt;=3, T957&lt;5), "med", T957&gt;=5, "high")</f>
        <v>med</v>
      </c>
      <c r="V957">
        <v>0</v>
      </c>
      <c r="W957" t="str" cm="1">
        <f t="array" ref="W957">_xlfn.IFS(V957&lt;5, "low", AND(V957&gt;=5, V957&lt;10), "med", V957&gt;=10, "high")</f>
        <v>low</v>
      </c>
      <c r="X957">
        <v>10</v>
      </c>
      <c r="Y957">
        <v>9</v>
      </c>
      <c r="Z957">
        <v>10</v>
      </c>
      <c r="AA957">
        <f t="shared" si="71"/>
        <v>1</v>
      </c>
      <c r="AB957">
        <f t="shared" si="72"/>
        <v>0</v>
      </c>
      <c r="AC957">
        <f t="shared" si="73"/>
        <v>1</v>
      </c>
      <c r="AD957" s="1">
        <f t="shared" si="74"/>
        <v>9.6666666666666661</v>
      </c>
    </row>
    <row r="958" spans="1:30" x14ac:dyDescent="0.35">
      <c r="A958" t="s">
        <v>50</v>
      </c>
      <c r="B958">
        <v>18</v>
      </c>
      <c r="C958" t="s">
        <v>35</v>
      </c>
      <c r="D958" t="s">
        <v>47</v>
      </c>
      <c r="E958" t="s">
        <v>44</v>
      </c>
      <c r="F958" t="s">
        <v>38</v>
      </c>
      <c r="G958" t="s">
        <v>38</v>
      </c>
      <c r="H958">
        <v>2</v>
      </c>
      <c r="I958">
        <v>0</v>
      </c>
      <c r="J958" t="s">
        <v>43</v>
      </c>
      <c r="K958" t="s">
        <v>42</v>
      </c>
      <c r="L958" t="s">
        <v>43</v>
      </c>
      <c r="M958" t="s">
        <v>42</v>
      </c>
      <c r="N958" t="s">
        <v>43</v>
      </c>
      <c r="O958">
        <v>4</v>
      </c>
      <c r="P958">
        <v>3</v>
      </c>
      <c r="Q958">
        <v>3</v>
      </c>
      <c r="R958">
        <v>1</v>
      </c>
      <c r="S958">
        <v>4</v>
      </c>
      <c r="T958">
        <f t="shared" si="70"/>
        <v>5</v>
      </c>
      <c r="U958" t="str" cm="1">
        <f t="array" ref="U958">_xlfn.IFS(T958&lt;3, "low", AND(T958&gt;=3, T958&lt;5), "med", T958&gt;=5, "high")</f>
        <v>high</v>
      </c>
      <c r="V958">
        <v>6</v>
      </c>
      <c r="W958" t="str" cm="1">
        <f t="array" ref="W958">_xlfn.IFS(V958&lt;5, "low", AND(V958&gt;=5, V958&lt;10), "med", V958&gt;=10, "high")</f>
        <v>med</v>
      </c>
      <c r="X958">
        <v>10</v>
      </c>
      <c r="Y958">
        <v>9</v>
      </c>
      <c r="Z958">
        <v>10</v>
      </c>
      <c r="AA958">
        <f t="shared" si="71"/>
        <v>1</v>
      </c>
      <c r="AB958">
        <f t="shared" si="72"/>
        <v>0</v>
      </c>
      <c r="AC958">
        <f t="shared" si="73"/>
        <v>1</v>
      </c>
      <c r="AD958" s="1">
        <f t="shared" si="74"/>
        <v>9.6666666666666661</v>
      </c>
    </row>
    <row r="959" spans="1:30" x14ac:dyDescent="0.35">
      <c r="A959" t="s">
        <v>34</v>
      </c>
      <c r="B959">
        <v>16</v>
      </c>
      <c r="C959" t="s">
        <v>52</v>
      </c>
      <c r="D959" t="s">
        <v>47</v>
      </c>
      <c r="E959" t="s">
        <v>44</v>
      </c>
      <c r="F959" t="s">
        <v>45</v>
      </c>
      <c r="G959" t="s">
        <v>48</v>
      </c>
      <c r="H959">
        <v>2</v>
      </c>
      <c r="I959">
        <v>0</v>
      </c>
      <c r="J959" t="s">
        <v>43</v>
      </c>
      <c r="K959" t="s">
        <v>43</v>
      </c>
      <c r="L959" t="s">
        <v>43</v>
      </c>
      <c r="M959" t="s">
        <v>42</v>
      </c>
      <c r="N959" t="s">
        <v>42</v>
      </c>
      <c r="O959">
        <v>5</v>
      </c>
      <c r="P959">
        <v>4</v>
      </c>
      <c r="Q959">
        <v>3</v>
      </c>
      <c r="R959">
        <v>1</v>
      </c>
      <c r="S959">
        <v>1</v>
      </c>
      <c r="T959">
        <f t="shared" si="70"/>
        <v>2</v>
      </c>
      <c r="U959" t="str" cm="1">
        <f t="array" ref="U959">_xlfn.IFS(T959&lt;3, "low", AND(T959&gt;=3, T959&lt;5), "med", T959&gt;=5, "high")</f>
        <v>low</v>
      </c>
      <c r="V959">
        <v>0</v>
      </c>
      <c r="W959" t="str" cm="1">
        <f t="array" ref="W959">_xlfn.IFS(V959&lt;5, "low", AND(V959&gt;=5, V959&lt;10), "med", V959&gt;=10, "high")</f>
        <v>low</v>
      </c>
      <c r="X959">
        <v>11</v>
      </c>
      <c r="Y959">
        <v>13</v>
      </c>
      <c r="Z959">
        <v>12</v>
      </c>
      <c r="AA959">
        <f t="shared" si="71"/>
        <v>0</v>
      </c>
      <c r="AB959">
        <f t="shared" si="72"/>
        <v>1</v>
      </c>
      <c r="AC959">
        <f t="shared" si="73"/>
        <v>1</v>
      </c>
      <c r="AD959" s="1">
        <f t="shared" si="74"/>
        <v>12</v>
      </c>
    </row>
    <row r="960" spans="1:30" x14ac:dyDescent="0.35">
      <c r="A960" t="s">
        <v>50</v>
      </c>
      <c r="B960">
        <v>17</v>
      </c>
      <c r="C960" t="s">
        <v>35</v>
      </c>
      <c r="D960" t="s">
        <v>36</v>
      </c>
      <c r="E960" t="s">
        <v>44</v>
      </c>
      <c r="F960" t="s">
        <v>45</v>
      </c>
      <c r="G960" t="s">
        <v>45</v>
      </c>
      <c r="H960">
        <v>1</v>
      </c>
      <c r="I960">
        <v>1</v>
      </c>
      <c r="J960" t="s">
        <v>43</v>
      </c>
      <c r="K960" t="s">
        <v>43</v>
      </c>
      <c r="L960" t="s">
        <v>43</v>
      </c>
      <c r="M960" t="s">
        <v>42</v>
      </c>
      <c r="N960" t="s">
        <v>42</v>
      </c>
      <c r="O960">
        <v>1</v>
      </c>
      <c r="P960">
        <v>2</v>
      </c>
      <c r="Q960">
        <v>1</v>
      </c>
      <c r="R960">
        <v>2</v>
      </c>
      <c r="S960">
        <v>3</v>
      </c>
      <c r="T960">
        <f t="shared" si="70"/>
        <v>5</v>
      </c>
      <c r="U960" t="str" cm="1">
        <f t="array" ref="U960">_xlfn.IFS(T960&lt;3, "low", AND(T960&gt;=3, T960&lt;5), "med", T960&gt;=5, "high")</f>
        <v>high</v>
      </c>
      <c r="V960">
        <v>0</v>
      </c>
      <c r="W960" t="str" cm="1">
        <f t="array" ref="W960">_xlfn.IFS(V960&lt;5, "low", AND(V960&gt;=5, V960&lt;10), "med", V960&gt;=10, "high")</f>
        <v>low</v>
      </c>
      <c r="X960">
        <v>7</v>
      </c>
      <c r="Y960">
        <v>0</v>
      </c>
      <c r="Z960">
        <v>0</v>
      </c>
      <c r="AA960">
        <f t="shared" si="71"/>
        <v>1</v>
      </c>
      <c r="AB960">
        <f t="shared" si="72"/>
        <v>0</v>
      </c>
      <c r="AC960">
        <f t="shared" si="73"/>
        <v>1</v>
      </c>
      <c r="AD960" s="1">
        <f t="shared" si="74"/>
        <v>2.3333333333333335</v>
      </c>
    </row>
    <row r="961" spans="1:30" x14ac:dyDescent="0.35">
      <c r="A961" t="s">
        <v>50</v>
      </c>
      <c r="B961">
        <v>16</v>
      </c>
      <c r="C961" t="s">
        <v>52</v>
      </c>
      <c r="D961" t="s">
        <v>36</v>
      </c>
      <c r="E961" t="s">
        <v>44</v>
      </c>
      <c r="F961" t="s">
        <v>48</v>
      </c>
      <c r="G961" t="s">
        <v>45</v>
      </c>
      <c r="H961">
        <v>1</v>
      </c>
      <c r="I961">
        <v>0</v>
      </c>
      <c r="J961" t="s">
        <v>43</v>
      </c>
      <c r="K961" t="s">
        <v>43</v>
      </c>
      <c r="L961" t="s">
        <v>43</v>
      </c>
      <c r="M961" t="s">
        <v>43</v>
      </c>
      <c r="N961" t="s">
        <v>43</v>
      </c>
      <c r="O961">
        <v>4</v>
      </c>
      <c r="P961">
        <v>5</v>
      </c>
      <c r="Q961">
        <v>5</v>
      </c>
      <c r="R961">
        <v>2</v>
      </c>
      <c r="S961">
        <v>3</v>
      </c>
      <c r="T961">
        <f t="shared" si="70"/>
        <v>5</v>
      </c>
      <c r="U961" t="str" cm="1">
        <f t="array" ref="U961">_xlfn.IFS(T961&lt;3, "low", AND(T961&gt;=3, T961&lt;5), "med", T961&gt;=5, "high")</f>
        <v>high</v>
      </c>
      <c r="V961">
        <v>2</v>
      </c>
      <c r="W961" t="str" cm="1">
        <f t="array" ref="W961">_xlfn.IFS(V961&lt;5, "low", AND(V961&gt;=5, V961&lt;10), "med", V961&gt;=10, "high")</f>
        <v>low</v>
      </c>
      <c r="X961">
        <v>11</v>
      </c>
      <c r="Y961">
        <v>9</v>
      </c>
      <c r="Z961">
        <v>10</v>
      </c>
      <c r="AA961">
        <f t="shared" si="71"/>
        <v>1</v>
      </c>
      <c r="AB961">
        <f t="shared" si="72"/>
        <v>0</v>
      </c>
      <c r="AC961">
        <f t="shared" si="73"/>
        <v>1</v>
      </c>
      <c r="AD961" s="1">
        <f t="shared" si="74"/>
        <v>10</v>
      </c>
    </row>
    <row r="962" spans="1:30" x14ac:dyDescent="0.35">
      <c r="A962" t="s">
        <v>50</v>
      </c>
      <c r="B962">
        <v>16</v>
      </c>
      <c r="C962" t="s">
        <v>52</v>
      </c>
      <c r="D962" t="s">
        <v>47</v>
      </c>
      <c r="E962" t="s">
        <v>44</v>
      </c>
      <c r="F962" t="s">
        <v>38</v>
      </c>
      <c r="G962" t="s">
        <v>45</v>
      </c>
      <c r="H962">
        <v>1</v>
      </c>
      <c r="I962">
        <v>0</v>
      </c>
      <c r="J962" t="s">
        <v>43</v>
      </c>
      <c r="K962" t="s">
        <v>43</v>
      </c>
      <c r="L962" t="s">
        <v>43</v>
      </c>
      <c r="M962" t="s">
        <v>42</v>
      </c>
      <c r="N962" t="s">
        <v>43</v>
      </c>
      <c r="O962">
        <v>4</v>
      </c>
      <c r="P962">
        <v>5</v>
      </c>
      <c r="Q962">
        <v>5</v>
      </c>
      <c r="R962">
        <v>2</v>
      </c>
      <c r="S962">
        <v>4</v>
      </c>
      <c r="T962">
        <f t="shared" si="70"/>
        <v>6</v>
      </c>
      <c r="U962" t="str" cm="1">
        <f t="array" ref="U962">_xlfn.IFS(T962&lt;3, "low", AND(T962&gt;=3, T962&lt;5), "med", T962&gt;=5, "high")</f>
        <v>high</v>
      </c>
      <c r="V962">
        <v>0</v>
      </c>
      <c r="W962" t="str" cm="1">
        <f t="array" ref="W962">_xlfn.IFS(V962&lt;5, "low", AND(V962&gt;=5, V962&lt;10), "med", V962&gt;=10, "high")</f>
        <v>low</v>
      </c>
      <c r="X962">
        <v>10</v>
      </c>
      <c r="Y962">
        <v>10</v>
      </c>
      <c r="Z962">
        <v>9</v>
      </c>
      <c r="AA962">
        <f t="shared" si="71"/>
        <v>0</v>
      </c>
      <c r="AB962">
        <f t="shared" si="72"/>
        <v>1</v>
      </c>
      <c r="AC962">
        <f t="shared" si="73"/>
        <v>1</v>
      </c>
      <c r="AD962" s="1">
        <f t="shared" si="74"/>
        <v>9.6666666666666661</v>
      </c>
    </row>
    <row r="963" spans="1:30" x14ac:dyDescent="0.35">
      <c r="A963" t="s">
        <v>50</v>
      </c>
      <c r="B963">
        <v>18</v>
      </c>
      <c r="C963" t="s">
        <v>52</v>
      </c>
      <c r="D963" t="s">
        <v>36</v>
      </c>
      <c r="E963" t="s">
        <v>44</v>
      </c>
      <c r="F963" t="s">
        <v>48</v>
      </c>
      <c r="G963" t="s">
        <v>45</v>
      </c>
      <c r="H963">
        <v>1</v>
      </c>
      <c r="I963">
        <v>1</v>
      </c>
      <c r="J963" t="s">
        <v>43</v>
      </c>
      <c r="K963" t="s">
        <v>42</v>
      </c>
      <c r="L963" t="s">
        <v>43</v>
      </c>
      <c r="M963" t="s">
        <v>43</v>
      </c>
      <c r="N963" t="s">
        <v>42</v>
      </c>
      <c r="O963">
        <v>5</v>
      </c>
      <c r="P963">
        <v>3</v>
      </c>
      <c r="Q963">
        <v>3</v>
      </c>
      <c r="R963">
        <v>2</v>
      </c>
      <c r="S963">
        <v>3</v>
      </c>
      <c r="T963">
        <f t="shared" ref="T963:T1026" si="75">R963+S963</f>
        <v>5</v>
      </c>
      <c r="U963" t="str" cm="1">
        <f t="array" ref="U963">_xlfn.IFS(T963&lt;3, "low", AND(T963&gt;=3, T963&lt;5), "med", T963&gt;=5, "high")</f>
        <v>high</v>
      </c>
      <c r="V963">
        <v>2</v>
      </c>
      <c r="W963" t="str" cm="1">
        <f t="array" ref="W963">_xlfn.IFS(V963&lt;5, "low", AND(V963&gt;=5, V963&lt;10), "med", V963&gt;=10, "high")</f>
        <v>low</v>
      </c>
      <c r="X963">
        <v>9</v>
      </c>
      <c r="Y963">
        <v>7</v>
      </c>
      <c r="Z963">
        <v>9</v>
      </c>
      <c r="AA963">
        <f t="shared" ref="AA963:AA1026" si="76">IF(Y963&lt;X963,1,0)</f>
        <v>1</v>
      </c>
      <c r="AB963">
        <f t="shared" ref="AB963:AB1026" si="77">IF(Z963&lt;Y963,1,0)</f>
        <v>0</v>
      </c>
      <c r="AC963">
        <f t="shared" ref="AC963:AC1026" si="78">SUM(AA963:AB963)</f>
        <v>1</v>
      </c>
      <c r="AD963" s="1">
        <f t="shared" ref="AD963:AD1026" si="79">AVERAGE(X963:Z963)</f>
        <v>8.3333333333333339</v>
      </c>
    </row>
    <row r="964" spans="1:30" x14ac:dyDescent="0.35">
      <c r="A964" t="s">
        <v>50</v>
      </c>
      <c r="B964">
        <v>18</v>
      </c>
      <c r="C964" t="s">
        <v>52</v>
      </c>
      <c r="D964" t="s">
        <v>36</v>
      </c>
      <c r="E964" t="s">
        <v>44</v>
      </c>
      <c r="F964" t="s">
        <v>48</v>
      </c>
      <c r="G964" t="s">
        <v>45</v>
      </c>
      <c r="H964">
        <v>1</v>
      </c>
      <c r="I964">
        <v>1</v>
      </c>
      <c r="J964" t="s">
        <v>43</v>
      </c>
      <c r="K964" t="s">
        <v>43</v>
      </c>
      <c r="L964" t="s">
        <v>43</v>
      </c>
      <c r="M964" t="s">
        <v>43</v>
      </c>
      <c r="N964" t="s">
        <v>43</v>
      </c>
      <c r="O964">
        <v>2</v>
      </c>
      <c r="P964">
        <v>3</v>
      </c>
      <c r="Q964">
        <v>1</v>
      </c>
      <c r="R964">
        <v>2</v>
      </c>
      <c r="S964">
        <v>2</v>
      </c>
      <c r="T964">
        <f t="shared" si="75"/>
        <v>4</v>
      </c>
      <c r="U964" t="str" cm="1">
        <f t="array" ref="U964">_xlfn.IFS(T964&lt;3, "low", AND(T964&gt;=3, T964&lt;5), "med", T964&gt;=5, "high")</f>
        <v>med</v>
      </c>
      <c r="V964">
        <v>0</v>
      </c>
      <c r="W964" t="str" cm="1">
        <f t="array" ref="W964">_xlfn.IFS(V964&lt;5, "low", AND(V964&gt;=5, V964&lt;10), "med", V964&gt;=10, "high")</f>
        <v>low</v>
      </c>
      <c r="X964">
        <v>4</v>
      </c>
      <c r="Y964">
        <v>0</v>
      </c>
      <c r="Z964">
        <v>0</v>
      </c>
      <c r="AA964">
        <f t="shared" si="76"/>
        <v>1</v>
      </c>
      <c r="AB964">
        <f t="shared" si="77"/>
        <v>0</v>
      </c>
      <c r="AC964">
        <f t="shared" si="78"/>
        <v>1</v>
      </c>
      <c r="AD964" s="1">
        <f t="shared" si="79"/>
        <v>1.3333333333333333</v>
      </c>
    </row>
    <row r="965" spans="1:30" x14ac:dyDescent="0.35">
      <c r="A965" t="s">
        <v>50</v>
      </c>
      <c r="B965">
        <v>19</v>
      </c>
      <c r="C965" t="s">
        <v>35</v>
      </c>
      <c r="D965" t="s">
        <v>36</v>
      </c>
      <c r="E965" t="s">
        <v>44</v>
      </c>
      <c r="F965" t="s">
        <v>38</v>
      </c>
      <c r="G965" t="s">
        <v>48</v>
      </c>
      <c r="H965">
        <v>1</v>
      </c>
      <c r="I965">
        <v>3</v>
      </c>
      <c r="J965" t="s">
        <v>43</v>
      </c>
      <c r="K965" t="s">
        <v>43</v>
      </c>
      <c r="L965" t="s">
        <v>43</v>
      </c>
      <c r="M965" t="s">
        <v>42</v>
      </c>
      <c r="N965" t="s">
        <v>43</v>
      </c>
      <c r="O965">
        <v>3</v>
      </c>
      <c r="P965">
        <v>2</v>
      </c>
      <c r="Q965">
        <v>1</v>
      </c>
      <c r="R965">
        <v>1</v>
      </c>
      <c r="S965">
        <v>1</v>
      </c>
      <c r="T965">
        <f t="shared" si="75"/>
        <v>2</v>
      </c>
      <c r="U965" t="str" cm="1">
        <f t="array" ref="U965">_xlfn.IFS(T965&lt;3, "low", AND(T965&gt;=3, T965&lt;5), "med", T965&gt;=5, "high")</f>
        <v>low</v>
      </c>
      <c r="V965">
        <v>4</v>
      </c>
      <c r="W965" t="str" cm="1">
        <f t="array" ref="W965">_xlfn.IFS(V965&lt;5, "low", AND(V965&gt;=5, V965&lt;10), "med", V965&gt;=10, "high")</f>
        <v>low</v>
      </c>
      <c r="X965">
        <v>6</v>
      </c>
      <c r="Y965">
        <v>11</v>
      </c>
      <c r="Z965">
        <v>9</v>
      </c>
      <c r="AA965">
        <f t="shared" si="76"/>
        <v>0</v>
      </c>
      <c r="AB965">
        <f t="shared" si="77"/>
        <v>1</v>
      </c>
      <c r="AC965">
        <f t="shared" si="78"/>
        <v>1</v>
      </c>
      <c r="AD965" s="1">
        <f t="shared" si="79"/>
        <v>8.6666666666666661</v>
      </c>
    </row>
    <row r="966" spans="1:30" x14ac:dyDescent="0.35">
      <c r="A966" t="s">
        <v>50</v>
      </c>
      <c r="B966">
        <v>18</v>
      </c>
      <c r="C966" t="s">
        <v>35</v>
      </c>
      <c r="D966" t="s">
        <v>36</v>
      </c>
      <c r="E966" t="s">
        <v>44</v>
      </c>
      <c r="F966" t="s">
        <v>38</v>
      </c>
      <c r="G966" t="s">
        <v>38</v>
      </c>
      <c r="H966">
        <v>2</v>
      </c>
      <c r="I966">
        <v>2</v>
      </c>
      <c r="J966" t="s">
        <v>43</v>
      </c>
      <c r="K966" t="s">
        <v>42</v>
      </c>
      <c r="L966" t="s">
        <v>43</v>
      </c>
      <c r="M966" t="s">
        <v>42</v>
      </c>
      <c r="N966" t="s">
        <v>43</v>
      </c>
      <c r="O966">
        <v>4</v>
      </c>
      <c r="P966">
        <v>4</v>
      </c>
      <c r="Q966">
        <v>5</v>
      </c>
      <c r="R966">
        <v>1</v>
      </c>
      <c r="S966">
        <v>3</v>
      </c>
      <c r="T966">
        <f t="shared" si="75"/>
        <v>4</v>
      </c>
      <c r="U966" t="str" cm="1">
        <f t="array" ref="U966">_xlfn.IFS(T966&lt;3, "low", AND(T966&gt;=3, T966&lt;5), "med", T966&gt;=5, "high")</f>
        <v>med</v>
      </c>
      <c r="V966">
        <v>9</v>
      </c>
      <c r="W966" t="str" cm="1">
        <f t="array" ref="W966">_xlfn.IFS(V966&lt;5, "low", AND(V966&gt;=5, V966&lt;10), "med", V966&gt;=10, "high")</f>
        <v>med</v>
      </c>
      <c r="X966">
        <v>4</v>
      </c>
      <c r="Y966">
        <v>8</v>
      </c>
      <c r="Z966">
        <v>8</v>
      </c>
      <c r="AA966">
        <f t="shared" si="76"/>
        <v>0</v>
      </c>
      <c r="AB966">
        <f t="shared" si="77"/>
        <v>0</v>
      </c>
      <c r="AC966">
        <f t="shared" si="78"/>
        <v>0</v>
      </c>
      <c r="AD966" s="1">
        <f t="shared" si="79"/>
        <v>6.666666666666667</v>
      </c>
    </row>
    <row r="967" spans="1:30" x14ac:dyDescent="0.35">
      <c r="A967" t="s">
        <v>50</v>
      </c>
      <c r="B967">
        <v>16</v>
      </c>
      <c r="C967" t="s">
        <v>52</v>
      </c>
      <c r="D967" t="s">
        <v>36</v>
      </c>
      <c r="E967" t="s">
        <v>44</v>
      </c>
      <c r="F967" t="s">
        <v>48</v>
      </c>
      <c r="G967" t="s">
        <v>48</v>
      </c>
      <c r="H967">
        <v>1</v>
      </c>
      <c r="I967">
        <v>0</v>
      </c>
      <c r="J967" t="s">
        <v>43</v>
      </c>
      <c r="K967" t="s">
        <v>42</v>
      </c>
      <c r="L967" t="s">
        <v>43</v>
      </c>
      <c r="M967" t="s">
        <v>42</v>
      </c>
      <c r="N967" t="s">
        <v>42</v>
      </c>
      <c r="O967">
        <v>5</v>
      </c>
      <c r="P967">
        <v>4</v>
      </c>
      <c r="Q967">
        <v>3</v>
      </c>
      <c r="R967">
        <v>2</v>
      </c>
      <c r="S967">
        <v>4</v>
      </c>
      <c r="T967">
        <f t="shared" si="75"/>
        <v>6</v>
      </c>
      <c r="U967" t="str" cm="1">
        <f t="array" ref="U967">_xlfn.IFS(T967&lt;3, "low", AND(T967&gt;=3, T967&lt;5), "med", T967&gt;=5, "high")</f>
        <v>high</v>
      </c>
      <c r="V967">
        <v>6</v>
      </c>
      <c r="W967" t="str" cm="1">
        <f t="array" ref="W967">_xlfn.IFS(V967&lt;5, "low", AND(V967&gt;=5, V967&lt;10), "med", V967&gt;=10, "high")</f>
        <v>med</v>
      </c>
      <c r="X967">
        <v>7</v>
      </c>
      <c r="Y967">
        <v>8</v>
      </c>
      <c r="Z967">
        <v>8</v>
      </c>
      <c r="AA967">
        <f t="shared" si="76"/>
        <v>0</v>
      </c>
      <c r="AB967">
        <f t="shared" si="77"/>
        <v>0</v>
      </c>
      <c r="AC967">
        <f t="shared" si="78"/>
        <v>0</v>
      </c>
      <c r="AD967" s="1">
        <f t="shared" si="79"/>
        <v>7.666666666666667</v>
      </c>
    </row>
    <row r="968" spans="1:30" x14ac:dyDescent="0.35">
      <c r="A968" t="s">
        <v>50</v>
      </c>
      <c r="B968">
        <v>19</v>
      </c>
      <c r="C968" t="s">
        <v>35</v>
      </c>
      <c r="D968" t="s">
        <v>36</v>
      </c>
      <c r="E968" t="s">
        <v>44</v>
      </c>
      <c r="F968" t="s">
        <v>38</v>
      </c>
      <c r="G968" t="s">
        <v>45</v>
      </c>
      <c r="H968">
        <v>1</v>
      </c>
      <c r="I968">
        <v>3</v>
      </c>
      <c r="J968" t="s">
        <v>43</v>
      </c>
      <c r="K968" t="s">
        <v>43</v>
      </c>
      <c r="L968" t="s">
        <v>43</v>
      </c>
      <c r="M968" t="s">
        <v>42</v>
      </c>
      <c r="N968" t="s">
        <v>42</v>
      </c>
      <c r="O968">
        <v>4</v>
      </c>
      <c r="P968">
        <v>4</v>
      </c>
      <c r="Q968">
        <v>3</v>
      </c>
      <c r="R968">
        <v>1</v>
      </c>
      <c r="S968">
        <v>3</v>
      </c>
      <c r="T968">
        <f t="shared" si="75"/>
        <v>4</v>
      </c>
      <c r="U968" t="str" cm="1">
        <f t="array" ref="U968">_xlfn.IFS(T968&lt;3, "low", AND(T968&gt;=3, T968&lt;5), "med", T968&gt;=5, "high")</f>
        <v>med</v>
      </c>
      <c r="V968">
        <v>4</v>
      </c>
      <c r="W968" t="str" cm="1">
        <f t="array" ref="W968">_xlfn.IFS(V968&lt;5, "low", AND(V968&gt;=5, V968&lt;10), "med", V968&gt;=10, "high")</f>
        <v>low</v>
      </c>
      <c r="X968">
        <v>8</v>
      </c>
      <c r="Y968">
        <v>9</v>
      </c>
      <c r="Z968">
        <v>9</v>
      </c>
      <c r="AA968">
        <f t="shared" si="76"/>
        <v>0</v>
      </c>
      <c r="AB968">
        <f t="shared" si="77"/>
        <v>0</v>
      </c>
      <c r="AC968">
        <f t="shared" si="78"/>
        <v>0</v>
      </c>
      <c r="AD968" s="1">
        <f t="shared" si="79"/>
        <v>8.6666666666666661</v>
      </c>
    </row>
    <row r="969" spans="1:30" x14ac:dyDescent="0.35">
      <c r="A969" t="s">
        <v>34</v>
      </c>
      <c r="B969">
        <v>16</v>
      </c>
      <c r="C969" t="s">
        <v>35</v>
      </c>
      <c r="D969" t="s">
        <v>36</v>
      </c>
      <c r="E969" t="s">
        <v>37</v>
      </c>
      <c r="F969" t="s">
        <v>48</v>
      </c>
      <c r="G969" t="s">
        <v>38</v>
      </c>
      <c r="H969">
        <v>2</v>
      </c>
      <c r="I969">
        <v>2</v>
      </c>
      <c r="J969" t="s">
        <v>43</v>
      </c>
      <c r="K969" t="s">
        <v>42</v>
      </c>
      <c r="L969" t="s">
        <v>43</v>
      </c>
      <c r="M969" t="s">
        <v>42</v>
      </c>
      <c r="N969" t="s">
        <v>42</v>
      </c>
      <c r="O969">
        <v>2</v>
      </c>
      <c r="P969">
        <v>5</v>
      </c>
      <c r="Q969">
        <v>5</v>
      </c>
      <c r="R969">
        <v>1</v>
      </c>
      <c r="S969">
        <v>1</v>
      </c>
      <c r="T969">
        <f t="shared" si="75"/>
        <v>2</v>
      </c>
      <c r="U969" t="str" cm="1">
        <f t="array" ref="U969">_xlfn.IFS(T969&lt;3, "low", AND(T969&gt;=3, T969&lt;5), "med", T969&gt;=5, "high")</f>
        <v>low</v>
      </c>
      <c r="V969">
        <v>8</v>
      </c>
      <c r="W969" t="str" cm="1">
        <f t="array" ref="W969">_xlfn.IFS(V969&lt;5, "low", AND(V969&gt;=5, V969&lt;10), "med", V969&gt;=10, "high")</f>
        <v>med</v>
      </c>
      <c r="X969">
        <v>5</v>
      </c>
      <c r="Y969">
        <v>5</v>
      </c>
      <c r="Z969">
        <v>7</v>
      </c>
      <c r="AA969">
        <f t="shared" si="76"/>
        <v>0</v>
      </c>
      <c r="AB969">
        <f t="shared" si="77"/>
        <v>0</v>
      </c>
      <c r="AC969">
        <f t="shared" si="78"/>
        <v>0</v>
      </c>
      <c r="AD969" s="1">
        <f t="shared" si="79"/>
        <v>5.666666666666667</v>
      </c>
    </row>
    <row r="970" spans="1:30" x14ac:dyDescent="0.35">
      <c r="A970" t="s">
        <v>34</v>
      </c>
      <c r="B970">
        <v>17</v>
      </c>
      <c r="C970" t="s">
        <v>35</v>
      </c>
      <c r="D970" t="s">
        <v>36</v>
      </c>
      <c r="E970" t="s">
        <v>44</v>
      </c>
      <c r="F970" t="s">
        <v>45</v>
      </c>
      <c r="G970" t="s">
        <v>38</v>
      </c>
      <c r="H970">
        <v>1</v>
      </c>
      <c r="I970">
        <v>0</v>
      </c>
      <c r="J970" t="s">
        <v>43</v>
      </c>
      <c r="K970" t="s">
        <v>42</v>
      </c>
      <c r="L970" t="s">
        <v>43</v>
      </c>
      <c r="M970" t="s">
        <v>42</v>
      </c>
      <c r="N970" t="s">
        <v>43</v>
      </c>
      <c r="O970">
        <v>4</v>
      </c>
      <c r="P970">
        <v>3</v>
      </c>
      <c r="Q970">
        <v>2</v>
      </c>
      <c r="R970">
        <v>1</v>
      </c>
      <c r="S970">
        <v>2</v>
      </c>
      <c r="T970">
        <f t="shared" si="75"/>
        <v>3</v>
      </c>
      <c r="U970" t="str" cm="1">
        <f t="array" ref="U970">_xlfn.IFS(T970&lt;3, "low", AND(T970&gt;=3, T970&lt;5), "med", T970&gt;=5, "high")</f>
        <v>med</v>
      </c>
      <c r="V970">
        <v>9</v>
      </c>
      <c r="W970" t="str" cm="1">
        <f t="array" ref="W970">_xlfn.IFS(V970&lt;5, "low", AND(V970&gt;=5, V970&lt;10), "med", V970&gt;=10, "high")</f>
        <v>med</v>
      </c>
      <c r="X970">
        <v>7</v>
      </c>
      <c r="Y970">
        <v>9</v>
      </c>
      <c r="Z970">
        <v>10</v>
      </c>
      <c r="AA970">
        <f t="shared" si="76"/>
        <v>0</v>
      </c>
      <c r="AB970">
        <f t="shared" si="77"/>
        <v>0</v>
      </c>
      <c r="AC970">
        <f t="shared" si="78"/>
        <v>0</v>
      </c>
      <c r="AD970" s="1">
        <f t="shared" si="79"/>
        <v>8.6666666666666661</v>
      </c>
    </row>
    <row r="971" spans="1:30" x14ac:dyDescent="0.35">
      <c r="A971" t="s">
        <v>50</v>
      </c>
      <c r="B971">
        <v>20</v>
      </c>
      <c r="C971" t="s">
        <v>52</v>
      </c>
      <c r="D971" t="s">
        <v>36</v>
      </c>
      <c r="E971" t="s">
        <v>44</v>
      </c>
      <c r="F971" t="s">
        <v>45</v>
      </c>
      <c r="G971" t="s">
        <v>45</v>
      </c>
      <c r="H971">
        <v>1</v>
      </c>
      <c r="I971">
        <v>1</v>
      </c>
      <c r="J971" t="s">
        <v>43</v>
      </c>
      <c r="K971" t="s">
        <v>42</v>
      </c>
      <c r="L971" t="s">
        <v>43</v>
      </c>
      <c r="M971" t="s">
        <v>43</v>
      </c>
      <c r="N971" t="s">
        <v>42</v>
      </c>
      <c r="O971">
        <v>4</v>
      </c>
      <c r="P971">
        <v>4</v>
      </c>
      <c r="Q971">
        <v>3</v>
      </c>
      <c r="R971">
        <v>2</v>
      </c>
      <c r="S971">
        <v>4</v>
      </c>
      <c r="T971">
        <f t="shared" si="75"/>
        <v>6</v>
      </c>
      <c r="U971" t="str" cm="1">
        <f t="array" ref="U971">_xlfn.IFS(T971&lt;3, "low", AND(T971&gt;=3, T971&lt;5), "med", T971&gt;=5, "high")</f>
        <v>high</v>
      </c>
      <c r="V971">
        <v>12</v>
      </c>
      <c r="W971" t="str" cm="1">
        <f t="array" ref="W971">_xlfn.IFS(V971&lt;5, "low", AND(V971&gt;=5, V971&lt;10), "med", V971&gt;=10, "high")</f>
        <v>high</v>
      </c>
      <c r="X971">
        <v>8</v>
      </c>
      <c r="Y971">
        <v>11</v>
      </c>
      <c r="Z971">
        <v>10</v>
      </c>
      <c r="AA971">
        <f t="shared" si="76"/>
        <v>0</v>
      </c>
      <c r="AB971">
        <f t="shared" si="77"/>
        <v>1</v>
      </c>
      <c r="AC971">
        <f t="shared" si="78"/>
        <v>1</v>
      </c>
      <c r="AD971" s="1">
        <f t="shared" si="79"/>
        <v>9.6666666666666661</v>
      </c>
    </row>
    <row r="972" spans="1:30" x14ac:dyDescent="0.35">
      <c r="A972" t="s">
        <v>34</v>
      </c>
      <c r="B972">
        <v>18</v>
      </c>
      <c r="C972" t="s">
        <v>52</v>
      </c>
      <c r="D972" t="s">
        <v>36</v>
      </c>
      <c r="E972" t="s">
        <v>37</v>
      </c>
      <c r="F972" t="s">
        <v>48</v>
      </c>
      <c r="G972" t="s">
        <v>48</v>
      </c>
      <c r="H972">
        <v>1</v>
      </c>
      <c r="I972">
        <v>0</v>
      </c>
      <c r="J972" t="s">
        <v>43</v>
      </c>
      <c r="K972" t="s">
        <v>42</v>
      </c>
      <c r="L972" t="s">
        <v>43</v>
      </c>
      <c r="M972" t="s">
        <v>43</v>
      </c>
      <c r="N972" t="s">
        <v>43</v>
      </c>
      <c r="O972">
        <v>5</v>
      </c>
      <c r="P972">
        <v>4</v>
      </c>
      <c r="Q972">
        <v>4</v>
      </c>
      <c r="R972">
        <v>3</v>
      </c>
      <c r="S972">
        <v>4</v>
      </c>
      <c r="T972">
        <f t="shared" si="75"/>
        <v>7</v>
      </c>
      <c r="U972" t="str" cm="1">
        <f t="array" ref="U972">_xlfn.IFS(T972&lt;3, "low", AND(T972&gt;=3, T972&lt;5), "med", T972&gt;=5, "high")</f>
        <v>high</v>
      </c>
      <c r="V972">
        <v>8</v>
      </c>
      <c r="W972" t="str" cm="1">
        <f t="array" ref="W972">_xlfn.IFS(V972&lt;5, "low", AND(V972&gt;=5, V972&lt;10), "med", V972&gt;=10, "high")</f>
        <v>med</v>
      </c>
      <c r="X972">
        <v>10</v>
      </c>
      <c r="Y972">
        <v>11</v>
      </c>
      <c r="Z972">
        <v>10</v>
      </c>
      <c r="AA972">
        <f t="shared" si="76"/>
        <v>0</v>
      </c>
      <c r="AB972">
        <f t="shared" si="77"/>
        <v>1</v>
      </c>
      <c r="AC972">
        <f t="shared" si="78"/>
        <v>1</v>
      </c>
      <c r="AD972" s="1">
        <f t="shared" si="79"/>
        <v>10.333333333333334</v>
      </c>
    </row>
    <row r="973" spans="1:30" x14ac:dyDescent="0.35">
      <c r="A973" t="s">
        <v>50</v>
      </c>
      <c r="B973">
        <v>18</v>
      </c>
      <c r="C973" t="s">
        <v>52</v>
      </c>
      <c r="D973" t="s">
        <v>36</v>
      </c>
      <c r="E973" t="s">
        <v>44</v>
      </c>
      <c r="F973" t="s">
        <v>45</v>
      </c>
      <c r="G973" t="s">
        <v>45</v>
      </c>
      <c r="H973">
        <v>1</v>
      </c>
      <c r="I973">
        <v>0</v>
      </c>
      <c r="J973" t="s">
        <v>43</v>
      </c>
      <c r="K973" t="s">
        <v>42</v>
      </c>
      <c r="L973" t="s">
        <v>43</v>
      </c>
      <c r="M973" t="s">
        <v>43</v>
      </c>
      <c r="N973" t="s">
        <v>43</v>
      </c>
      <c r="O973">
        <v>2</v>
      </c>
      <c r="P973">
        <v>5</v>
      </c>
      <c r="Q973">
        <v>5</v>
      </c>
      <c r="R973">
        <v>5</v>
      </c>
      <c r="S973">
        <v>5</v>
      </c>
      <c r="T973">
        <f t="shared" si="75"/>
        <v>10</v>
      </c>
      <c r="U973" t="str" cm="1">
        <f t="array" ref="U973">_xlfn.IFS(T973&lt;3, "low", AND(T973&gt;=3, T973&lt;5), "med", T973&gt;=5, "high")</f>
        <v>high</v>
      </c>
      <c r="V973">
        <v>8</v>
      </c>
      <c r="W973" t="str" cm="1">
        <f t="array" ref="W973">_xlfn.IFS(V973&lt;5, "low", AND(V973&gt;=5, V973&lt;10), "med", V973&gt;=10, "high")</f>
        <v>med</v>
      </c>
      <c r="X973">
        <v>9</v>
      </c>
      <c r="Y973">
        <v>10</v>
      </c>
      <c r="Z973">
        <v>11</v>
      </c>
      <c r="AA973">
        <f t="shared" si="76"/>
        <v>0</v>
      </c>
      <c r="AB973">
        <f t="shared" si="77"/>
        <v>0</v>
      </c>
      <c r="AC973">
        <f t="shared" si="78"/>
        <v>0</v>
      </c>
      <c r="AD973" s="1">
        <f t="shared" si="79"/>
        <v>10</v>
      </c>
    </row>
    <row r="974" spans="1:30" x14ac:dyDescent="0.35">
      <c r="A974" t="s">
        <v>50</v>
      </c>
      <c r="B974">
        <v>19</v>
      </c>
      <c r="C974" t="s">
        <v>52</v>
      </c>
      <c r="D974" t="s">
        <v>36</v>
      </c>
      <c r="E974" t="s">
        <v>44</v>
      </c>
      <c r="F974" t="s">
        <v>45</v>
      </c>
      <c r="G974" t="s">
        <v>48</v>
      </c>
      <c r="H974">
        <v>2</v>
      </c>
      <c r="I974">
        <v>1</v>
      </c>
      <c r="J974" t="s">
        <v>43</v>
      </c>
      <c r="K974" t="s">
        <v>43</v>
      </c>
      <c r="L974" t="s">
        <v>43</v>
      </c>
      <c r="M974" t="s">
        <v>43</v>
      </c>
      <c r="N974" t="s">
        <v>43</v>
      </c>
      <c r="O974">
        <v>5</v>
      </c>
      <c r="P974">
        <v>4</v>
      </c>
      <c r="Q974">
        <v>4</v>
      </c>
      <c r="R974">
        <v>3</v>
      </c>
      <c r="S974">
        <v>3</v>
      </c>
      <c r="T974">
        <f t="shared" si="75"/>
        <v>6</v>
      </c>
      <c r="U974" t="str" cm="1">
        <f t="array" ref="U974">_xlfn.IFS(T974&lt;3, "low", AND(T974&gt;=3, T974&lt;5), "med", T974&gt;=5, "high")</f>
        <v>high</v>
      </c>
      <c r="V974">
        <v>8</v>
      </c>
      <c r="W974" t="str" cm="1">
        <f t="array" ref="W974">_xlfn.IFS(V974&lt;5, "low", AND(V974&gt;=5, V974&lt;10), "med", V974&gt;=10, "high")</f>
        <v>med</v>
      </c>
      <c r="X974">
        <v>10</v>
      </c>
      <c r="Y974">
        <v>9</v>
      </c>
      <c r="Z974">
        <v>11</v>
      </c>
      <c r="AA974">
        <f t="shared" si="76"/>
        <v>1</v>
      </c>
      <c r="AB974">
        <f t="shared" si="77"/>
        <v>0</v>
      </c>
      <c r="AC974">
        <f t="shared" si="78"/>
        <v>1</v>
      </c>
      <c r="AD974" s="1">
        <f t="shared" si="79"/>
        <v>10</v>
      </c>
    </row>
    <row r="975" spans="1:30" x14ac:dyDescent="0.35">
      <c r="A975" t="s">
        <v>50</v>
      </c>
      <c r="B975">
        <v>17</v>
      </c>
      <c r="C975" t="s">
        <v>35</v>
      </c>
      <c r="D975" t="s">
        <v>36</v>
      </c>
      <c r="E975" t="s">
        <v>44</v>
      </c>
      <c r="F975" t="s">
        <v>28</v>
      </c>
      <c r="G975" t="s">
        <v>45</v>
      </c>
      <c r="H975">
        <v>2</v>
      </c>
      <c r="I975">
        <v>1</v>
      </c>
      <c r="J975" t="s">
        <v>43</v>
      </c>
      <c r="K975" t="s">
        <v>42</v>
      </c>
      <c r="L975" t="s">
        <v>43</v>
      </c>
      <c r="M975" t="s">
        <v>43</v>
      </c>
      <c r="N975" t="s">
        <v>43</v>
      </c>
      <c r="O975">
        <v>4</v>
      </c>
      <c r="P975">
        <v>5</v>
      </c>
      <c r="Q975">
        <v>4</v>
      </c>
      <c r="R975">
        <v>2</v>
      </c>
      <c r="S975">
        <v>3</v>
      </c>
      <c r="T975">
        <f t="shared" si="75"/>
        <v>5</v>
      </c>
      <c r="U975" t="str" cm="1">
        <f t="array" ref="U975">_xlfn.IFS(T975&lt;3, "low", AND(T975&gt;=3, T975&lt;5), "med", T975&gt;=5, "high")</f>
        <v>high</v>
      </c>
      <c r="V975">
        <v>4</v>
      </c>
      <c r="W975" t="str" cm="1">
        <f t="array" ref="W975">_xlfn.IFS(V975&lt;5, "low", AND(V975&gt;=5, V975&lt;10), "med", V975&gt;=10, "high")</f>
        <v>low</v>
      </c>
      <c r="X975">
        <v>8</v>
      </c>
      <c r="Y975">
        <v>9</v>
      </c>
      <c r="Z975">
        <v>10</v>
      </c>
      <c r="AA975">
        <f t="shared" si="76"/>
        <v>0</v>
      </c>
      <c r="AB975">
        <f t="shared" si="77"/>
        <v>0</v>
      </c>
      <c r="AC975">
        <f t="shared" si="78"/>
        <v>0</v>
      </c>
      <c r="AD975" s="1">
        <f t="shared" si="79"/>
        <v>9</v>
      </c>
    </row>
    <row r="976" spans="1:30" x14ac:dyDescent="0.35">
      <c r="A976" t="s">
        <v>50</v>
      </c>
      <c r="B976">
        <v>18</v>
      </c>
      <c r="C976" t="s">
        <v>35</v>
      </c>
      <c r="D976" t="s">
        <v>47</v>
      </c>
      <c r="E976" t="s">
        <v>44</v>
      </c>
      <c r="F976" t="s">
        <v>38</v>
      </c>
      <c r="G976" t="s">
        <v>48</v>
      </c>
      <c r="H976">
        <v>1</v>
      </c>
      <c r="I976">
        <v>0</v>
      </c>
      <c r="J976" t="s">
        <v>43</v>
      </c>
      <c r="K976" t="s">
        <v>43</v>
      </c>
      <c r="L976" t="s">
        <v>43</v>
      </c>
      <c r="M976" t="s">
        <v>43</v>
      </c>
      <c r="N976" t="s">
        <v>42</v>
      </c>
      <c r="O976">
        <v>4</v>
      </c>
      <c r="P976">
        <v>3</v>
      </c>
      <c r="Q976">
        <v>3</v>
      </c>
      <c r="R976">
        <v>2</v>
      </c>
      <c r="S976">
        <v>3</v>
      </c>
      <c r="T976">
        <f t="shared" si="75"/>
        <v>5</v>
      </c>
      <c r="U976" t="str" cm="1">
        <f t="array" ref="U976">_xlfn.IFS(T976&lt;3, "low", AND(T976&gt;=3, T976&lt;5), "med", T976&gt;=5, "high")</f>
        <v>high</v>
      </c>
      <c r="V976">
        <v>0</v>
      </c>
      <c r="W976" t="str" cm="1">
        <f t="array" ref="W976">_xlfn.IFS(V976&lt;5, "low", AND(V976&gt;=5, V976&lt;10), "med", V976&gt;=10, "high")</f>
        <v>low</v>
      </c>
      <c r="X976">
        <v>9</v>
      </c>
      <c r="Y976">
        <v>10</v>
      </c>
      <c r="Z976">
        <v>9</v>
      </c>
      <c r="AA976">
        <f t="shared" si="76"/>
        <v>0</v>
      </c>
      <c r="AB976">
        <f t="shared" si="77"/>
        <v>1</v>
      </c>
      <c r="AC976">
        <f t="shared" si="78"/>
        <v>1</v>
      </c>
      <c r="AD976" s="1">
        <f t="shared" si="79"/>
        <v>9.3333333333333339</v>
      </c>
    </row>
    <row r="977" spans="1:30" x14ac:dyDescent="0.35">
      <c r="A977" t="s">
        <v>50</v>
      </c>
      <c r="B977">
        <v>19</v>
      </c>
      <c r="C977" t="s">
        <v>52</v>
      </c>
      <c r="D977" t="s">
        <v>36</v>
      </c>
      <c r="E977" t="s">
        <v>44</v>
      </c>
      <c r="F977" t="s">
        <v>45</v>
      </c>
      <c r="G977" t="s">
        <v>45</v>
      </c>
      <c r="H977">
        <v>1</v>
      </c>
      <c r="I977">
        <v>1</v>
      </c>
      <c r="J977" t="s">
        <v>43</v>
      </c>
      <c r="K977" t="s">
        <v>42</v>
      </c>
      <c r="L977" t="s">
        <v>43</v>
      </c>
      <c r="M977" t="s">
        <v>43</v>
      </c>
      <c r="N977" t="s">
        <v>43</v>
      </c>
      <c r="O977">
        <v>4</v>
      </c>
      <c r="P977">
        <v>4</v>
      </c>
      <c r="Q977">
        <v>4</v>
      </c>
      <c r="R977">
        <v>3</v>
      </c>
      <c r="S977">
        <v>3</v>
      </c>
      <c r="T977">
        <f t="shared" si="75"/>
        <v>6</v>
      </c>
      <c r="U977" t="str" cm="1">
        <f t="array" ref="U977">_xlfn.IFS(T977&lt;3, "low", AND(T977&gt;=3, T977&lt;5), "med", T977&gt;=5, "high")</f>
        <v>high</v>
      </c>
      <c r="V977">
        <v>4</v>
      </c>
      <c r="W977" t="str" cm="1">
        <f t="array" ref="W977">_xlfn.IFS(V977&lt;5, "low", AND(V977&gt;=5, V977&lt;10), "med", V977&gt;=10, "high")</f>
        <v>low</v>
      </c>
      <c r="X977">
        <v>8</v>
      </c>
      <c r="Y977">
        <v>9</v>
      </c>
      <c r="Z977">
        <v>10</v>
      </c>
      <c r="AA977">
        <f t="shared" si="76"/>
        <v>0</v>
      </c>
      <c r="AB977">
        <f t="shared" si="77"/>
        <v>0</v>
      </c>
      <c r="AC977">
        <f t="shared" si="78"/>
        <v>0</v>
      </c>
      <c r="AD977" s="1">
        <f t="shared" si="79"/>
        <v>9</v>
      </c>
    </row>
    <row r="978" spans="1:30" x14ac:dyDescent="0.35">
      <c r="A978" t="s">
        <v>34</v>
      </c>
      <c r="B978">
        <v>18</v>
      </c>
      <c r="C978" t="s">
        <v>35</v>
      </c>
      <c r="D978" t="s">
        <v>36</v>
      </c>
      <c r="E978" t="s">
        <v>37</v>
      </c>
      <c r="F978" t="s">
        <v>38</v>
      </c>
      <c r="G978" t="s">
        <v>45</v>
      </c>
      <c r="H978">
        <v>2</v>
      </c>
      <c r="I978">
        <v>2</v>
      </c>
      <c r="J978" t="s">
        <v>43</v>
      </c>
      <c r="K978" t="s">
        <v>42</v>
      </c>
      <c r="L978" t="s">
        <v>43</v>
      </c>
      <c r="M978" t="s">
        <v>43</v>
      </c>
      <c r="N978" t="s">
        <v>43</v>
      </c>
      <c r="O978">
        <v>4</v>
      </c>
      <c r="P978">
        <v>3</v>
      </c>
      <c r="Q978">
        <v>3</v>
      </c>
      <c r="R978">
        <v>1</v>
      </c>
      <c r="S978">
        <v>1</v>
      </c>
      <c r="T978">
        <f t="shared" si="75"/>
        <v>2</v>
      </c>
      <c r="U978" t="str" cm="1">
        <f t="array" ref="U978">_xlfn.IFS(T978&lt;3, "low", AND(T978&gt;=3, T978&lt;5), "med", T978&gt;=5, "high")</f>
        <v>low</v>
      </c>
      <c r="V978">
        <v>2</v>
      </c>
      <c r="W978" t="str" cm="1">
        <f t="array" ref="W978">_xlfn.IFS(V978&lt;5, "low", AND(V978&gt;=5, V978&lt;10), "med", V978&gt;=10, "high")</f>
        <v>low</v>
      </c>
      <c r="X978">
        <v>6</v>
      </c>
      <c r="Y978">
        <v>8</v>
      </c>
      <c r="Z978">
        <v>8</v>
      </c>
      <c r="AA978">
        <f t="shared" si="76"/>
        <v>0</v>
      </c>
      <c r="AB978">
        <f t="shared" si="77"/>
        <v>0</v>
      </c>
      <c r="AC978">
        <f t="shared" si="78"/>
        <v>0</v>
      </c>
      <c r="AD978" s="1">
        <f t="shared" si="79"/>
        <v>7.333333333333333</v>
      </c>
    </row>
    <row r="979" spans="1:30" x14ac:dyDescent="0.35">
      <c r="A979" t="s">
        <v>34</v>
      </c>
      <c r="B979">
        <v>19</v>
      </c>
      <c r="C979" t="s">
        <v>35</v>
      </c>
      <c r="D979" t="s">
        <v>47</v>
      </c>
      <c r="E979" t="s">
        <v>37</v>
      </c>
      <c r="F979" t="s">
        <v>38</v>
      </c>
      <c r="G979" t="s">
        <v>45</v>
      </c>
      <c r="H979">
        <v>1</v>
      </c>
      <c r="I979">
        <v>0</v>
      </c>
      <c r="J979" t="s">
        <v>43</v>
      </c>
      <c r="K979" t="s">
        <v>42</v>
      </c>
      <c r="L979" t="s">
        <v>43</v>
      </c>
      <c r="M979" t="s">
        <v>43</v>
      </c>
      <c r="N979" t="s">
        <v>43</v>
      </c>
      <c r="O979">
        <v>1</v>
      </c>
      <c r="P979">
        <v>4</v>
      </c>
      <c r="Q979">
        <v>4</v>
      </c>
      <c r="R979">
        <v>1</v>
      </c>
      <c r="S979">
        <v>1</v>
      </c>
      <c r="T979">
        <f t="shared" si="75"/>
        <v>2</v>
      </c>
      <c r="U979" t="str" cm="1">
        <f t="array" ref="U979">_xlfn.IFS(T979&lt;3, "low", AND(T979&gt;=3, T979&lt;5), "med", T979&gt;=5, "high")</f>
        <v>low</v>
      </c>
      <c r="V979">
        <v>0</v>
      </c>
      <c r="W979" t="str" cm="1">
        <f t="array" ref="W979">_xlfn.IFS(V979&lt;5, "low", AND(V979&gt;=5, V979&lt;10), "med", V979&gt;=10, "high")</f>
        <v>low</v>
      </c>
      <c r="X979">
        <v>6</v>
      </c>
      <c r="Y979">
        <v>8</v>
      </c>
      <c r="Z979">
        <v>7</v>
      </c>
      <c r="AA979">
        <f t="shared" si="76"/>
        <v>0</v>
      </c>
      <c r="AB979">
        <f t="shared" si="77"/>
        <v>1</v>
      </c>
      <c r="AC979">
        <f t="shared" si="78"/>
        <v>1</v>
      </c>
      <c r="AD979" s="1">
        <f t="shared" si="79"/>
        <v>7</v>
      </c>
    </row>
    <row r="980" spans="1:30" x14ac:dyDescent="0.35">
      <c r="A980" t="s">
        <v>34</v>
      </c>
      <c r="B980">
        <v>18</v>
      </c>
      <c r="C980" t="s">
        <v>52</v>
      </c>
      <c r="D980" t="s">
        <v>36</v>
      </c>
      <c r="E980" t="s">
        <v>44</v>
      </c>
      <c r="F980" t="s">
        <v>45</v>
      </c>
      <c r="G980" t="s">
        <v>45</v>
      </c>
      <c r="H980">
        <v>1</v>
      </c>
      <c r="I980">
        <v>1</v>
      </c>
      <c r="J980" t="s">
        <v>43</v>
      </c>
      <c r="K980" t="s">
        <v>43</v>
      </c>
      <c r="L980" t="s">
        <v>43</v>
      </c>
      <c r="M980" t="s">
        <v>43</v>
      </c>
      <c r="N980" t="s">
        <v>42</v>
      </c>
      <c r="O980">
        <v>5</v>
      </c>
      <c r="P980">
        <v>5</v>
      </c>
      <c r="Q980">
        <v>5</v>
      </c>
      <c r="R980">
        <v>1</v>
      </c>
      <c r="S980">
        <v>1</v>
      </c>
      <c r="T980">
        <f t="shared" si="75"/>
        <v>2</v>
      </c>
      <c r="U980" t="str" cm="1">
        <f t="array" ref="U980">_xlfn.IFS(T980&lt;3, "low", AND(T980&gt;=3, T980&lt;5), "med", T980&gt;=5, "high")</f>
        <v>low</v>
      </c>
      <c r="V980">
        <v>0</v>
      </c>
      <c r="W980" t="str" cm="1">
        <f t="array" ref="W980">_xlfn.IFS(V980&lt;5, "low", AND(V980&gt;=5, V980&lt;10), "med", V980&gt;=10, "high")</f>
        <v>low</v>
      </c>
      <c r="X980">
        <v>8</v>
      </c>
      <c r="Y980">
        <v>6</v>
      </c>
      <c r="Z980">
        <v>0</v>
      </c>
      <c r="AA980">
        <f t="shared" si="76"/>
        <v>1</v>
      </c>
      <c r="AB980">
        <f t="shared" si="77"/>
        <v>1</v>
      </c>
      <c r="AC980">
        <f t="shared" si="78"/>
        <v>2</v>
      </c>
      <c r="AD980" s="1">
        <f t="shared" si="79"/>
        <v>4.666666666666667</v>
      </c>
    </row>
    <row r="981" spans="1:30" x14ac:dyDescent="0.35">
      <c r="A981" t="s">
        <v>34</v>
      </c>
      <c r="B981">
        <v>17</v>
      </c>
      <c r="C981" t="s">
        <v>52</v>
      </c>
      <c r="D981" t="s">
        <v>36</v>
      </c>
      <c r="E981" t="s">
        <v>44</v>
      </c>
      <c r="F981" t="s">
        <v>38</v>
      </c>
      <c r="G981" t="s">
        <v>45</v>
      </c>
      <c r="H981">
        <v>1</v>
      </c>
      <c r="I981">
        <v>0</v>
      </c>
      <c r="J981" t="s">
        <v>43</v>
      </c>
      <c r="K981" t="s">
        <v>42</v>
      </c>
      <c r="L981" t="s">
        <v>43</v>
      </c>
      <c r="M981" t="s">
        <v>43</v>
      </c>
      <c r="N981" t="s">
        <v>43</v>
      </c>
      <c r="O981">
        <v>4</v>
      </c>
      <c r="P981">
        <v>4</v>
      </c>
      <c r="Q981">
        <v>3</v>
      </c>
      <c r="R981">
        <v>1</v>
      </c>
      <c r="S981">
        <v>1</v>
      </c>
      <c r="T981">
        <f t="shared" si="75"/>
        <v>2</v>
      </c>
      <c r="U981" t="str" cm="1">
        <f t="array" ref="U981">_xlfn.IFS(T981&lt;3, "low", AND(T981&gt;=3, T981&lt;5), "med", T981&gt;=5, "high")</f>
        <v>low</v>
      </c>
      <c r="V981">
        <v>0</v>
      </c>
      <c r="W981" t="str" cm="1">
        <f t="array" ref="W981">_xlfn.IFS(V981&lt;5, "low", AND(V981&gt;=5, V981&lt;10), "med", V981&gt;=10, "high")</f>
        <v>low</v>
      </c>
      <c r="X981">
        <v>10</v>
      </c>
      <c r="Y981">
        <v>11</v>
      </c>
      <c r="Z981">
        <v>11</v>
      </c>
      <c r="AA981">
        <f t="shared" si="76"/>
        <v>0</v>
      </c>
      <c r="AB981">
        <f t="shared" si="77"/>
        <v>0</v>
      </c>
      <c r="AC981">
        <f t="shared" si="78"/>
        <v>0</v>
      </c>
      <c r="AD981" s="1">
        <f t="shared" si="79"/>
        <v>10.666666666666666</v>
      </c>
    </row>
    <row r="982" spans="1:30" x14ac:dyDescent="0.35">
      <c r="A982" t="s">
        <v>34</v>
      </c>
      <c r="B982">
        <v>17</v>
      </c>
      <c r="C982" t="s">
        <v>52</v>
      </c>
      <c r="D982" t="s">
        <v>47</v>
      </c>
      <c r="E982" t="s">
        <v>37</v>
      </c>
      <c r="F982" t="s">
        <v>45</v>
      </c>
      <c r="G982" t="s">
        <v>38</v>
      </c>
      <c r="H982">
        <v>3</v>
      </c>
      <c r="I982">
        <v>0</v>
      </c>
      <c r="J982" t="s">
        <v>43</v>
      </c>
      <c r="K982" t="s">
        <v>42</v>
      </c>
      <c r="L982" t="s">
        <v>42</v>
      </c>
      <c r="M982" t="s">
        <v>43</v>
      </c>
      <c r="N982" t="s">
        <v>43</v>
      </c>
      <c r="O982">
        <v>4</v>
      </c>
      <c r="P982">
        <v>2</v>
      </c>
      <c r="Q982">
        <v>3</v>
      </c>
      <c r="R982">
        <v>2</v>
      </c>
      <c r="S982">
        <v>2</v>
      </c>
      <c r="T982">
        <f t="shared" si="75"/>
        <v>4</v>
      </c>
      <c r="U982" t="str" cm="1">
        <f t="array" ref="U982">_xlfn.IFS(T982&lt;3, "low", AND(T982&gt;=3, T982&lt;5), "med", T982&gt;=5, "high")</f>
        <v>med</v>
      </c>
      <c r="V982">
        <v>5</v>
      </c>
      <c r="W982" t="str" cm="1">
        <f t="array" ref="W982">_xlfn.IFS(V982&lt;5, "low", AND(V982&gt;=5, V982&lt;10), "med", V982&gt;=10, "high")</f>
        <v>med</v>
      </c>
      <c r="X982">
        <v>8</v>
      </c>
      <c r="Y982">
        <v>7</v>
      </c>
      <c r="Z982">
        <v>8</v>
      </c>
      <c r="AA982">
        <f t="shared" si="76"/>
        <v>1</v>
      </c>
      <c r="AB982">
        <f t="shared" si="77"/>
        <v>0</v>
      </c>
      <c r="AC982">
        <f t="shared" si="78"/>
        <v>1</v>
      </c>
      <c r="AD982" s="1">
        <f t="shared" si="79"/>
        <v>7.666666666666667</v>
      </c>
    </row>
    <row r="983" spans="1:30" x14ac:dyDescent="0.35">
      <c r="A983" t="s">
        <v>34</v>
      </c>
      <c r="B983">
        <v>17</v>
      </c>
      <c r="C983" t="s">
        <v>35</v>
      </c>
      <c r="D983" t="s">
        <v>36</v>
      </c>
      <c r="E983" t="s">
        <v>44</v>
      </c>
      <c r="F983" t="s">
        <v>39</v>
      </c>
      <c r="G983" t="s">
        <v>48</v>
      </c>
      <c r="H983">
        <v>2</v>
      </c>
      <c r="I983">
        <v>0</v>
      </c>
      <c r="J983" t="s">
        <v>42</v>
      </c>
      <c r="K983" t="s">
        <v>42</v>
      </c>
      <c r="L983" t="s">
        <v>43</v>
      </c>
      <c r="M983" t="s">
        <v>42</v>
      </c>
      <c r="N983" t="s">
        <v>43</v>
      </c>
      <c r="O983">
        <v>5</v>
      </c>
      <c r="P983">
        <v>5</v>
      </c>
      <c r="Q983">
        <v>5</v>
      </c>
      <c r="R983">
        <v>1</v>
      </c>
      <c r="S983">
        <v>3</v>
      </c>
      <c r="T983">
        <f t="shared" si="75"/>
        <v>4</v>
      </c>
      <c r="U983" t="str" cm="1">
        <f t="array" ref="U983">_xlfn.IFS(T983&lt;3, "low", AND(T983&gt;=3, T983&lt;5), "med", T983&gt;=5, "high")</f>
        <v>med</v>
      </c>
      <c r="V983">
        <v>0</v>
      </c>
      <c r="W983" t="str" cm="1">
        <f t="array" ref="W983">_xlfn.IFS(V983&lt;5, "low", AND(V983&gt;=5, V983&lt;10), "med", V983&gt;=10, "high")</f>
        <v>low</v>
      </c>
      <c r="X983">
        <v>8</v>
      </c>
      <c r="Y983">
        <v>8</v>
      </c>
      <c r="Z983">
        <v>0</v>
      </c>
      <c r="AA983">
        <f t="shared" si="76"/>
        <v>0</v>
      </c>
      <c r="AB983">
        <f t="shared" si="77"/>
        <v>1</v>
      </c>
      <c r="AC983">
        <f t="shared" si="78"/>
        <v>1</v>
      </c>
      <c r="AD983" s="1">
        <f t="shared" si="79"/>
        <v>5.333333333333333</v>
      </c>
    </row>
    <row r="984" spans="1:30" x14ac:dyDescent="0.35">
      <c r="A984" t="s">
        <v>34</v>
      </c>
      <c r="B984">
        <v>18</v>
      </c>
      <c r="C984" t="s">
        <v>52</v>
      </c>
      <c r="D984" t="s">
        <v>47</v>
      </c>
      <c r="E984" t="s">
        <v>44</v>
      </c>
      <c r="F984" t="s">
        <v>48</v>
      </c>
      <c r="G984" t="s">
        <v>48</v>
      </c>
      <c r="H984">
        <v>2</v>
      </c>
      <c r="I984">
        <v>1</v>
      </c>
      <c r="J984" t="s">
        <v>43</v>
      </c>
      <c r="K984" t="s">
        <v>42</v>
      </c>
      <c r="L984" t="s">
        <v>43</v>
      </c>
      <c r="M984" t="s">
        <v>42</v>
      </c>
      <c r="N984" t="s">
        <v>43</v>
      </c>
      <c r="O984">
        <v>2</v>
      </c>
      <c r="P984">
        <v>3</v>
      </c>
      <c r="Q984">
        <v>3</v>
      </c>
      <c r="R984">
        <v>1</v>
      </c>
      <c r="S984">
        <v>2</v>
      </c>
      <c r="T984">
        <f t="shared" si="75"/>
        <v>3</v>
      </c>
      <c r="U984" t="str" cm="1">
        <f t="array" ref="U984">_xlfn.IFS(T984&lt;3, "low", AND(T984&gt;=3, T984&lt;5), "med", T984&gt;=5, "high")</f>
        <v>med</v>
      </c>
      <c r="V984">
        <v>3</v>
      </c>
      <c r="W984" t="str" cm="1">
        <f t="array" ref="W984">_xlfn.IFS(V984&lt;5, "low", AND(V984&gt;=5, V984&lt;10), "med", V984&gt;=10, "high")</f>
        <v>low</v>
      </c>
      <c r="X984">
        <v>7</v>
      </c>
      <c r="Y984">
        <v>6</v>
      </c>
      <c r="Z984">
        <v>8</v>
      </c>
      <c r="AA984">
        <f t="shared" si="76"/>
        <v>1</v>
      </c>
      <c r="AB984">
        <f t="shared" si="77"/>
        <v>0</v>
      </c>
      <c r="AC984">
        <f t="shared" si="78"/>
        <v>1</v>
      </c>
      <c r="AD984" s="1">
        <f t="shared" si="79"/>
        <v>7</v>
      </c>
    </row>
    <row r="985" spans="1:30" x14ac:dyDescent="0.35">
      <c r="A985" t="s">
        <v>34</v>
      </c>
      <c r="B985">
        <v>17</v>
      </c>
      <c r="C985" t="s">
        <v>35</v>
      </c>
      <c r="D985" t="s">
        <v>36</v>
      </c>
      <c r="E985" t="s">
        <v>44</v>
      </c>
      <c r="F985" t="s">
        <v>28</v>
      </c>
      <c r="G985" t="s">
        <v>38</v>
      </c>
      <c r="H985">
        <v>1</v>
      </c>
      <c r="I985">
        <v>0</v>
      </c>
      <c r="J985" t="s">
        <v>43</v>
      </c>
      <c r="K985" t="s">
        <v>42</v>
      </c>
      <c r="L985" t="s">
        <v>43</v>
      </c>
      <c r="M985" t="s">
        <v>43</v>
      </c>
      <c r="N985" t="s">
        <v>42</v>
      </c>
      <c r="O985">
        <v>3</v>
      </c>
      <c r="P985">
        <v>2</v>
      </c>
      <c r="Q985">
        <v>2</v>
      </c>
      <c r="R985">
        <v>1</v>
      </c>
      <c r="S985">
        <v>1</v>
      </c>
      <c r="T985">
        <f t="shared" si="75"/>
        <v>2</v>
      </c>
      <c r="U985" t="str" cm="1">
        <f t="array" ref="U985">_xlfn.IFS(T985&lt;3, "low", AND(T985&gt;=3, T985&lt;5), "med", T985&gt;=5, "high")</f>
        <v>low</v>
      </c>
      <c r="V985">
        <v>0</v>
      </c>
      <c r="W985" t="str" cm="1">
        <f t="array" ref="W985">_xlfn.IFS(V985&lt;5, "low", AND(V985&gt;=5, V985&lt;10), "med", V985&gt;=10, "high")</f>
        <v>low</v>
      </c>
      <c r="X985">
        <v>8</v>
      </c>
      <c r="Y985">
        <v>10</v>
      </c>
      <c r="Z985">
        <v>9</v>
      </c>
      <c r="AA985">
        <f t="shared" si="76"/>
        <v>0</v>
      </c>
      <c r="AB985">
        <f t="shared" si="77"/>
        <v>1</v>
      </c>
      <c r="AC985">
        <f t="shared" si="78"/>
        <v>1</v>
      </c>
      <c r="AD985" s="1">
        <f t="shared" si="79"/>
        <v>9</v>
      </c>
    </row>
    <row r="986" spans="1:30" x14ac:dyDescent="0.35">
      <c r="A986" t="s">
        <v>34</v>
      </c>
      <c r="B986">
        <v>17</v>
      </c>
      <c r="C986" t="s">
        <v>35</v>
      </c>
      <c r="D986" t="s">
        <v>47</v>
      </c>
      <c r="E986" t="s">
        <v>44</v>
      </c>
      <c r="F986" t="s">
        <v>38</v>
      </c>
      <c r="G986" t="s">
        <v>45</v>
      </c>
      <c r="H986">
        <v>1</v>
      </c>
      <c r="I986">
        <v>0</v>
      </c>
      <c r="J986" t="s">
        <v>43</v>
      </c>
      <c r="K986" t="s">
        <v>43</v>
      </c>
      <c r="L986" t="s">
        <v>43</v>
      </c>
      <c r="M986" t="s">
        <v>43</v>
      </c>
      <c r="N986" t="s">
        <v>43</v>
      </c>
      <c r="O986">
        <v>5</v>
      </c>
      <c r="P986">
        <v>5</v>
      </c>
      <c r="Q986">
        <v>1</v>
      </c>
      <c r="R986">
        <v>1</v>
      </c>
      <c r="S986">
        <v>1</v>
      </c>
      <c r="T986">
        <f t="shared" si="75"/>
        <v>2</v>
      </c>
      <c r="U986" t="str" cm="1">
        <f t="array" ref="U986">_xlfn.IFS(T986&lt;3, "low", AND(T986&gt;=3, T986&lt;5), "med", T986&gt;=5, "high")</f>
        <v>low</v>
      </c>
      <c r="V986">
        <v>0</v>
      </c>
      <c r="W986" t="str" cm="1">
        <f t="array" ref="W986">_xlfn.IFS(V986&lt;5, "low", AND(V986&gt;=5, V986&lt;10), "med", V986&gt;=10, "high")</f>
        <v>low</v>
      </c>
      <c r="X986">
        <v>7</v>
      </c>
      <c r="Y986">
        <v>10</v>
      </c>
      <c r="Z986">
        <v>10</v>
      </c>
      <c r="AA986">
        <f t="shared" si="76"/>
        <v>0</v>
      </c>
      <c r="AB986">
        <f t="shared" si="77"/>
        <v>0</v>
      </c>
      <c r="AC986">
        <f t="shared" si="78"/>
        <v>0</v>
      </c>
      <c r="AD986" s="1">
        <f t="shared" si="79"/>
        <v>9</v>
      </c>
    </row>
    <row r="987" spans="1:30" x14ac:dyDescent="0.35">
      <c r="A987" t="s">
        <v>34</v>
      </c>
      <c r="B987">
        <v>18</v>
      </c>
      <c r="C987" t="s">
        <v>35</v>
      </c>
      <c r="D987" t="s">
        <v>36</v>
      </c>
      <c r="E987" t="s">
        <v>44</v>
      </c>
      <c r="F987" t="s">
        <v>45</v>
      </c>
      <c r="G987" t="s">
        <v>45</v>
      </c>
      <c r="H987">
        <v>2</v>
      </c>
      <c r="I987">
        <v>2</v>
      </c>
      <c r="J987" t="s">
        <v>43</v>
      </c>
      <c r="K987" t="s">
        <v>43</v>
      </c>
      <c r="L987" t="s">
        <v>43</v>
      </c>
      <c r="M987" t="s">
        <v>42</v>
      </c>
      <c r="N987" t="s">
        <v>42</v>
      </c>
      <c r="O987">
        <v>3</v>
      </c>
      <c r="P987">
        <v>4</v>
      </c>
      <c r="Q987">
        <v>4</v>
      </c>
      <c r="R987">
        <v>2</v>
      </c>
      <c r="S987">
        <v>2</v>
      </c>
      <c r="T987">
        <f t="shared" si="75"/>
        <v>4</v>
      </c>
      <c r="U987" t="str" cm="1">
        <f t="array" ref="U987">_xlfn.IFS(T987&lt;3, "low", AND(T987&gt;=3, T987&lt;5), "med", T987&gt;=5, "high")</f>
        <v>med</v>
      </c>
      <c r="V987">
        <v>3</v>
      </c>
      <c r="W987" t="str" cm="1">
        <f t="array" ref="W987">_xlfn.IFS(V987&lt;5, "low", AND(V987&gt;=5, V987&lt;10), "med", V987&gt;=10, "high")</f>
        <v>low</v>
      </c>
      <c r="X987">
        <v>7</v>
      </c>
      <c r="Y987">
        <v>8</v>
      </c>
      <c r="Z987">
        <v>7</v>
      </c>
      <c r="AA987">
        <f t="shared" si="76"/>
        <v>0</v>
      </c>
      <c r="AB987">
        <f t="shared" si="77"/>
        <v>1</v>
      </c>
      <c r="AC987">
        <f t="shared" si="78"/>
        <v>1</v>
      </c>
      <c r="AD987" s="1">
        <f t="shared" si="79"/>
        <v>7.333333333333333</v>
      </c>
    </row>
    <row r="988" spans="1:30" x14ac:dyDescent="0.35">
      <c r="A988" t="s">
        <v>34</v>
      </c>
      <c r="B988">
        <v>18</v>
      </c>
      <c r="C988" t="s">
        <v>35</v>
      </c>
      <c r="D988" t="s">
        <v>36</v>
      </c>
      <c r="E988" t="s">
        <v>44</v>
      </c>
      <c r="F988" t="s">
        <v>48</v>
      </c>
      <c r="G988" t="s">
        <v>38</v>
      </c>
      <c r="H988">
        <v>2</v>
      </c>
      <c r="I988">
        <v>0</v>
      </c>
      <c r="J988" t="s">
        <v>43</v>
      </c>
      <c r="K988" t="s">
        <v>43</v>
      </c>
      <c r="L988" t="s">
        <v>43</v>
      </c>
      <c r="M988" t="s">
        <v>42</v>
      </c>
      <c r="N988" t="s">
        <v>43</v>
      </c>
      <c r="O988">
        <v>4</v>
      </c>
      <c r="P988">
        <v>3</v>
      </c>
      <c r="Q988">
        <v>5</v>
      </c>
      <c r="R988">
        <v>1</v>
      </c>
      <c r="S988">
        <v>1</v>
      </c>
      <c r="T988">
        <f t="shared" si="75"/>
        <v>2</v>
      </c>
      <c r="U988" t="str" cm="1">
        <f t="array" ref="U988">_xlfn.IFS(T988&lt;3, "low", AND(T988&gt;=3, T988&lt;5), "med", T988&gt;=5, "high")</f>
        <v>low</v>
      </c>
      <c r="V988">
        <v>2</v>
      </c>
      <c r="W988" t="str" cm="1">
        <f t="array" ref="W988">_xlfn.IFS(V988&lt;5, "low", AND(V988&gt;=5, V988&lt;10), "med", V988&gt;=10, "high")</f>
        <v>low</v>
      </c>
      <c r="X988">
        <v>12</v>
      </c>
      <c r="Y988">
        <v>13</v>
      </c>
      <c r="Z988">
        <v>14</v>
      </c>
      <c r="AA988">
        <f t="shared" si="76"/>
        <v>0</v>
      </c>
      <c r="AB988">
        <f t="shared" si="77"/>
        <v>0</v>
      </c>
      <c r="AC988">
        <f t="shared" si="78"/>
        <v>0</v>
      </c>
      <c r="AD988" s="1">
        <f t="shared" si="79"/>
        <v>13</v>
      </c>
    </row>
    <row r="989" spans="1:30" x14ac:dyDescent="0.35">
      <c r="A989" t="s">
        <v>34</v>
      </c>
      <c r="B989">
        <v>17</v>
      </c>
      <c r="C989" t="s">
        <v>35</v>
      </c>
      <c r="D989" t="s">
        <v>36</v>
      </c>
      <c r="E989" t="s">
        <v>44</v>
      </c>
      <c r="F989" t="s">
        <v>48</v>
      </c>
      <c r="G989" t="s">
        <v>48</v>
      </c>
      <c r="H989">
        <v>1</v>
      </c>
      <c r="I989">
        <v>0</v>
      </c>
      <c r="J989" t="s">
        <v>43</v>
      </c>
      <c r="K989" t="s">
        <v>42</v>
      </c>
      <c r="L989" t="s">
        <v>43</v>
      </c>
      <c r="M989" t="s">
        <v>43</v>
      </c>
      <c r="N989" t="s">
        <v>43</v>
      </c>
      <c r="O989">
        <v>4</v>
      </c>
      <c r="P989">
        <v>4</v>
      </c>
      <c r="Q989">
        <v>3</v>
      </c>
      <c r="R989">
        <v>1</v>
      </c>
      <c r="S989">
        <v>1</v>
      </c>
      <c r="T989">
        <f t="shared" si="75"/>
        <v>2</v>
      </c>
      <c r="U989" t="str" cm="1">
        <f t="array" ref="U989">_xlfn.IFS(T989&lt;3, "low", AND(T989&gt;=3, T989&lt;5), "med", T989&gt;=5, "high")</f>
        <v>low</v>
      </c>
      <c r="V989">
        <v>0</v>
      </c>
      <c r="W989" t="str" cm="1">
        <f t="array" ref="W989">_xlfn.IFS(V989&lt;5, "low", AND(V989&gt;=5, V989&lt;10), "med", V989&gt;=10, "high")</f>
        <v>low</v>
      </c>
      <c r="X989">
        <v>11</v>
      </c>
      <c r="Y989">
        <v>12</v>
      </c>
      <c r="Z989">
        <v>13</v>
      </c>
      <c r="AA989">
        <f t="shared" si="76"/>
        <v>0</v>
      </c>
      <c r="AB989">
        <f t="shared" si="77"/>
        <v>0</v>
      </c>
      <c r="AC989">
        <f t="shared" si="78"/>
        <v>0</v>
      </c>
      <c r="AD989" s="1">
        <f t="shared" si="79"/>
        <v>12</v>
      </c>
    </row>
    <row r="990" spans="1:30" x14ac:dyDescent="0.35">
      <c r="A990" t="s">
        <v>34</v>
      </c>
      <c r="B990">
        <v>18</v>
      </c>
      <c r="C990" t="s">
        <v>35</v>
      </c>
      <c r="D990" t="s">
        <v>47</v>
      </c>
      <c r="E990" t="s">
        <v>37</v>
      </c>
      <c r="F990" t="s">
        <v>38</v>
      </c>
      <c r="G990" t="s">
        <v>45</v>
      </c>
      <c r="H990">
        <v>2</v>
      </c>
      <c r="I990">
        <v>0</v>
      </c>
      <c r="J990" t="s">
        <v>43</v>
      </c>
      <c r="K990" t="s">
        <v>43</v>
      </c>
      <c r="L990" t="s">
        <v>43</v>
      </c>
      <c r="M990" t="s">
        <v>43</v>
      </c>
      <c r="N990" t="s">
        <v>43</v>
      </c>
      <c r="O990">
        <v>4</v>
      </c>
      <c r="P990">
        <v>4</v>
      </c>
      <c r="Q990">
        <v>3</v>
      </c>
      <c r="R990">
        <v>1</v>
      </c>
      <c r="S990">
        <v>2</v>
      </c>
      <c r="T990">
        <f t="shared" si="75"/>
        <v>3</v>
      </c>
      <c r="U990" t="str" cm="1">
        <f t="array" ref="U990">_xlfn.IFS(T990&lt;3, "low", AND(T990&gt;=3, T990&lt;5), "med", T990&gt;=5, "high")</f>
        <v>med</v>
      </c>
      <c r="V990">
        <v>0</v>
      </c>
      <c r="W990" t="str" cm="1">
        <f t="array" ref="W990">_xlfn.IFS(V990&lt;5, "low", AND(V990&gt;=5, V990&lt;10), "med", V990&gt;=10, "high")</f>
        <v>low</v>
      </c>
      <c r="X990">
        <v>12</v>
      </c>
      <c r="Y990">
        <v>13</v>
      </c>
      <c r="Z990">
        <v>14</v>
      </c>
      <c r="AA990">
        <f t="shared" si="76"/>
        <v>0</v>
      </c>
      <c r="AB990">
        <f t="shared" si="77"/>
        <v>0</v>
      </c>
      <c r="AC990">
        <f t="shared" si="78"/>
        <v>0</v>
      </c>
      <c r="AD990" s="1">
        <f t="shared" si="79"/>
        <v>13</v>
      </c>
    </row>
    <row r="991" spans="1:30" x14ac:dyDescent="0.35">
      <c r="A991" t="s">
        <v>34</v>
      </c>
      <c r="B991">
        <v>18</v>
      </c>
      <c r="C991" t="s">
        <v>35</v>
      </c>
      <c r="D991" t="s">
        <v>36</v>
      </c>
      <c r="E991" t="s">
        <v>44</v>
      </c>
      <c r="F991" t="s">
        <v>39</v>
      </c>
      <c r="G991" t="s">
        <v>39</v>
      </c>
      <c r="H991">
        <v>2</v>
      </c>
      <c r="I991">
        <v>0</v>
      </c>
      <c r="J991" t="s">
        <v>43</v>
      </c>
      <c r="K991" t="s">
        <v>43</v>
      </c>
      <c r="L991" t="s">
        <v>43</v>
      </c>
      <c r="M991" t="s">
        <v>42</v>
      </c>
      <c r="N991" t="s">
        <v>43</v>
      </c>
      <c r="O991">
        <v>4</v>
      </c>
      <c r="P991">
        <v>3</v>
      </c>
      <c r="Q991">
        <v>5</v>
      </c>
      <c r="R991">
        <v>1</v>
      </c>
      <c r="S991">
        <v>2</v>
      </c>
      <c r="T991">
        <f t="shared" si="75"/>
        <v>3</v>
      </c>
      <c r="U991" t="str" cm="1">
        <f t="array" ref="U991">_xlfn.IFS(T991&lt;3, "low", AND(T991&gt;=3, T991&lt;5), "med", T991&gt;=5, "high")</f>
        <v>med</v>
      </c>
      <c r="V991">
        <v>0</v>
      </c>
      <c r="W991" t="str" cm="1">
        <f t="array" ref="W991">_xlfn.IFS(V991&lt;5, "low", AND(V991&gt;=5, V991&lt;10), "med", V991&gt;=10, "high")</f>
        <v>low</v>
      </c>
      <c r="X991">
        <v>18</v>
      </c>
      <c r="Y991">
        <v>18</v>
      </c>
      <c r="Z991">
        <v>18</v>
      </c>
      <c r="AA991">
        <f t="shared" si="76"/>
        <v>0</v>
      </c>
      <c r="AB991">
        <f t="shared" si="77"/>
        <v>0</v>
      </c>
      <c r="AC991">
        <f t="shared" si="78"/>
        <v>0</v>
      </c>
      <c r="AD991" s="1">
        <f t="shared" si="79"/>
        <v>18</v>
      </c>
    </row>
    <row r="992" spans="1:30" x14ac:dyDescent="0.35">
      <c r="A992" t="s">
        <v>50</v>
      </c>
      <c r="B992">
        <v>18</v>
      </c>
      <c r="C992" t="s">
        <v>35</v>
      </c>
      <c r="D992" t="s">
        <v>47</v>
      </c>
      <c r="E992" t="s">
        <v>44</v>
      </c>
      <c r="F992" t="s">
        <v>48</v>
      </c>
      <c r="G992" t="s">
        <v>45</v>
      </c>
      <c r="H992">
        <v>1</v>
      </c>
      <c r="I992">
        <v>0</v>
      </c>
      <c r="J992" t="s">
        <v>43</v>
      </c>
      <c r="K992" t="s">
        <v>42</v>
      </c>
      <c r="L992" t="s">
        <v>43</v>
      </c>
      <c r="M992" t="s">
        <v>42</v>
      </c>
      <c r="N992" t="s">
        <v>43</v>
      </c>
      <c r="O992">
        <v>5</v>
      </c>
      <c r="P992">
        <v>4</v>
      </c>
      <c r="Q992">
        <v>5</v>
      </c>
      <c r="R992">
        <v>1</v>
      </c>
      <c r="S992">
        <v>1</v>
      </c>
      <c r="T992">
        <f t="shared" si="75"/>
        <v>2</v>
      </c>
      <c r="U992" t="str" cm="1">
        <f t="array" ref="U992">_xlfn.IFS(T992&lt;3, "low", AND(T992&gt;=3, T992&lt;5), "med", T992&gt;=5, "high")</f>
        <v>low</v>
      </c>
      <c r="V992">
        <v>3</v>
      </c>
      <c r="W992" t="str" cm="1">
        <f t="array" ref="W992">_xlfn.IFS(V992&lt;5, "low", AND(V992&gt;=5, V992&lt;10), "med", V992&gt;=10, "high")</f>
        <v>low</v>
      </c>
      <c r="X992">
        <v>17</v>
      </c>
      <c r="Y992">
        <v>17</v>
      </c>
      <c r="Z992">
        <v>17</v>
      </c>
      <c r="AA992">
        <f t="shared" si="76"/>
        <v>0</v>
      </c>
      <c r="AB992">
        <f t="shared" si="77"/>
        <v>0</v>
      </c>
      <c r="AC992">
        <f t="shared" si="78"/>
        <v>0</v>
      </c>
      <c r="AD992" s="1">
        <f t="shared" si="79"/>
        <v>17</v>
      </c>
    </row>
    <row r="993" spans="1:30" x14ac:dyDescent="0.35">
      <c r="A993" t="s">
        <v>34</v>
      </c>
      <c r="B993">
        <v>17</v>
      </c>
      <c r="C993" t="s">
        <v>35</v>
      </c>
      <c r="D993" t="s">
        <v>36</v>
      </c>
      <c r="E993" t="s">
        <v>44</v>
      </c>
      <c r="F993" t="s">
        <v>45</v>
      </c>
      <c r="G993" t="s">
        <v>45</v>
      </c>
      <c r="H993">
        <v>2</v>
      </c>
      <c r="I993">
        <v>0</v>
      </c>
      <c r="J993" t="s">
        <v>43</v>
      </c>
      <c r="K993" t="s">
        <v>42</v>
      </c>
      <c r="L993" t="s">
        <v>43</v>
      </c>
      <c r="M993" t="s">
        <v>43</v>
      </c>
      <c r="N993" t="s">
        <v>43</v>
      </c>
      <c r="O993">
        <v>4</v>
      </c>
      <c r="P993">
        <v>3</v>
      </c>
      <c r="Q993">
        <v>3</v>
      </c>
      <c r="R993">
        <v>1</v>
      </c>
      <c r="S993">
        <v>2</v>
      </c>
      <c r="T993">
        <f t="shared" si="75"/>
        <v>3</v>
      </c>
      <c r="U993" t="str" cm="1">
        <f t="array" ref="U993">_xlfn.IFS(T993&lt;3, "low", AND(T993&gt;=3, T993&lt;5), "med", T993&gt;=5, "high")</f>
        <v>med</v>
      </c>
      <c r="V993">
        <v>0</v>
      </c>
      <c r="W993" t="str" cm="1">
        <f t="array" ref="W993">_xlfn.IFS(V993&lt;5, "low", AND(V993&gt;=5, V993&lt;10), "med", V993&gt;=10, "high")</f>
        <v>low</v>
      </c>
      <c r="X993">
        <v>17</v>
      </c>
      <c r="Y993">
        <v>18</v>
      </c>
      <c r="Z993">
        <v>18</v>
      </c>
      <c r="AA993">
        <f t="shared" si="76"/>
        <v>0</v>
      </c>
      <c r="AB993">
        <f t="shared" si="77"/>
        <v>0</v>
      </c>
      <c r="AC993">
        <f t="shared" si="78"/>
        <v>0</v>
      </c>
      <c r="AD993" s="1">
        <f t="shared" si="79"/>
        <v>17.666666666666668</v>
      </c>
    </row>
    <row r="994" spans="1:30" x14ac:dyDescent="0.35">
      <c r="A994" t="s">
        <v>34</v>
      </c>
      <c r="B994">
        <v>18</v>
      </c>
      <c r="C994" t="s">
        <v>52</v>
      </c>
      <c r="D994" t="s">
        <v>36</v>
      </c>
      <c r="E994" t="s">
        <v>44</v>
      </c>
      <c r="F994" t="s">
        <v>38</v>
      </c>
      <c r="G994" t="s">
        <v>45</v>
      </c>
      <c r="H994">
        <v>2</v>
      </c>
      <c r="I994">
        <v>1</v>
      </c>
      <c r="J994" t="s">
        <v>43</v>
      </c>
      <c r="K994" t="s">
        <v>43</v>
      </c>
      <c r="L994" t="s">
        <v>43</v>
      </c>
      <c r="M994" t="s">
        <v>42</v>
      </c>
      <c r="N994" t="s">
        <v>42</v>
      </c>
      <c r="O994">
        <v>4</v>
      </c>
      <c r="P994">
        <v>3</v>
      </c>
      <c r="Q994">
        <v>3</v>
      </c>
      <c r="R994">
        <v>1</v>
      </c>
      <c r="S994">
        <v>1</v>
      </c>
      <c r="T994">
        <f t="shared" si="75"/>
        <v>2</v>
      </c>
      <c r="U994" t="str" cm="1">
        <f t="array" ref="U994">_xlfn.IFS(T994&lt;3, "low", AND(T994&gt;=3, T994&lt;5), "med", T994&gt;=5, "high")</f>
        <v>low</v>
      </c>
      <c r="V994">
        <v>0</v>
      </c>
      <c r="W994" t="str" cm="1">
        <f t="array" ref="W994">_xlfn.IFS(V994&lt;5, "low", AND(V994&gt;=5, V994&lt;10), "med", V994&gt;=10, "high")</f>
        <v>low</v>
      </c>
      <c r="X994">
        <v>9</v>
      </c>
      <c r="Y994">
        <v>0</v>
      </c>
      <c r="Z994">
        <v>0</v>
      </c>
      <c r="AA994">
        <f t="shared" si="76"/>
        <v>1</v>
      </c>
      <c r="AB994">
        <f t="shared" si="77"/>
        <v>0</v>
      </c>
      <c r="AC994">
        <f t="shared" si="78"/>
        <v>1</v>
      </c>
      <c r="AD994" s="1">
        <f t="shared" si="79"/>
        <v>3</v>
      </c>
    </row>
    <row r="995" spans="1:30" x14ac:dyDescent="0.35">
      <c r="A995" t="s">
        <v>50</v>
      </c>
      <c r="B995">
        <v>18</v>
      </c>
      <c r="C995" t="s">
        <v>35</v>
      </c>
      <c r="D995" t="s">
        <v>47</v>
      </c>
      <c r="E995" t="s">
        <v>44</v>
      </c>
      <c r="F995" t="s">
        <v>38</v>
      </c>
      <c r="G995" t="s">
        <v>48</v>
      </c>
      <c r="H995">
        <v>1</v>
      </c>
      <c r="I995">
        <v>0</v>
      </c>
      <c r="J995" t="s">
        <v>43</v>
      </c>
      <c r="K995" t="s">
        <v>42</v>
      </c>
      <c r="L995" t="s">
        <v>43</v>
      </c>
      <c r="M995" t="s">
        <v>43</v>
      </c>
      <c r="N995" t="s">
        <v>43</v>
      </c>
      <c r="O995">
        <v>4</v>
      </c>
      <c r="P995">
        <v>1</v>
      </c>
      <c r="Q995">
        <v>4</v>
      </c>
      <c r="R995">
        <v>5</v>
      </c>
      <c r="S995">
        <v>5</v>
      </c>
      <c r="T995">
        <f t="shared" si="75"/>
        <v>10</v>
      </c>
      <c r="U995" t="str" cm="1">
        <f t="array" ref="U995">_xlfn.IFS(T995&lt;3, "low", AND(T995&gt;=3, T995&lt;5), "med", T995&gt;=5, "high")</f>
        <v>high</v>
      </c>
      <c r="V995">
        <v>8</v>
      </c>
      <c r="W995" t="str" cm="1">
        <f t="array" ref="W995">_xlfn.IFS(V995&lt;5, "low", AND(V995&gt;=5, V995&lt;10), "med", V995&gt;=10, "high")</f>
        <v>med</v>
      </c>
      <c r="X995">
        <v>10</v>
      </c>
      <c r="Y995">
        <v>11</v>
      </c>
      <c r="Z995">
        <v>11</v>
      </c>
      <c r="AA995">
        <f t="shared" si="76"/>
        <v>0</v>
      </c>
      <c r="AB995">
        <f t="shared" si="77"/>
        <v>0</v>
      </c>
      <c r="AC995">
        <f t="shared" si="78"/>
        <v>0</v>
      </c>
      <c r="AD995" s="1">
        <f t="shared" si="79"/>
        <v>10.666666666666666</v>
      </c>
    </row>
    <row r="996" spans="1:30" x14ac:dyDescent="0.35">
      <c r="A996" t="s">
        <v>50</v>
      </c>
      <c r="B996">
        <v>18</v>
      </c>
      <c r="C996" t="s">
        <v>52</v>
      </c>
      <c r="D996" t="s">
        <v>36</v>
      </c>
      <c r="E996" t="s">
        <v>44</v>
      </c>
      <c r="F996" t="s">
        <v>38</v>
      </c>
      <c r="G996" t="s">
        <v>48</v>
      </c>
      <c r="H996">
        <v>1</v>
      </c>
      <c r="I996">
        <v>0</v>
      </c>
      <c r="J996" t="s">
        <v>43</v>
      </c>
      <c r="K996" t="s">
        <v>42</v>
      </c>
      <c r="L996" t="s">
        <v>42</v>
      </c>
      <c r="M996" t="s">
        <v>42</v>
      </c>
      <c r="N996" t="s">
        <v>42</v>
      </c>
      <c r="O996">
        <v>2</v>
      </c>
      <c r="P996">
        <v>5</v>
      </c>
      <c r="Q996">
        <v>5</v>
      </c>
      <c r="R996">
        <v>1</v>
      </c>
      <c r="S996">
        <v>1</v>
      </c>
      <c r="T996">
        <f t="shared" si="75"/>
        <v>2</v>
      </c>
      <c r="U996" t="str" cm="1">
        <f t="array" ref="U996">_xlfn.IFS(T996&lt;3, "low", AND(T996&gt;=3, T996&lt;5), "med", T996&gt;=5, "high")</f>
        <v>low</v>
      </c>
      <c r="V996">
        <v>5</v>
      </c>
      <c r="W996" t="str" cm="1">
        <f t="array" ref="W996">_xlfn.IFS(V996&lt;5, "low", AND(V996&gt;=5, V996&lt;10), "med", V996&gt;=10, "high")</f>
        <v>med</v>
      </c>
      <c r="X996">
        <v>12</v>
      </c>
      <c r="Y996">
        <v>13</v>
      </c>
      <c r="Z996">
        <v>14</v>
      </c>
      <c r="AA996">
        <f t="shared" si="76"/>
        <v>0</v>
      </c>
      <c r="AB996">
        <f t="shared" si="77"/>
        <v>0</v>
      </c>
      <c r="AC996">
        <f t="shared" si="78"/>
        <v>0</v>
      </c>
      <c r="AD996" s="1">
        <f t="shared" si="79"/>
        <v>13</v>
      </c>
    </row>
    <row r="997" spans="1:30" x14ac:dyDescent="0.35">
      <c r="A997" t="s">
        <v>50</v>
      </c>
      <c r="B997">
        <v>17</v>
      </c>
      <c r="C997" t="s">
        <v>52</v>
      </c>
      <c r="D997" t="s">
        <v>36</v>
      </c>
      <c r="E997" t="s">
        <v>44</v>
      </c>
      <c r="F997" t="s">
        <v>45</v>
      </c>
      <c r="G997" t="s">
        <v>48</v>
      </c>
      <c r="H997">
        <v>1</v>
      </c>
      <c r="I997">
        <v>0</v>
      </c>
      <c r="J997" t="s">
        <v>43</v>
      </c>
      <c r="K997" t="s">
        <v>43</v>
      </c>
      <c r="L997" t="s">
        <v>43</v>
      </c>
      <c r="M997" t="s">
        <v>43</v>
      </c>
      <c r="N997" t="s">
        <v>43</v>
      </c>
      <c r="O997">
        <v>4</v>
      </c>
      <c r="P997">
        <v>2</v>
      </c>
      <c r="Q997">
        <v>3</v>
      </c>
      <c r="R997">
        <v>3</v>
      </c>
      <c r="S997">
        <v>4</v>
      </c>
      <c r="T997">
        <f t="shared" si="75"/>
        <v>7</v>
      </c>
      <c r="U997" t="str" cm="1">
        <f t="array" ref="U997">_xlfn.IFS(T997&lt;3, "low", AND(T997&gt;=3, T997&lt;5), "med", T997&gt;=5, "high")</f>
        <v>high</v>
      </c>
      <c r="V997">
        <v>4</v>
      </c>
      <c r="W997" t="str" cm="1">
        <f t="array" ref="W997">_xlfn.IFS(V997&lt;5, "low", AND(V997&gt;=5, V997&lt;10), "med", V997&gt;=10, "high")</f>
        <v>low</v>
      </c>
      <c r="X997">
        <v>12</v>
      </c>
      <c r="Y997">
        <v>13</v>
      </c>
      <c r="Z997">
        <v>14</v>
      </c>
      <c r="AA997">
        <f t="shared" si="76"/>
        <v>0</v>
      </c>
      <c r="AB997">
        <f t="shared" si="77"/>
        <v>0</v>
      </c>
      <c r="AC997">
        <f t="shared" si="78"/>
        <v>0</v>
      </c>
      <c r="AD997" s="1">
        <f t="shared" si="79"/>
        <v>13</v>
      </c>
    </row>
    <row r="998" spans="1:30" x14ac:dyDescent="0.35">
      <c r="A998" t="s">
        <v>34</v>
      </c>
      <c r="B998">
        <v>18</v>
      </c>
      <c r="C998" t="s">
        <v>35</v>
      </c>
      <c r="D998" t="s">
        <v>36</v>
      </c>
      <c r="E998" t="s">
        <v>44</v>
      </c>
      <c r="F998" t="s">
        <v>45</v>
      </c>
      <c r="G998" t="s">
        <v>45</v>
      </c>
      <c r="H998">
        <v>2</v>
      </c>
      <c r="I998">
        <v>0</v>
      </c>
      <c r="J998" t="s">
        <v>43</v>
      </c>
      <c r="K998" t="s">
        <v>42</v>
      </c>
      <c r="L998" t="s">
        <v>43</v>
      </c>
      <c r="M998" t="s">
        <v>43</v>
      </c>
      <c r="N998" t="s">
        <v>42</v>
      </c>
      <c r="O998">
        <v>1</v>
      </c>
      <c r="P998">
        <v>3</v>
      </c>
      <c r="Q998">
        <v>1</v>
      </c>
      <c r="R998">
        <v>1</v>
      </c>
      <c r="S998">
        <v>1</v>
      </c>
      <c r="T998">
        <f t="shared" si="75"/>
        <v>2</v>
      </c>
      <c r="U998" t="str" cm="1">
        <f t="array" ref="U998">_xlfn.IFS(T998&lt;3, "low", AND(T998&gt;=3, T998&lt;5), "med", T998&gt;=5, "high")</f>
        <v>low</v>
      </c>
      <c r="V998">
        <v>4</v>
      </c>
      <c r="W998" t="str" cm="1">
        <f t="array" ref="W998">_xlfn.IFS(V998&lt;5, "low", AND(V998&gt;=5, V998&lt;10), "med", V998&gt;=10, "high")</f>
        <v>low</v>
      </c>
      <c r="X998">
        <v>8</v>
      </c>
      <c r="Y998">
        <v>8</v>
      </c>
      <c r="Z998">
        <v>10</v>
      </c>
      <c r="AA998">
        <f t="shared" si="76"/>
        <v>0</v>
      </c>
      <c r="AB998">
        <f t="shared" si="77"/>
        <v>0</v>
      </c>
      <c r="AC998">
        <f t="shared" si="78"/>
        <v>0</v>
      </c>
      <c r="AD998" s="1">
        <f t="shared" si="79"/>
        <v>8.6666666666666661</v>
      </c>
    </row>
    <row r="999" spans="1:30" x14ac:dyDescent="0.35">
      <c r="A999" t="s">
        <v>34</v>
      </c>
      <c r="B999">
        <v>18</v>
      </c>
      <c r="C999" t="s">
        <v>35</v>
      </c>
      <c r="D999" t="s">
        <v>47</v>
      </c>
      <c r="E999" t="s">
        <v>44</v>
      </c>
      <c r="F999" t="s">
        <v>48</v>
      </c>
      <c r="G999" t="s">
        <v>48</v>
      </c>
      <c r="H999">
        <v>3</v>
      </c>
      <c r="I999">
        <v>0</v>
      </c>
      <c r="J999" t="s">
        <v>43</v>
      </c>
      <c r="K999" t="s">
        <v>43</v>
      </c>
      <c r="L999" t="s">
        <v>43</v>
      </c>
      <c r="M999" t="s">
        <v>43</v>
      </c>
      <c r="N999" t="s">
        <v>42</v>
      </c>
      <c r="O999">
        <v>5</v>
      </c>
      <c r="P999">
        <v>4</v>
      </c>
      <c r="Q999">
        <v>5</v>
      </c>
      <c r="R999">
        <v>1</v>
      </c>
      <c r="S999">
        <v>4</v>
      </c>
      <c r="T999">
        <f t="shared" si="75"/>
        <v>5</v>
      </c>
      <c r="U999" t="str" cm="1">
        <f t="array" ref="U999">_xlfn.IFS(T999&lt;3, "low", AND(T999&gt;=3, T999&lt;5), "med", T999&gt;=5, "high")</f>
        <v>high</v>
      </c>
      <c r="V999">
        <v>0</v>
      </c>
      <c r="W999" t="str" cm="1">
        <f t="array" ref="W999">_xlfn.IFS(V999&lt;5, "low", AND(V999&gt;=5, V999&lt;10), "med", V999&gt;=10, "high")</f>
        <v>low</v>
      </c>
      <c r="X999">
        <v>11</v>
      </c>
      <c r="Y999">
        <v>12</v>
      </c>
      <c r="Z999">
        <v>13</v>
      </c>
      <c r="AA999">
        <f t="shared" si="76"/>
        <v>0</v>
      </c>
      <c r="AB999">
        <f t="shared" si="77"/>
        <v>0</v>
      </c>
      <c r="AC999">
        <f t="shared" si="78"/>
        <v>0</v>
      </c>
      <c r="AD999" s="1">
        <f t="shared" si="79"/>
        <v>12</v>
      </c>
    </row>
    <row r="1000" spans="1:30" x14ac:dyDescent="0.35">
      <c r="A1000" t="s">
        <v>34</v>
      </c>
      <c r="B1000">
        <v>18</v>
      </c>
      <c r="C1000" t="s">
        <v>52</v>
      </c>
      <c r="D1000" t="s">
        <v>47</v>
      </c>
      <c r="E1000" t="s">
        <v>37</v>
      </c>
      <c r="F1000" t="s">
        <v>39</v>
      </c>
      <c r="G1000" t="s">
        <v>45</v>
      </c>
      <c r="H1000">
        <v>2</v>
      </c>
      <c r="I1000">
        <v>0</v>
      </c>
      <c r="J1000" t="s">
        <v>43</v>
      </c>
      <c r="K1000" t="s">
        <v>43</v>
      </c>
      <c r="L1000" t="s">
        <v>43</v>
      </c>
      <c r="M1000" t="s">
        <v>42</v>
      </c>
      <c r="N1000" t="s">
        <v>42</v>
      </c>
      <c r="O1000">
        <v>5</v>
      </c>
      <c r="P1000">
        <v>3</v>
      </c>
      <c r="Q1000">
        <v>1</v>
      </c>
      <c r="R1000">
        <v>1</v>
      </c>
      <c r="S1000">
        <v>1</v>
      </c>
      <c r="T1000">
        <f t="shared" si="75"/>
        <v>2</v>
      </c>
      <c r="U1000" t="str" cm="1">
        <f t="array" ref="U1000">_xlfn.IFS(T1000&lt;3, "low", AND(T1000&gt;=3, T1000&lt;5), "med", T1000&gt;=5, "high")</f>
        <v>low</v>
      </c>
      <c r="V1000">
        <v>0</v>
      </c>
      <c r="W1000" t="str" cm="1">
        <f t="array" ref="W1000">_xlfn.IFS(V1000&lt;5, "low", AND(V1000&gt;=5, V1000&lt;10), "med", V1000&gt;=10, "high")</f>
        <v>low</v>
      </c>
      <c r="X1000">
        <v>5</v>
      </c>
      <c r="Y1000">
        <v>0</v>
      </c>
      <c r="Z1000">
        <v>0</v>
      </c>
      <c r="AA1000">
        <f t="shared" si="76"/>
        <v>1</v>
      </c>
      <c r="AB1000">
        <f t="shared" si="77"/>
        <v>0</v>
      </c>
      <c r="AC1000">
        <f t="shared" si="78"/>
        <v>1</v>
      </c>
      <c r="AD1000" s="1">
        <f t="shared" si="79"/>
        <v>1.6666666666666667</v>
      </c>
    </row>
    <row r="1001" spans="1:30" x14ac:dyDescent="0.35">
      <c r="A1001" t="s">
        <v>34</v>
      </c>
      <c r="B1001">
        <v>18</v>
      </c>
      <c r="C1001" t="s">
        <v>35</v>
      </c>
      <c r="D1001" t="s">
        <v>36</v>
      </c>
      <c r="E1001" t="s">
        <v>44</v>
      </c>
      <c r="F1001" t="s">
        <v>38</v>
      </c>
      <c r="G1001" t="s">
        <v>48</v>
      </c>
      <c r="H1001">
        <v>2</v>
      </c>
      <c r="I1001">
        <v>1</v>
      </c>
      <c r="J1001" t="s">
        <v>43</v>
      </c>
      <c r="K1001" t="s">
        <v>43</v>
      </c>
      <c r="L1001" t="s">
        <v>43</v>
      </c>
      <c r="M1001" t="s">
        <v>43</v>
      </c>
      <c r="N1001" t="s">
        <v>43</v>
      </c>
      <c r="O1001">
        <v>4</v>
      </c>
      <c r="P1001">
        <v>4</v>
      </c>
      <c r="Q1001">
        <v>2</v>
      </c>
      <c r="R1001">
        <v>1</v>
      </c>
      <c r="S1001">
        <v>2</v>
      </c>
      <c r="T1001">
        <f t="shared" si="75"/>
        <v>3</v>
      </c>
      <c r="U1001" t="str" cm="1">
        <f t="array" ref="U1001">_xlfn.IFS(T1001&lt;3, "low", AND(T1001&gt;=3, T1001&lt;5), "med", T1001&gt;=5, "high")</f>
        <v>med</v>
      </c>
      <c r="V1001">
        <v>2</v>
      </c>
      <c r="W1001" t="str" cm="1">
        <f t="array" ref="W1001">_xlfn.IFS(V1001&lt;5, "low", AND(V1001&gt;=5, V1001&lt;10), "med", V1001&gt;=10, "high")</f>
        <v>low</v>
      </c>
      <c r="X1001">
        <v>9</v>
      </c>
      <c r="Y1001">
        <v>10</v>
      </c>
      <c r="Z1001">
        <v>10</v>
      </c>
      <c r="AA1001">
        <f t="shared" si="76"/>
        <v>0</v>
      </c>
      <c r="AB1001">
        <f t="shared" si="77"/>
        <v>0</v>
      </c>
      <c r="AC1001">
        <f t="shared" si="78"/>
        <v>0</v>
      </c>
      <c r="AD1001" s="1">
        <f t="shared" si="79"/>
        <v>9.6666666666666661</v>
      </c>
    </row>
    <row r="1002" spans="1:30" x14ac:dyDescent="0.35">
      <c r="A1002" t="s">
        <v>34</v>
      </c>
      <c r="B1002">
        <v>19</v>
      </c>
      <c r="C1002" t="s">
        <v>35</v>
      </c>
      <c r="D1002" t="s">
        <v>36</v>
      </c>
      <c r="E1002" t="s">
        <v>44</v>
      </c>
      <c r="F1002" t="s">
        <v>38</v>
      </c>
      <c r="G1002" t="s">
        <v>48</v>
      </c>
      <c r="H1002">
        <v>1</v>
      </c>
      <c r="I1002">
        <v>1</v>
      </c>
      <c r="J1002" t="s">
        <v>43</v>
      </c>
      <c r="K1002" t="s">
        <v>43</v>
      </c>
      <c r="L1002" t="s">
        <v>43</v>
      </c>
      <c r="M1002" t="s">
        <v>43</v>
      </c>
      <c r="N1002" t="s">
        <v>43</v>
      </c>
      <c r="O1002">
        <v>5</v>
      </c>
      <c r="P1002">
        <v>5</v>
      </c>
      <c r="Q1002">
        <v>5</v>
      </c>
      <c r="R1002">
        <v>2</v>
      </c>
      <c r="S1002">
        <v>3</v>
      </c>
      <c r="T1002">
        <f t="shared" si="75"/>
        <v>5</v>
      </c>
      <c r="U1002" t="str" cm="1">
        <f t="array" ref="U1002">_xlfn.IFS(T1002&lt;3, "low", AND(T1002&gt;=3, T1002&lt;5), "med", T1002&gt;=5, "high")</f>
        <v>high</v>
      </c>
      <c r="V1002">
        <v>0</v>
      </c>
      <c r="W1002" t="str" cm="1">
        <f t="array" ref="W1002">_xlfn.IFS(V1002&lt;5, "low", AND(V1002&gt;=5, V1002&lt;10), "med", V1002&gt;=10, "high")</f>
        <v>low</v>
      </c>
      <c r="X1002">
        <v>5</v>
      </c>
      <c r="Y1002">
        <v>0</v>
      </c>
      <c r="Z1002">
        <v>0</v>
      </c>
      <c r="AA1002">
        <f t="shared" si="76"/>
        <v>1</v>
      </c>
      <c r="AB1002">
        <f t="shared" si="77"/>
        <v>0</v>
      </c>
      <c r="AC1002">
        <f t="shared" si="78"/>
        <v>1</v>
      </c>
      <c r="AD1002" s="1">
        <f t="shared" si="79"/>
        <v>1.6666666666666667</v>
      </c>
    </row>
    <row r="1003" spans="1:30" x14ac:dyDescent="0.35">
      <c r="A1003" t="s">
        <v>34</v>
      </c>
      <c r="B1003">
        <v>17</v>
      </c>
      <c r="C1003" t="s">
        <v>35</v>
      </c>
      <c r="D1003" t="s">
        <v>36</v>
      </c>
      <c r="E1003" t="s">
        <v>44</v>
      </c>
      <c r="F1003" t="s">
        <v>39</v>
      </c>
      <c r="G1003" t="s">
        <v>45</v>
      </c>
      <c r="H1003">
        <v>4</v>
      </c>
      <c r="I1003">
        <v>0</v>
      </c>
      <c r="J1003" t="s">
        <v>43</v>
      </c>
      <c r="K1003" t="s">
        <v>43</v>
      </c>
      <c r="L1003" t="s">
        <v>43</v>
      </c>
      <c r="M1003" t="s">
        <v>43</v>
      </c>
      <c r="N1003" t="s">
        <v>42</v>
      </c>
      <c r="O1003">
        <v>4</v>
      </c>
      <c r="P1003">
        <v>2</v>
      </c>
      <c r="Q1003">
        <v>3</v>
      </c>
      <c r="R1003">
        <v>3</v>
      </c>
      <c r="S1003">
        <v>1</v>
      </c>
      <c r="T1003">
        <f t="shared" si="75"/>
        <v>4</v>
      </c>
      <c r="U1003" t="str" cm="1">
        <f t="array" ref="U1003">_xlfn.IFS(T1003&lt;3, "low", AND(T1003&gt;=3, T1003&lt;5), "med", T1003&gt;=5, "high")</f>
        <v>med</v>
      </c>
      <c r="V1003">
        <v>0</v>
      </c>
      <c r="W1003" t="str" cm="1">
        <f t="array" ref="W1003">_xlfn.IFS(V1003&lt;5, "low", AND(V1003&gt;=5, V1003&lt;10), "med", V1003&gt;=10, "high")</f>
        <v>low</v>
      </c>
      <c r="X1003">
        <v>18</v>
      </c>
      <c r="Y1003">
        <v>18</v>
      </c>
      <c r="Z1003">
        <v>18</v>
      </c>
      <c r="AA1003">
        <f t="shared" si="76"/>
        <v>0</v>
      </c>
      <c r="AB1003">
        <f t="shared" si="77"/>
        <v>0</v>
      </c>
      <c r="AC1003">
        <f t="shared" si="78"/>
        <v>0</v>
      </c>
      <c r="AD1003" s="1">
        <f t="shared" si="79"/>
        <v>18</v>
      </c>
    </row>
    <row r="1004" spans="1:30" x14ac:dyDescent="0.35">
      <c r="A1004" t="s">
        <v>34</v>
      </c>
      <c r="B1004">
        <v>17</v>
      </c>
      <c r="C1004" t="s">
        <v>52</v>
      </c>
      <c r="D1004" t="s">
        <v>47</v>
      </c>
      <c r="E1004" t="s">
        <v>37</v>
      </c>
      <c r="F1004" t="s">
        <v>48</v>
      </c>
      <c r="G1004" t="s">
        <v>45</v>
      </c>
      <c r="H1004">
        <v>2</v>
      </c>
      <c r="I1004">
        <v>0</v>
      </c>
      <c r="J1004" t="s">
        <v>43</v>
      </c>
      <c r="K1004" t="s">
        <v>43</v>
      </c>
      <c r="L1004" t="s">
        <v>43</v>
      </c>
      <c r="M1004" t="s">
        <v>42</v>
      </c>
      <c r="N1004" t="s">
        <v>42</v>
      </c>
      <c r="O1004">
        <v>5</v>
      </c>
      <c r="P1004">
        <v>3</v>
      </c>
      <c r="Q1004">
        <v>3</v>
      </c>
      <c r="R1004">
        <v>1</v>
      </c>
      <c r="S1004">
        <v>2</v>
      </c>
      <c r="T1004">
        <f t="shared" si="75"/>
        <v>3</v>
      </c>
      <c r="U1004" t="str" cm="1">
        <f t="array" ref="U1004">_xlfn.IFS(T1004&lt;3, "low", AND(T1004&gt;=3, T1004&lt;5), "med", T1004&gt;=5, "high")</f>
        <v>med</v>
      </c>
      <c r="V1004">
        <v>5</v>
      </c>
      <c r="W1004" t="str" cm="1">
        <f t="array" ref="W1004">_xlfn.IFS(V1004&lt;5, "low", AND(V1004&gt;=5, V1004&lt;10), "med", V1004&gt;=10, "high")</f>
        <v>med</v>
      </c>
      <c r="X1004">
        <v>11</v>
      </c>
      <c r="Y1004">
        <v>11</v>
      </c>
      <c r="Z1004">
        <v>12</v>
      </c>
      <c r="AA1004">
        <f t="shared" si="76"/>
        <v>0</v>
      </c>
      <c r="AB1004">
        <f t="shared" si="77"/>
        <v>0</v>
      </c>
      <c r="AC1004">
        <f t="shared" si="78"/>
        <v>0</v>
      </c>
      <c r="AD1004" s="1">
        <f t="shared" si="79"/>
        <v>11.333333333333334</v>
      </c>
    </row>
    <row r="1005" spans="1:30" x14ac:dyDescent="0.35">
      <c r="A1005" t="s">
        <v>34</v>
      </c>
      <c r="B1005">
        <v>18</v>
      </c>
      <c r="C1005" t="s">
        <v>35</v>
      </c>
      <c r="D1005" t="s">
        <v>47</v>
      </c>
      <c r="E1005" t="s">
        <v>37</v>
      </c>
      <c r="F1005" t="s">
        <v>38</v>
      </c>
      <c r="G1005" t="s">
        <v>48</v>
      </c>
      <c r="H1005">
        <v>2</v>
      </c>
      <c r="I1005">
        <v>0</v>
      </c>
      <c r="J1005" t="s">
        <v>43</v>
      </c>
      <c r="K1005" t="s">
        <v>43</v>
      </c>
      <c r="L1005" t="s">
        <v>43</v>
      </c>
      <c r="M1005" t="s">
        <v>43</v>
      </c>
      <c r="N1005" t="s">
        <v>42</v>
      </c>
      <c r="O1005">
        <v>5</v>
      </c>
      <c r="P1005">
        <v>2</v>
      </c>
      <c r="Q1005">
        <v>3</v>
      </c>
      <c r="R1005">
        <v>1</v>
      </c>
      <c r="S1005">
        <v>2</v>
      </c>
      <c r="T1005">
        <f t="shared" si="75"/>
        <v>3</v>
      </c>
      <c r="U1005" t="str" cm="1">
        <f t="array" ref="U1005">_xlfn.IFS(T1005&lt;3, "low", AND(T1005&gt;=3, T1005&lt;5), "med", T1005&gt;=5, "high")</f>
        <v>med</v>
      </c>
      <c r="V1005">
        <v>2</v>
      </c>
      <c r="W1005" t="str" cm="1">
        <f t="array" ref="W1005">_xlfn.IFS(V1005&lt;5, "low", AND(V1005&gt;=5, V1005&lt;10), "med", V1005&gt;=10, "high")</f>
        <v>low</v>
      </c>
      <c r="X1005">
        <v>8</v>
      </c>
      <c r="Y1005">
        <v>10</v>
      </c>
      <c r="Z1005">
        <v>11</v>
      </c>
      <c r="AA1005">
        <f t="shared" si="76"/>
        <v>0</v>
      </c>
      <c r="AB1005">
        <f t="shared" si="77"/>
        <v>0</v>
      </c>
      <c r="AC1005">
        <f t="shared" si="78"/>
        <v>0</v>
      </c>
      <c r="AD1005" s="1">
        <f t="shared" si="79"/>
        <v>9.6666666666666661</v>
      </c>
    </row>
    <row r="1006" spans="1:30" x14ac:dyDescent="0.35">
      <c r="A1006" t="s">
        <v>34</v>
      </c>
      <c r="B1006">
        <v>18</v>
      </c>
      <c r="C1006" t="s">
        <v>35</v>
      </c>
      <c r="D1006" t="s">
        <v>36</v>
      </c>
      <c r="E1006" t="s">
        <v>44</v>
      </c>
      <c r="F1006" t="s">
        <v>38</v>
      </c>
      <c r="G1006" t="s">
        <v>38</v>
      </c>
      <c r="H1006">
        <v>2</v>
      </c>
      <c r="I1006">
        <v>0</v>
      </c>
      <c r="J1006" t="s">
        <v>43</v>
      </c>
      <c r="K1006" t="s">
        <v>42</v>
      </c>
      <c r="L1006" t="s">
        <v>43</v>
      </c>
      <c r="M1006" t="s">
        <v>43</v>
      </c>
      <c r="N1006" t="s">
        <v>43</v>
      </c>
      <c r="O1006">
        <v>4</v>
      </c>
      <c r="P1006">
        <v>1</v>
      </c>
      <c r="Q1006">
        <v>1</v>
      </c>
      <c r="R1006">
        <v>1</v>
      </c>
      <c r="S1006">
        <v>1</v>
      </c>
      <c r="T1006">
        <f t="shared" si="75"/>
        <v>2</v>
      </c>
      <c r="U1006" t="str" cm="1">
        <f t="array" ref="U1006">_xlfn.IFS(T1006&lt;3, "low", AND(T1006&gt;=3, T1006&lt;5), "med", T1006&gt;=5, "high")</f>
        <v>low</v>
      </c>
      <c r="V1006">
        <v>0</v>
      </c>
      <c r="W1006" t="str" cm="1">
        <f t="array" ref="W1006">_xlfn.IFS(V1006&lt;5, "low", AND(V1006&gt;=5, V1006&lt;10), "med", V1006&gt;=10, "high")</f>
        <v>low</v>
      </c>
      <c r="X1006">
        <v>11</v>
      </c>
      <c r="Y1006">
        <v>11</v>
      </c>
      <c r="Z1006">
        <v>12</v>
      </c>
      <c r="AA1006">
        <f t="shared" si="76"/>
        <v>0</v>
      </c>
      <c r="AB1006">
        <f t="shared" si="77"/>
        <v>0</v>
      </c>
      <c r="AC1006">
        <f t="shared" si="78"/>
        <v>0</v>
      </c>
      <c r="AD1006" s="1">
        <f t="shared" si="79"/>
        <v>11.333333333333334</v>
      </c>
    </row>
    <row r="1007" spans="1:30" x14ac:dyDescent="0.35">
      <c r="A1007" t="s">
        <v>34</v>
      </c>
      <c r="B1007">
        <v>19</v>
      </c>
      <c r="C1007" t="s">
        <v>52</v>
      </c>
      <c r="D1007" t="s">
        <v>36</v>
      </c>
      <c r="E1007" t="s">
        <v>37</v>
      </c>
      <c r="F1007" t="s">
        <v>38</v>
      </c>
      <c r="G1007" t="s">
        <v>38</v>
      </c>
      <c r="H1007">
        <v>2</v>
      </c>
      <c r="I1007">
        <v>3</v>
      </c>
      <c r="J1007" t="s">
        <v>43</v>
      </c>
      <c r="K1007" t="s">
        <v>42</v>
      </c>
      <c r="L1007" t="s">
        <v>43</v>
      </c>
      <c r="M1007" t="s">
        <v>42</v>
      </c>
      <c r="N1007" t="s">
        <v>42</v>
      </c>
      <c r="O1007">
        <v>3</v>
      </c>
      <c r="P1007">
        <v>5</v>
      </c>
      <c r="Q1007">
        <v>4</v>
      </c>
      <c r="R1007">
        <v>1</v>
      </c>
      <c r="S1007">
        <v>4</v>
      </c>
      <c r="T1007">
        <f t="shared" si="75"/>
        <v>5</v>
      </c>
      <c r="U1007" t="str" cm="1">
        <f t="array" ref="U1007">_xlfn.IFS(T1007&lt;3, "low", AND(T1007&gt;=3, T1007&lt;5), "med", T1007&gt;=5, "high")</f>
        <v>high</v>
      </c>
      <c r="V1007">
        <v>0</v>
      </c>
      <c r="W1007" t="str" cm="1">
        <f t="array" ref="W1007">_xlfn.IFS(V1007&lt;5, "low", AND(V1007&gt;=5, V1007&lt;10), "med", V1007&gt;=10, "high")</f>
        <v>low</v>
      </c>
      <c r="X1007">
        <v>8</v>
      </c>
      <c r="Y1007">
        <v>0</v>
      </c>
      <c r="Z1007">
        <v>0</v>
      </c>
      <c r="AA1007">
        <f t="shared" si="76"/>
        <v>1</v>
      </c>
      <c r="AB1007">
        <f t="shared" si="77"/>
        <v>0</v>
      </c>
      <c r="AC1007">
        <f t="shared" si="78"/>
        <v>1</v>
      </c>
      <c r="AD1007" s="1">
        <f t="shared" si="79"/>
        <v>2.6666666666666665</v>
      </c>
    </row>
    <row r="1008" spans="1:30" x14ac:dyDescent="0.35">
      <c r="A1008" t="s">
        <v>34</v>
      </c>
      <c r="B1008">
        <v>18</v>
      </c>
      <c r="C1008" t="s">
        <v>52</v>
      </c>
      <c r="D1008" t="s">
        <v>36</v>
      </c>
      <c r="E1008" t="s">
        <v>44</v>
      </c>
      <c r="F1008" t="s">
        <v>48</v>
      </c>
      <c r="G1008" t="s">
        <v>45</v>
      </c>
      <c r="H1008">
        <v>3</v>
      </c>
      <c r="I1008">
        <v>0</v>
      </c>
      <c r="J1008" t="s">
        <v>43</v>
      </c>
      <c r="K1008" t="s">
        <v>43</v>
      </c>
      <c r="L1008" t="s">
        <v>43</v>
      </c>
      <c r="M1008" t="s">
        <v>43</v>
      </c>
      <c r="N1008" t="s">
        <v>42</v>
      </c>
      <c r="O1008">
        <v>4</v>
      </c>
      <c r="P1008">
        <v>2</v>
      </c>
      <c r="Q1008">
        <v>1</v>
      </c>
      <c r="R1008">
        <v>1</v>
      </c>
      <c r="S1008">
        <v>1</v>
      </c>
      <c r="T1008">
        <f t="shared" si="75"/>
        <v>2</v>
      </c>
      <c r="U1008" t="str" cm="1">
        <f t="array" ref="U1008">_xlfn.IFS(T1008&lt;3, "low", AND(T1008&gt;=3, T1008&lt;5), "med", T1008&gt;=5, "high")</f>
        <v>low</v>
      </c>
      <c r="V1008">
        <v>5</v>
      </c>
      <c r="W1008" t="str" cm="1">
        <f t="array" ref="W1008">_xlfn.IFS(V1008&lt;5, "low", AND(V1008&gt;=5, V1008&lt;10), "med", V1008&gt;=10, "high")</f>
        <v>med</v>
      </c>
      <c r="X1008">
        <v>14</v>
      </c>
      <c r="Y1008">
        <v>14</v>
      </c>
      <c r="Z1008">
        <v>15</v>
      </c>
      <c r="AA1008">
        <f t="shared" si="76"/>
        <v>0</v>
      </c>
      <c r="AB1008">
        <f t="shared" si="77"/>
        <v>0</v>
      </c>
      <c r="AC1008">
        <f t="shared" si="78"/>
        <v>0</v>
      </c>
      <c r="AD1008" s="1">
        <f t="shared" si="79"/>
        <v>14.333333333333334</v>
      </c>
    </row>
    <row r="1009" spans="1:30" x14ac:dyDescent="0.35">
      <c r="A1009" t="s">
        <v>50</v>
      </c>
      <c r="B1009">
        <v>17</v>
      </c>
      <c r="C1009" t="s">
        <v>52</v>
      </c>
      <c r="D1009" t="s">
        <v>36</v>
      </c>
      <c r="E1009" t="s">
        <v>44</v>
      </c>
      <c r="F1009" t="s">
        <v>48</v>
      </c>
      <c r="G1009" t="s">
        <v>45</v>
      </c>
      <c r="H1009">
        <v>2</v>
      </c>
      <c r="I1009">
        <v>1</v>
      </c>
      <c r="J1009" t="s">
        <v>43</v>
      </c>
      <c r="K1009" t="s">
        <v>42</v>
      </c>
      <c r="L1009" t="s">
        <v>42</v>
      </c>
      <c r="M1009" t="s">
        <v>42</v>
      </c>
      <c r="N1009" t="s">
        <v>42</v>
      </c>
      <c r="O1009">
        <v>4</v>
      </c>
      <c r="P1009">
        <v>5</v>
      </c>
      <c r="Q1009">
        <v>5</v>
      </c>
      <c r="R1009">
        <v>1</v>
      </c>
      <c r="S1009">
        <v>3</v>
      </c>
      <c r="T1009">
        <f t="shared" si="75"/>
        <v>4</v>
      </c>
      <c r="U1009" t="str" cm="1">
        <f t="array" ref="U1009">_xlfn.IFS(T1009&lt;3, "low", AND(T1009&gt;=3, T1009&lt;5), "med", T1009&gt;=5, "high")</f>
        <v>med</v>
      </c>
      <c r="V1009">
        <v>4</v>
      </c>
      <c r="W1009" t="str" cm="1">
        <f t="array" ref="W1009">_xlfn.IFS(V1009&lt;5, "low", AND(V1009&gt;=5, V1009&lt;10), "med", V1009&gt;=10, "high")</f>
        <v>low</v>
      </c>
      <c r="X1009">
        <v>10</v>
      </c>
      <c r="Y1009">
        <v>11</v>
      </c>
      <c r="Z1009">
        <v>11</v>
      </c>
      <c r="AA1009">
        <f t="shared" si="76"/>
        <v>0</v>
      </c>
      <c r="AB1009">
        <f t="shared" si="77"/>
        <v>0</v>
      </c>
      <c r="AC1009">
        <f t="shared" si="78"/>
        <v>0</v>
      </c>
      <c r="AD1009" s="1">
        <f t="shared" si="79"/>
        <v>10.666666666666666</v>
      </c>
    </row>
    <row r="1010" spans="1:30" x14ac:dyDescent="0.35">
      <c r="A1010" t="s">
        <v>34</v>
      </c>
      <c r="B1010">
        <v>18</v>
      </c>
      <c r="C1010" t="s">
        <v>35</v>
      </c>
      <c r="D1010" t="s">
        <v>36</v>
      </c>
      <c r="E1010" t="s">
        <v>44</v>
      </c>
      <c r="F1010" t="s">
        <v>48</v>
      </c>
      <c r="G1010" t="s">
        <v>48</v>
      </c>
      <c r="H1010">
        <v>2</v>
      </c>
      <c r="I1010">
        <v>0</v>
      </c>
      <c r="J1010" t="s">
        <v>43</v>
      </c>
      <c r="K1010" t="s">
        <v>42</v>
      </c>
      <c r="L1010" t="s">
        <v>43</v>
      </c>
      <c r="M1010" t="s">
        <v>43</v>
      </c>
      <c r="N1010" t="s">
        <v>42</v>
      </c>
      <c r="O1010">
        <v>5</v>
      </c>
      <c r="P1010">
        <v>3</v>
      </c>
      <c r="Q1010">
        <v>4</v>
      </c>
      <c r="R1010">
        <v>1</v>
      </c>
      <c r="S1010">
        <v>1</v>
      </c>
      <c r="T1010">
        <f t="shared" si="75"/>
        <v>2</v>
      </c>
      <c r="U1010" t="str" cm="1">
        <f t="array" ref="U1010">_xlfn.IFS(T1010&lt;3, "low", AND(T1010&gt;=3, T1010&lt;5), "med", T1010&gt;=5, "high")</f>
        <v>low</v>
      </c>
      <c r="V1010">
        <v>0</v>
      </c>
      <c r="W1010" t="str" cm="1">
        <f t="array" ref="W1010">_xlfn.IFS(V1010&lt;5, "low", AND(V1010&gt;=5, V1010&lt;10), "med", V1010&gt;=10, "high")</f>
        <v>low</v>
      </c>
      <c r="X1010">
        <v>10</v>
      </c>
      <c r="Y1010">
        <v>10</v>
      </c>
      <c r="Z1010">
        <v>10</v>
      </c>
      <c r="AA1010">
        <f t="shared" si="76"/>
        <v>0</v>
      </c>
      <c r="AB1010">
        <f t="shared" si="77"/>
        <v>0</v>
      </c>
      <c r="AC1010">
        <f t="shared" si="78"/>
        <v>0</v>
      </c>
      <c r="AD1010" s="1">
        <f t="shared" si="79"/>
        <v>10</v>
      </c>
    </row>
    <row r="1011" spans="1:30" x14ac:dyDescent="0.35">
      <c r="A1011" t="s">
        <v>34</v>
      </c>
      <c r="B1011">
        <v>17</v>
      </c>
      <c r="C1011" t="s">
        <v>52</v>
      </c>
      <c r="D1011" t="s">
        <v>36</v>
      </c>
      <c r="E1011" t="s">
        <v>44</v>
      </c>
      <c r="F1011" t="s">
        <v>39</v>
      </c>
      <c r="G1011" t="s">
        <v>48</v>
      </c>
      <c r="H1011">
        <v>2</v>
      </c>
      <c r="I1011">
        <v>0</v>
      </c>
      <c r="J1011" t="s">
        <v>43</v>
      </c>
      <c r="K1011" t="s">
        <v>42</v>
      </c>
      <c r="L1011" t="s">
        <v>42</v>
      </c>
      <c r="M1011" t="s">
        <v>42</v>
      </c>
      <c r="N1011" t="s">
        <v>43</v>
      </c>
      <c r="O1011">
        <v>4</v>
      </c>
      <c r="P1011">
        <v>3</v>
      </c>
      <c r="Q1011">
        <v>3</v>
      </c>
      <c r="R1011">
        <v>1</v>
      </c>
      <c r="S1011">
        <v>2</v>
      </c>
      <c r="T1011">
        <f t="shared" si="75"/>
        <v>3</v>
      </c>
      <c r="U1011" t="str" cm="1">
        <f t="array" ref="U1011">_xlfn.IFS(T1011&lt;3, "low", AND(T1011&gt;=3, T1011&lt;5), "med", T1011&gt;=5, "high")</f>
        <v>med</v>
      </c>
      <c r="V1011">
        <v>2</v>
      </c>
      <c r="W1011" t="str" cm="1">
        <f t="array" ref="W1011">_xlfn.IFS(V1011&lt;5, "low", AND(V1011&gt;=5, V1011&lt;10), "med", V1011&gt;=10, "high")</f>
        <v>low</v>
      </c>
      <c r="X1011">
        <v>12</v>
      </c>
      <c r="Y1011">
        <v>12</v>
      </c>
      <c r="Z1011">
        <v>12</v>
      </c>
      <c r="AA1011">
        <f t="shared" si="76"/>
        <v>0</v>
      </c>
      <c r="AB1011">
        <f t="shared" si="77"/>
        <v>0</v>
      </c>
      <c r="AC1011">
        <f t="shared" si="78"/>
        <v>0</v>
      </c>
      <c r="AD1011" s="1">
        <f t="shared" si="79"/>
        <v>12</v>
      </c>
    </row>
    <row r="1012" spans="1:30" x14ac:dyDescent="0.35">
      <c r="A1012" t="s">
        <v>34</v>
      </c>
      <c r="B1012">
        <v>17</v>
      </c>
      <c r="C1012" t="s">
        <v>35</v>
      </c>
      <c r="D1012" t="s">
        <v>47</v>
      </c>
      <c r="E1012" t="s">
        <v>37</v>
      </c>
      <c r="F1012" t="s">
        <v>48</v>
      </c>
      <c r="G1012" t="s">
        <v>45</v>
      </c>
      <c r="H1012">
        <v>2</v>
      </c>
      <c r="I1012">
        <v>0</v>
      </c>
      <c r="J1012" t="s">
        <v>43</v>
      </c>
      <c r="K1012" t="s">
        <v>43</v>
      </c>
      <c r="L1012" t="s">
        <v>43</v>
      </c>
      <c r="M1012" t="s">
        <v>43</v>
      </c>
      <c r="N1012" t="s">
        <v>42</v>
      </c>
      <c r="O1012">
        <v>1</v>
      </c>
      <c r="P1012">
        <v>2</v>
      </c>
      <c r="Q1012">
        <v>3</v>
      </c>
      <c r="R1012">
        <v>1</v>
      </c>
      <c r="S1012">
        <v>2</v>
      </c>
      <c r="T1012">
        <f t="shared" si="75"/>
        <v>3</v>
      </c>
      <c r="U1012" t="str" cm="1">
        <f t="array" ref="U1012">_xlfn.IFS(T1012&lt;3, "low", AND(T1012&gt;=3, T1012&lt;5), "med", T1012&gt;=5, "high")</f>
        <v>med</v>
      </c>
      <c r="V1012">
        <v>0</v>
      </c>
      <c r="W1012" t="str" cm="1">
        <f t="array" ref="W1012">_xlfn.IFS(V1012&lt;5, "low", AND(V1012&gt;=5, V1012&lt;10), "med", V1012&gt;=10, "high")</f>
        <v>low</v>
      </c>
      <c r="X1012">
        <v>15</v>
      </c>
      <c r="Y1012">
        <v>14</v>
      </c>
      <c r="Z1012">
        <v>15</v>
      </c>
      <c r="AA1012">
        <f t="shared" si="76"/>
        <v>1</v>
      </c>
      <c r="AB1012">
        <f t="shared" si="77"/>
        <v>0</v>
      </c>
      <c r="AC1012">
        <f t="shared" si="78"/>
        <v>1</v>
      </c>
      <c r="AD1012" s="1">
        <f t="shared" si="79"/>
        <v>14.666666666666666</v>
      </c>
    </row>
    <row r="1013" spans="1:30" x14ac:dyDescent="0.35">
      <c r="A1013" t="s">
        <v>50</v>
      </c>
      <c r="B1013">
        <v>18</v>
      </c>
      <c r="C1013" t="s">
        <v>35</v>
      </c>
      <c r="D1013" t="s">
        <v>47</v>
      </c>
      <c r="E1013" t="s">
        <v>44</v>
      </c>
      <c r="F1013" t="s">
        <v>45</v>
      </c>
      <c r="G1013" t="s">
        <v>48</v>
      </c>
      <c r="H1013">
        <v>1</v>
      </c>
      <c r="I1013">
        <v>0</v>
      </c>
      <c r="J1013" t="s">
        <v>43</v>
      </c>
      <c r="K1013" t="s">
        <v>43</v>
      </c>
      <c r="L1013" t="s">
        <v>43</v>
      </c>
      <c r="M1013" t="s">
        <v>43</v>
      </c>
      <c r="N1013" t="s">
        <v>42</v>
      </c>
      <c r="O1013">
        <v>3</v>
      </c>
      <c r="P1013">
        <v>3</v>
      </c>
      <c r="Q1013">
        <v>2</v>
      </c>
      <c r="R1013">
        <v>1</v>
      </c>
      <c r="S1013">
        <v>2</v>
      </c>
      <c r="T1013">
        <f t="shared" si="75"/>
        <v>3</v>
      </c>
      <c r="U1013" t="str" cm="1">
        <f t="array" ref="U1013">_xlfn.IFS(T1013&lt;3, "low", AND(T1013&gt;=3, T1013&lt;5), "med", T1013&gt;=5, "high")</f>
        <v>med</v>
      </c>
      <c r="V1013">
        <v>2</v>
      </c>
      <c r="W1013" t="str" cm="1">
        <f t="array" ref="W1013">_xlfn.IFS(V1013&lt;5, "low", AND(V1013&gt;=5, V1013&lt;10), "med", V1013&gt;=10, "high")</f>
        <v>low</v>
      </c>
      <c r="X1013">
        <v>14</v>
      </c>
      <c r="Y1013">
        <v>13</v>
      </c>
      <c r="Z1013">
        <v>14</v>
      </c>
      <c r="AA1013">
        <f t="shared" si="76"/>
        <v>1</v>
      </c>
      <c r="AB1013">
        <f t="shared" si="77"/>
        <v>0</v>
      </c>
      <c r="AC1013">
        <f t="shared" si="78"/>
        <v>1</v>
      </c>
      <c r="AD1013" s="1">
        <f t="shared" si="79"/>
        <v>13.666666666666666</v>
      </c>
    </row>
    <row r="1014" spans="1:30" x14ac:dyDescent="0.35">
      <c r="A1014" t="s">
        <v>34</v>
      </c>
      <c r="B1014">
        <v>18</v>
      </c>
      <c r="C1014" t="s">
        <v>35</v>
      </c>
      <c r="D1014" t="s">
        <v>47</v>
      </c>
      <c r="E1014" t="s">
        <v>44</v>
      </c>
      <c r="F1014" t="s">
        <v>38</v>
      </c>
      <c r="G1014" t="s">
        <v>48</v>
      </c>
      <c r="H1014">
        <v>3</v>
      </c>
      <c r="I1014">
        <v>0</v>
      </c>
      <c r="J1014" t="s">
        <v>43</v>
      </c>
      <c r="K1014" t="s">
        <v>43</v>
      </c>
      <c r="L1014" t="s">
        <v>43</v>
      </c>
      <c r="M1014" t="s">
        <v>43</v>
      </c>
      <c r="N1014" t="s">
        <v>43</v>
      </c>
      <c r="O1014">
        <v>5</v>
      </c>
      <c r="P1014">
        <v>3</v>
      </c>
      <c r="Q1014">
        <v>2</v>
      </c>
      <c r="R1014">
        <v>1</v>
      </c>
      <c r="S1014">
        <v>1</v>
      </c>
      <c r="T1014">
        <f t="shared" si="75"/>
        <v>2</v>
      </c>
      <c r="U1014" t="str" cm="1">
        <f t="array" ref="U1014">_xlfn.IFS(T1014&lt;3, "low", AND(T1014&gt;=3, T1014&lt;5), "med", T1014&gt;=5, "high")</f>
        <v>low</v>
      </c>
      <c r="V1014">
        <v>0</v>
      </c>
      <c r="W1014" t="str" cm="1">
        <f t="array" ref="W1014">_xlfn.IFS(V1014&lt;5, "low", AND(V1014&gt;=5, V1014&lt;10), "med", V1014&gt;=10, "high")</f>
        <v>low</v>
      </c>
      <c r="X1014">
        <v>19</v>
      </c>
      <c r="Y1014">
        <v>17</v>
      </c>
      <c r="Z1014">
        <v>18</v>
      </c>
      <c r="AA1014">
        <f t="shared" si="76"/>
        <v>1</v>
      </c>
      <c r="AB1014">
        <f t="shared" si="77"/>
        <v>0</v>
      </c>
      <c r="AC1014">
        <f t="shared" si="78"/>
        <v>1</v>
      </c>
      <c r="AD1014" s="1">
        <f t="shared" si="79"/>
        <v>18</v>
      </c>
    </row>
    <row r="1015" spans="1:30" x14ac:dyDescent="0.35">
      <c r="A1015" t="s">
        <v>34</v>
      </c>
      <c r="B1015">
        <v>18</v>
      </c>
      <c r="C1015" t="s">
        <v>52</v>
      </c>
      <c r="D1015" t="s">
        <v>47</v>
      </c>
      <c r="E1015" t="s">
        <v>37</v>
      </c>
      <c r="F1015" t="s">
        <v>38</v>
      </c>
      <c r="G1015" t="s">
        <v>45</v>
      </c>
      <c r="H1015">
        <v>2</v>
      </c>
      <c r="I1015">
        <v>0</v>
      </c>
      <c r="J1015" t="s">
        <v>43</v>
      </c>
      <c r="K1015" t="s">
        <v>43</v>
      </c>
      <c r="L1015" t="s">
        <v>43</v>
      </c>
      <c r="M1015" t="s">
        <v>43</v>
      </c>
      <c r="N1015" t="s">
        <v>42</v>
      </c>
      <c r="O1015">
        <v>4</v>
      </c>
      <c r="P1015">
        <v>3</v>
      </c>
      <c r="Q1015">
        <v>4</v>
      </c>
      <c r="R1015">
        <v>1</v>
      </c>
      <c r="S1015">
        <v>4</v>
      </c>
      <c r="T1015">
        <f t="shared" si="75"/>
        <v>5</v>
      </c>
      <c r="U1015" t="str" cm="1">
        <f t="array" ref="U1015">_xlfn.IFS(T1015&lt;3, "low", AND(T1015&gt;=3, T1015&lt;5), "med", T1015&gt;=5, "high")</f>
        <v>high</v>
      </c>
      <c r="V1015">
        <v>0</v>
      </c>
      <c r="W1015" t="str" cm="1">
        <f t="array" ref="W1015">_xlfn.IFS(V1015&lt;5, "low", AND(V1015&gt;=5, V1015&lt;10), "med", V1015&gt;=10, "high")</f>
        <v>low</v>
      </c>
      <c r="X1015">
        <v>16</v>
      </c>
      <c r="Y1015">
        <v>15</v>
      </c>
      <c r="Z1015">
        <v>15</v>
      </c>
      <c r="AA1015">
        <f t="shared" si="76"/>
        <v>1</v>
      </c>
      <c r="AB1015">
        <f t="shared" si="77"/>
        <v>0</v>
      </c>
      <c r="AC1015">
        <f t="shared" si="78"/>
        <v>1</v>
      </c>
      <c r="AD1015" s="1">
        <f t="shared" si="79"/>
        <v>15.333333333333334</v>
      </c>
    </row>
    <row r="1016" spans="1:30" x14ac:dyDescent="0.35">
      <c r="A1016" t="s">
        <v>34</v>
      </c>
      <c r="B1016">
        <v>18</v>
      </c>
      <c r="C1016" t="s">
        <v>35</v>
      </c>
      <c r="D1016" t="s">
        <v>36</v>
      </c>
      <c r="E1016" t="s">
        <v>44</v>
      </c>
      <c r="F1016" t="s">
        <v>48</v>
      </c>
      <c r="G1016" t="s">
        <v>48</v>
      </c>
      <c r="H1016">
        <v>2</v>
      </c>
      <c r="I1016">
        <v>0</v>
      </c>
      <c r="J1016" t="s">
        <v>43</v>
      </c>
      <c r="K1016" t="s">
        <v>42</v>
      </c>
      <c r="L1016" t="s">
        <v>43</v>
      </c>
      <c r="M1016" t="s">
        <v>43</v>
      </c>
      <c r="N1016" t="s">
        <v>42</v>
      </c>
      <c r="O1016">
        <v>4</v>
      </c>
      <c r="P1016">
        <v>3</v>
      </c>
      <c r="Q1016">
        <v>2</v>
      </c>
      <c r="R1016">
        <v>1</v>
      </c>
      <c r="S1016">
        <v>3</v>
      </c>
      <c r="T1016">
        <f t="shared" si="75"/>
        <v>4</v>
      </c>
      <c r="U1016" t="str" cm="1">
        <f t="array" ref="U1016">_xlfn.IFS(T1016&lt;3, "low", AND(T1016&gt;=3, T1016&lt;5), "med", T1016&gt;=5, "high")</f>
        <v>med</v>
      </c>
      <c r="V1016">
        <v>6</v>
      </c>
      <c r="W1016" t="str" cm="1">
        <f t="array" ref="W1016">_xlfn.IFS(V1016&lt;5, "low", AND(V1016&gt;=5, V1016&lt;10), "med", V1016&gt;=10, "high")</f>
        <v>med</v>
      </c>
      <c r="X1016">
        <v>13</v>
      </c>
      <c r="Y1016">
        <v>12</v>
      </c>
      <c r="Z1016">
        <v>13</v>
      </c>
      <c r="AA1016">
        <f t="shared" si="76"/>
        <v>1</v>
      </c>
      <c r="AB1016">
        <f t="shared" si="77"/>
        <v>0</v>
      </c>
      <c r="AC1016">
        <f t="shared" si="78"/>
        <v>1</v>
      </c>
      <c r="AD1016" s="1">
        <f t="shared" si="79"/>
        <v>12.666666666666666</v>
      </c>
    </row>
    <row r="1017" spans="1:30" x14ac:dyDescent="0.35">
      <c r="A1017" t="s">
        <v>34</v>
      </c>
      <c r="B1017">
        <v>17</v>
      </c>
      <c r="C1017" t="s">
        <v>35</v>
      </c>
      <c r="D1017" t="s">
        <v>47</v>
      </c>
      <c r="E1017" t="s">
        <v>44</v>
      </c>
      <c r="F1017" t="s">
        <v>38</v>
      </c>
      <c r="G1017" t="s">
        <v>38</v>
      </c>
      <c r="H1017">
        <v>2</v>
      </c>
      <c r="I1017">
        <v>0</v>
      </c>
      <c r="J1017" t="s">
        <v>43</v>
      </c>
      <c r="K1017" t="s">
        <v>42</v>
      </c>
      <c r="L1017" t="s">
        <v>43</v>
      </c>
      <c r="M1017" t="s">
        <v>42</v>
      </c>
      <c r="N1017" t="s">
        <v>42</v>
      </c>
      <c r="O1017">
        <v>2</v>
      </c>
      <c r="P1017">
        <v>3</v>
      </c>
      <c r="Q1017">
        <v>4</v>
      </c>
      <c r="R1017">
        <v>1</v>
      </c>
      <c r="S1017">
        <v>1</v>
      </c>
      <c r="T1017">
        <f t="shared" si="75"/>
        <v>2</v>
      </c>
      <c r="U1017" t="str" cm="1">
        <f t="array" ref="U1017">_xlfn.IFS(T1017&lt;3, "low", AND(T1017&gt;=3, T1017&lt;5), "med", T1017&gt;=5, "high")</f>
        <v>low</v>
      </c>
      <c r="V1017">
        <v>4</v>
      </c>
      <c r="W1017" t="str" cm="1">
        <f t="array" ref="W1017">_xlfn.IFS(V1017&lt;5, "low", AND(V1017&gt;=5, V1017&lt;10), "med", V1017&gt;=10, "high")</f>
        <v>low</v>
      </c>
      <c r="X1017">
        <v>15</v>
      </c>
      <c r="Y1017">
        <v>14</v>
      </c>
      <c r="Z1017">
        <v>15</v>
      </c>
      <c r="AA1017">
        <f t="shared" si="76"/>
        <v>1</v>
      </c>
      <c r="AB1017">
        <f t="shared" si="77"/>
        <v>0</v>
      </c>
      <c r="AC1017">
        <f t="shared" si="78"/>
        <v>1</v>
      </c>
      <c r="AD1017" s="1">
        <f t="shared" si="79"/>
        <v>14.666666666666666</v>
      </c>
    </row>
    <row r="1018" spans="1:30" x14ac:dyDescent="0.35">
      <c r="A1018" t="s">
        <v>34</v>
      </c>
      <c r="B1018">
        <v>17</v>
      </c>
      <c r="C1018" t="s">
        <v>52</v>
      </c>
      <c r="D1018" t="s">
        <v>36</v>
      </c>
      <c r="E1018" t="s">
        <v>44</v>
      </c>
      <c r="F1018" t="s">
        <v>45</v>
      </c>
      <c r="G1018" t="s">
        <v>48</v>
      </c>
      <c r="H1018">
        <v>2</v>
      </c>
      <c r="I1018">
        <v>0</v>
      </c>
      <c r="J1018" t="s">
        <v>43</v>
      </c>
      <c r="K1018" t="s">
        <v>43</v>
      </c>
      <c r="L1018" t="s">
        <v>43</v>
      </c>
      <c r="M1018" t="s">
        <v>43</v>
      </c>
      <c r="N1018" t="s">
        <v>43</v>
      </c>
      <c r="O1018">
        <v>3</v>
      </c>
      <c r="P1018">
        <v>2</v>
      </c>
      <c r="Q1018">
        <v>2</v>
      </c>
      <c r="R1018">
        <v>1</v>
      </c>
      <c r="S1018">
        <v>2</v>
      </c>
      <c r="T1018">
        <f t="shared" si="75"/>
        <v>3</v>
      </c>
      <c r="U1018" t="str" cm="1">
        <f t="array" ref="U1018">_xlfn.IFS(T1018&lt;3, "low", AND(T1018&gt;=3, T1018&lt;5), "med", T1018&gt;=5, "high")</f>
        <v>med</v>
      </c>
      <c r="V1018">
        <v>0</v>
      </c>
      <c r="W1018" t="str" cm="1">
        <f t="array" ref="W1018">_xlfn.IFS(V1018&lt;5, "low", AND(V1018&gt;=5, V1018&lt;10), "med", V1018&gt;=10, "high")</f>
        <v>low</v>
      </c>
      <c r="X1018">
        <v>13</v>
      </c>
      <c r="Y1018">
        <v>13</v>
      </c>
      <c r="Z1018">
        <v>13</v>
      </c>
      <c r="AA1018">
        <f t="shared" si="76"/>
        <v>0</v>
      </c>
      <c r="AB1018">
        <f t="shared" si="77"/>
        <v>0</v>
      </c>
      <c r="AC1018">
        <f t="shared" si="78"/>
        <v>0</v>
      </c>
      <c r="AD1018" s="1">
        <f t="shared" si="79"/>
        <v>13</v>
      </c>
    </row>
    <row r="1019" spans="1:30" x14ac:dyDescent="0.35">
      <c r="A1019" t="s">
        <v>50</v>
      </c>
      <c r="B1019">
        <v>18</v>
      </c>
      <c r="C1019" t="s">
        <v>52</v>
      </c>
      <c r="D1019" t="s">
        <v>36</v>
      </c>
      <c r="E1019" t="s">
        <v>44</v>
      </c>
      <c r="F1019" t="s">
        <v>38</v>
      </c>
      <c r="G1019" t="s">
        <v>45</v>
      </c>
      <c r="H1019">
        <v>2</v>
      </c>
      <c r="I1019">
        <v>0</v>
      </c>
      <c r="J1019" t="s">
        <v>43</v>
      </c>
      <c r="K1019" t="s">
        <v>42</v>
      </c>
      <c r="L1019" t="s">
        <v>42</v>
      </c>
      <c r="M1019" t="s">
        <v>43</v>
      </c>
      <c r="N1019" t="s">
        <v>43</v>
      </c>
      <c r="O1019">
        <v>3</v>
      </c>
      <c r="P1019">
        <v>3</v>
      </c>
      <c r="Q1019">
        <v>4</v>
      </c>
      <c r="R1019">
        <v>2</v>
      </c>
      <c r="S1019">
        <v>4</v>
      </c>
      <c r="T1019">
        <f t="shared" si="75"/>
        <v>6</v>
      </c>
      <c r="U1019" t="str" cm="1">
        <f t="array" ref="U1019">_xlfn.IFS(T1019&lt;3, "low", AND(T1019&gt;=3, T1019&lt;5), "med", T1019&gt;=5, "high")</f>
        <v>high</v>
      </c>
      <c r="V1019">
        <v>0</v>
      </c>
      <c r="W1019" t="str" cm="1">
        <f t="array" ref="W1019">_xlfn.IFS(V1019&lt;5, "low", AND(V1019&gt;=5, V1019&lt;10), "med", V1019&gt;=10, "high")</f>
        <v>low</v>
      </c>
      <c r="X1019">
        <v>8</v>
      </c>
      <c r="Y1019">
        <v>10</v>
      </c>
      <c r="Z1019">
        <v>9</v>
      </c>
      <c r="AA1019">
        <f t="shared" si="76"/>
        <v>0</v>
      </c>
      <c r="AB1019">
        <f t="shared" si="77"/>
        <v>1</v>
      </c>
      <c r="AC1019">
        <f t="shared" si="78"/>
        <v>1</v>
      </c>
      <c r="AD1019" s="1">
        <f t="shared" si="79"/>
        <v>9</v>
      </c>
    </row>
    <row r="1020" spans="1:30" x14ac:dyDescent="0.35">
      <c r="A1020" t="s">
        <v>50</v>
      </c>
      <c r="B1020">
        <v>18</v>
      </c>
      <c r="C1020" t="s">
        <v>35</v>
      </c>
      <c r="D1020" t="s">
        <v>47</v>
      </c>
      <c r="E1020" t="s">
        <v>44</v>
      </c>
      <c r="F1020" t="s">
        <v>39</v>
      </c>
      <c r="G1020" t="s">
        <v>48</v>
      </c>
      <c r="H1020">
        <v>3</v>
      </c>
      <c r="I1020">
        <v>0</v>
      </c>
      <c r="J1020" t="s">
        <v>43</v>
      </c>
      <c r="K1020" t="s">
        <v>43</v>
      </c>
      <c r="L1020" t="s">
        <v>43</v>
      </c>
      <c r="M1020" t="s">
        <v>43</v>
      </c>
      <c r="N1020" t="s">
        <v>42</v>
      </c>
      <c r="O1020">
        <v>4</v>
      </c>
      <c r="P1020">
        <v>2</v>
      </c>
      <c r="Q1020">
        <v>2</v>
      </c>
      <c r="R1020">
        <v>2</v>
      </c>
      <c r="S1020">
        <v>2</v>
      </c>
      <c r="T1020">
        <f t="shared" si="75"/>
        <v>4</v>
      </c>
      <c r="U1020" t="str" cm="1">
        <f t="array" ref="U1020">_xlfn.IFS(T1020&lt;3, "low", AND(T1020&gt;=3, T1020&lt;5), "med", T1020&gt;=5, "high")</f>
        <v>med</v>
      </c>
      <c r="V1020">
        <v>0</v>
      </c>
      <c r="W1020" t="str" cm="1">
        <f t="array" ref="W1020">_xlfn.IFS(V1020&lt;5, "low", AND(V1020&gt;=5, V1020&lt;10), "med", V1020&gt;=10, "high")</f>
        <v>low</v>
      </c>
      <c r="X1020">
        <v>15</v>
      </c>
      <c r="Y1020">
        <v>16</v>
      </c>
      <c r="Z1020">
        <v>16</v>
      </c>
      <c r="AA1020">
        <f t="shared" si="76"/>
        <v>0</v>
      </c>
      <c r="AB1020">
        <f t="shared" si="77"/>
        <v>0</v>
      </c>
      <c r="AC1020">
        <f t="shared" si="78"/>
        <v>0</v>
      </c>
      <c r="AD1020" s="1">
        <f t="shared" si="79"/>
        <v>15.666666666666666</v>
      </c>
    </row>
    <row r="1021" spans="1:30" x14ac:dyDescent="0.35">
      <c r="A1021" t="s">
        <v>34</v>
      </c>
      <c r="B1021">
        <v>17</v>
      </c>
      <c r="C1021" t="s">
        <v>52</v>
      </c>
      <c r="D1021" t="s">
        <v>36</v>
      </c>
      <c r="E1021" t="s">
        <v>44</v>
      </c>
      <c r="F1021" t="s">
        <v>45</v>
      </c>
      <c r="G1021" t="s">
        <v>48</v>
      </c>
      <c r="H1021">
        <v>1</v>
      </c>
      <c r="I1021">
        <v>1</v>
      </c>
      <c r="J1021" t="s">
        <v>43</v>
      </c>
      <c r="K1021" t="s">
        <v>42</v>
      </c>
      <c r="L1021" t="s">
        <v>43</v>
      </c>
      <c r="M1021" t="s">
        <v>43</v>
      </c>
      <c r="N1021" t="s">
        <v>42</v>
      </c>
      <c r="O1021">
        <v>5</v>
      </c>
      <c r="P1021">
        <v>2</v>
      </c>
      <c r="Q1021">
        <v>1</v>
      </c>
      <c r="R1021">
        <v>1</v>
      </c>
      <c r="S1021">
        <v>2</v>
      </c>
      <c r="T1021">
        <f t="shared" si="75"/>
        <v>3</v>
      </c>
      <c r="U1021" t="str" cm="1">
        <f t="array" ref="U1021">_xlfn.IFS(T1021&lt;3, "low", AND(T1021&gt;=3, T1021&lt;5), "med", T1021&gt;=5, "high")</f>
        <v>med</v>
      </c>
      <c r="V1021">
        <v>0</v>
      </c>
      <c r="W1021" t="str" cm="1">
        <f t="array" ref="W1021">_xlfn.IFS(V1021&lt;5, "low", AND(V1021&gt;=5, V1021&lt;10), "med", V1021&gt;=10, "high")</f>
        <v>low</v>
      </c>
      <c r="X1021">
        <v>8</v>
      </c>
      <c r="Y1021">
        <v>8</v>
      </c>
      <c r="Z1021">
        <v>9</v>
      </c>
      <c r="AA1021">
        <f t="shared" si="76"/>
        <v>0</v>
      </c>
      <c r="AB1021">
        <f t="shared" si="77"/>
        <v>0</v>
      </c>
      <c r="AC1021">
        <f t="shared" si="78"/>
        <v>0</v>
      </c>
      <c r="AD1021" s="1">
        <f t="shared" si="79"/>
        <v>8.3333333333333339</v>
      </c>
    </row>
    <row r="1022" spans="1:30" x14ac:dyDescent="0.35">
      <c r="A1022" t="s">
        <v>34</v>
      </c>
      <c r="B1022">
        <v>18</v>
      </c>
      <c r="C1022" t="s">
        <v>35</v>
      </c>
      <c r="D1022" t="s">
        <v>36</v>
      </c>
      <c r="E1022" t="s">
        <v>44</v>
      </c>
      <c r="F1022" t="s">
        <v>38</v>
      </c>
      <c r="G1022" t="s">
        <v>48</v>
      </c>
      <c r="H1022">
        <v>1</v>
      </c>
      <c r="I1022">
        <v>0</v>
      </c>
      <c r="J1022" t="s">
        <v>43</v>
      </c>
      <c r="K1022" t="s">
        <v>42</v>
      </c>
      <c r="L1022" t="s">
        <v>43</v>
      </c>
      <c r="M1022" t="s">
        <v>43</v>
      </c>
      <c r="N1022" t="s">
        <v>42</v>
      </c>
      <c r="O1022">
        <v>5</v>
      </c>
      <c r="P1022">
        <v>2</v>
      </c>
      <c r="Q1022">
        <v>3</v>
      </c>
      <c r="R1022">
        <v>1</v>
      </c>
      <c r="S1022">
        <v>2</v>
      </c>
      <c r="T1022">
        <f t="shared" si="75"/>
        <v>3</v>
      </c>
      <c r="U1022" t="str" cm="1">
        <f t="array" ref="U1022">_xlfn.IFS(T1022&lt;3, "low", AND(T1022&gt;=3, T1022&lt;5), "med", T1022&gt;=5, "high")</f>
        <v>med</v>
      </c>
      <c r="V1022">
        <v>0</v>
      </c>
      <c r="W1022" t="str" cm="1">
        <f t="array" ref="W1022">_xlfn.IFS(V1022&lt;5, "low", AND(V1022&gt;=5, V1022&lt;10), "med", V1022&gt;=10, "high")</f>
        <v>low</v>
      </c>
      <c r="X1022">
        <v>10</v>
      </c>
      <c r="Y1022">
        <v>10</v>
      </c>
      <c r="Z1022">
        <v>10</v>
      </c>
      <c r="AA1022">
        <f t="shared" si="76"/>
        <v>0</v>
      </c>
      <c r="AB1022">
        <f t="shared" si="77"/>
        <v>0</v>
      </c>
      <c r="AC1022">
        <f t="shared" si="78"/>
        <v>0</v>
      </c>
      <c r="AD1022" s="1">
        <f t="shared" si="79"/>
        <v>10</v>
      </c>
    </row>
    <row r="1023" spans="1:30" x14ac:dyDescent="0.35">
      <c r="A1023" t="s">
        <v>34</v>
      </c>
      <c r="B1023">
        <v>18</v>
      </c>
      <c r="C1023" t="s">
        <v>52</v>
      </c>
      <c r="D1023" t="s">
        <v>36</v>
      </c>
      <c r="E1023" t="s">
        <v>44</v>
      </c>
      <c r="F1023" t="s">
        <v>45</v>
      </c>
      <c r="G1023" t="s">
        <v>39</v>
      </c>
      <c r="H1023">
        <v>2</v>
      </c>
      <c r="I1023">
        <v>0</v>
      </c>
      <c r="J1023" t="s">
        <v>43</v>
      </c>
      <c r="K1023" t="s">
        <v>42</v>
      </c>
      <c r="L1023" t="s">
        <v>43</v>
      </c>
      <c r="M1023" t="s">
        <v>43</v>
      </c>
      <c r="N1023" t="s">
        <v>42</v>
      </c>
      <c r="O1023">
        <v>3</v>
      </c>
      <c r="P1023">
        <v>2</v>
      </c>
      <c r="Q1023">
        <v>2</v>
      </c>
      <c r="R1023">
        <v>4</v>
      </c>
      <c r="S1023">
        <v>2</v>
      </c>
      <c r="T1023">
        <f t="shared" si="75"/>
        <v>6</v>
      </c>
      <c r="U1023" t="str" cm="1">
        <f t="array" ref="U1023">_xlfn.IFS(T1023&lt;3, "low", AND(T1023&gt;=3, T1023&lt;5), "med", T1023&gt;=5, "high")</f>
        <v>high</v>
      </c>
      <c r="V1023">
        <v>0</v>
      </c>
      <c r="W1023" t="str" cm="1">
        <f t="array" ref="W1023">_xlfn.IFS(V1023&lt;5, "low", AND(V1023&gt;=5, V1023&lt;10), "med", V1023&gt;=10, "high")</f>
        <v>low</v>
      </c>
      <c r="X1023">
        <v>7</v>
      </c>
      <c r="Y1023">
        <v>5</v>
      </c>
      <c r="Z1023">
        <v>0</v>
      </c>
      <c r="AA1023">
        <f t="shared" si="76"/>
        <v>1</v>
      </c>
      <c r="AB1023">
        <f t="shared" si="77"/>
        <v>1</v>
      </c>
      <c r="AC1023">
        <f t="shared" si="78"/>
        <v>2</v>
      </c>
      <c r="AD1023" s="1">
        <f t="shared" si="79"/>
        <v>4</v>
      </c>
    </row>
    <row r="1024" spans="1:30" x14ac:dyDescent="0.35">
      <c r="A1024" t="s">
        <v>50</v>
      </c>
      <c r="B1024">
        <v>18</v>
      </c>
      <c r="C1024" t="s">
        <v>52</v>
      </c>
      <c r="D1024" t="s">
        <v>47</v>
      </c>
      <c r="E1024" t="s">
        <v>44</v>
      </c>
      <c r="F1024" t="s">
        <v>38</v>
      </c>
      <c r="G1024" t="s">
        <v>48</v>
      </c>
      <c r="H1024">
        <v>1</v>
      </c>
      <c r="I1024">
        <v>0</v>
      </c>
      <c r="J1024" t="s">
        <v>43</v>
      </c>
      <c r="K1024" t="s">
        <v>42</v>
      </c>
      <c r="L1024" t="s">
        <v>43</v>
      </c>
      <c r="M1024" t="s">
        <v>42</v>
      </c>
      <c r="N1024" t="s">
        <v>42</v>
      </c>
      <c r="O1024">
        <v>4</v>
      </c>
      <c r="P1024">
        <v>3</v>
      </c>
      <c r="Q1024">
        <v>3</v>
      </c>
      <c r="R1024">
        <v>2</v>
      </c>
      <c r="S1024">
        <v>3</v>
      </c>
      <c r="T1024">
        <f t="shared" si="75"/>
        <v>5</v>
      </c>
      <c r="U1024" t="str" cm="1">
        <f t="array" ref="U1024">_xlfn.IFS(T1024&lt;3, "low", AND(T1024&gt;=3, T1024&lt;5), "med", T1024&gt;=5, "high")</f>
        <v>high</v>
      </c>
      <c r="V1024">
        <v>3</v>
      </c>
      <c r="W1024" t="str" cm="1">
        <f t="array" ref="W1024">_xlfn.IFS(V1024&lt;5, "low", AND(V1024&gt;=5, V1024&lt;10), "med", V1024&gt;=10, "high")</f>
        <v>low</v>
      </c>
      <c r="X1024">
        <v>9</v>
      </c>
      <c r="Y1024">
        <v>10</v>
      </c>
      <c r="Z1024">
        <v>10</v>
      </c>
      <c r="AA1024">
        <f t="shared" si="76"/>
        <v>0</v>
      </c>
      <c r="AB1024">
        <f t="shared" si="77"/>
        <v>0</v>
      </c>
      <c r="AC1024">
        <f t="shared" si="78"/>
        <v>0</v>
      </c>
      <c r="AD1024" s="1">
        <f t="shared" si="79"/>
        <v>9.6666666666666661</v>
      </c>
    </row>
    <row r="1025" spans="1:30" x14ac:dyDescent="0.35">
      <c r="A1025" t="s">
        <v>34</v>
      </c>
      <c r="B1025">
        <v>17</v>
      </c>
      <c r="C1025" t="s">
        <v>35</v>
      </c>
      <c r="D1025" t="s">
        <v>36</v>
      </c>
      <c r="E1025" t="s">
        <v>44</v>
      </c>
      <c r="F1025" t="s">
        <v>45</v>
      </c>
      <c r="G1025" t="s">
        <v>38</v>
      </c>
      <c r="H1025">
        <v>3</v>
      </c>
      <c r="I1025">
        <v>0</v>
      </c>
      <c r="J1025" t="s">
        <v>43</v>
      </c>
      <c r="K1025" t="s">
        <v>43</v>
      </c>
      <c r="L1025" t="s">
        <v>43</v>
      </c>
      <c r="M1025" t="s">
        <v>42</v>
      </c>
      <c r="N1025" t="s">
        <v>42</v>
      </c>
      <c r="O1025">
        <v>3</v>
      </c>
      <c r="P1025">
        <v>4</v>
      </c>
      <c r="Q1025">
        <v>3</v>
      </c>
      <c r="R1025">
        <v>1</v>
      </c>
      <c r="S1025">
        <v>1</v>
      </c>
      <c r="T1025">
        <f t="shared" si="75"/>
        <v>2</v>
      </c>
      <c r="U1025" t="str" cm="1">
        <f t="array" ref="U1025">_xlfn.IFS(T1025&lt;3, "low", AND(T1025&gt;=3, T1025&lt;5), "med", T1025&gt;=5, "high")</f>
        <v>low</v>
      </c>
      <c r="V1025">
        <v>8</v>
      </c>
      <c r="W1025" t="str" cm="1">
        <f t="array" ref="W1025">_xlfn.IFS(V1025&lt;5, "low", AND(V1025&gt;=5, V1025&lt;10), "med", V1025&gt;=10, "high")</f>
        <v>med</v>
      </c>
      <c r="X1025">
        <v>10</v>
      </c>
      <c r="Y1025">
        <v>11</v>
      </c>
      <c r="Z1025">
        <v>12</v>
      </c>
      <c r="AA1025">
        <f t="shared" si="76"/>
        <v>0</v>
      </c>
      <c r="AB1025">
        <f t="shared" si="77"/>
        <v>0</v>
      </c>
      <c r="AC1025">
        <f t="shared" si="78"/>
        <v>0</v>
      </c>
      <c r="AD1025" s="1">
        <f t="shared" si="79"/>
        <v>11</v>
      </c>
    </row>
    <row r="1026" spans="1:30" x14ac:dyDescent="0.35">
      <c r="A1026" t="s">
        <v>34</v>
      </c>
      <c r="B1026">
        <v>17</v>
      </c>
      <c r="C1026" t="s">
        <v>52</v>
      </c>
      <c r="D1026" t="s">
        <v>36</v>
      </c>
      <c r="E1026" t="s">
        <v>44</v>
      </c>
      <c r="F1026" t="s">
        <v>45</v>
      </c>
      <c r="G1026" t="s">
        <v>45</v>
      </c>
      <c r="H1026">
        <v>1</v>
      </c>
      <c r="I1026">
        <v>0</v>
      </c>
      <c r="J1026" t="s">
        <v>43</v>
      </c>
      <c r="K1026" t="s">
        <v>43</v>
      </c>
      <c r="L1026" t="s">
        <v>43</v>
      </c>
      <c r="M1026" t="s">
        <v>42</v>
      </c>
      <c r="N1026" t="s">
        <v>43</v>
      </c>
      <c r="O1026">
        <v>3</v>
      </c>
      <c r="P1026">
        <v>5</v>
      </c>
      <c r="Q1026">
        <v>5</v>
      </c>
      <c r="R1026">
        <v>1</v>
      </c>
      <c r="S1026">
        <v>3</v>
      </c>
      <c r="T1026">
        <f t="shared" si="75"/>
        <v>4</v>
      </c>
      <c r="U1026" t="str" cm="1">
        <f t="array" ref="U1026">_xlfn.IFS(T1026&lt;3, "low", AND(T1026&gt;=3, T1026&lt;5), "med", T1026&gt;=5, "high")</f>
        <v>med</v>
      </c>
      <c r="V1026">
        <v>4</v>
      </c>
      <c r="W1026" t="str" cm="1">
        <f t="array" ref="W1026">_xlfn.IFS(V1026&lt;5, "low", AND(V1026&gt;=5, V1026&lt;10), "med", V1026&gt;=10, "high")</f>
        <v>low</v>
      </c>
      <c r="X1026">
        <v>7</v>
      </c>
      <c r="Y1026">
        <v>8</v>
      </c>
      <c r="Z1026">
        <v>9</v>
      </c>
      <c r="AA1026">
        <f t="shared" si="76"/>
        <v>0</v>
      </c>
      <c r="AB1026">
        <f t="shared" si="77"/>
        <v>0</v>
      </c>
      <c r="AC1026">
        <f t="shared" si="78"/>
        <v>0</v>
      </c>
      <c r="AD1026" s="1">
        <f t="shared" si="79"/>
        <v>8</v>
      </c>
    </row>
    <row r="1027" spans="1:30" x14ac:dyDescent="0.35">
      <c r="A1027" t="s">
        <v>34</v>
      </c>
      <c r="B1027">
        <v>18</v>
      </c>
      <c r="C1027" t="s">
        <v>52</v>
      </c>
      <c r="D1027" t="s">
        <v>47</v>
      </c>
      <c r="E1027" t="s">
        <v>44</v>
      </c>
      <c r="F1027" t="s">
        <v>45</v>
      </c>
      <c r="G1027" t="s">
        <v>45</v>
      </c>
      <c r="H1027">
        <v>3</v>
      </c>
      <c r="I1027">
        <v>0</v>
      </c>
      <c r="J1027" t="s">
        <v>43</v>
      </c>
      <c r="K1027" t="s">
        <v>43</v>
      </c>
      <c r="L1027" t="s">
        <v>43</v>
      </c>
      <c r="M1027" t="s">
        <v>43</v>
      </c>
      <c r="N1027" t="s">
        <v>43</v>
      </c>
      <c r="O1027">
        <v>5</v>
      </c>
      <c r="P1027">
        <v>4</v>
      </c>
      <c r="Q1027">
        <v>4</v>
      </c>
      <c r="R1027">
        <v>1</v>
      </c>
      <c r="S1027">
        <v>1</v>
      </c>
      <c r="T1027">
        <f t="shared" ref="T1027:T1045" si="80">R1027+S1027</f>
        <v>2</v>
      </c>
      <c r="U1027" t="str" cm="1">
        <f t="array" ref="U1027">_xlfn.IFS(T1027&lt;3, "low", AND(T1027&gt;=3, T1027&lt;5), "med", T1027&gt;=5, "high")</f>
        <v>low</v>
      </c>
      <c r="V1027">
        <v>0</v>
      </c>
      <c r="W1027" t="str" cm="1">
        <f t="array" ref="W1027">_xlfn.IFS(V1027&lt;5, "low", AND(V1027&gt;=5, V1027&lt;10), "med", V1027&gt;=10, "high")</f>
        <v>low</v>
      </c>
      <c r="X1027">
        <v>15</v>
      </c>
      <c r="Y1027">
        <v>17</v>
      </c>
      <c r="Z1027">
        <v>17</v>
      </c>
      <c r="AA1027">
        <f t="shared" ref="AA1027:AA1045" si="81">IF(Y1027&lt;X1027,1,0)</f>
        <v>0</v>
      </c>
      <c r="AB1027">
        <f t="shared" ref="AB1027:AB1045" si="82">IF(Z1027&lt;Y1027,1,0)</f>
        <v>0</v>
      </c>
      <c r="AC1027">
        <f t="shared" ref="AC1027:AC1045" si="83">SUM(AA1027:AB1027)</f>
        <v>0</v>
      </c>
      <c r="AD1027" s="1">
        <f t="shared" ref="AD1027:AD1045" si="84">AVERAGE(X1027:Z1027)</f>
        <v>16.333333333333332</v>
      </c>
    </row>
    <row r="1028" spans="1:30" x14ac:dyDescent="0.35">
      <c r="A1028" t="s">
        <v>34</v>
      </c>
      <c r="B1028">
        <v>18</v>
      </c>
      <c r="C1028" t="s">
        <v>52</v>
      </c>
      <c r="D1028" t="s">
        <v>36</v>
      </c>
      <c r="E1028" t="s">
        <v>44</v>
      </c>
      <c r="F1028" t="s">
        <v>45</v>
      </c>
      <c r="G1028" t="s">
        <v>45</v>
      </c>
      <c r="H1028">
        <v>3</v>
      </c>
      <c r="I1028">
        <v>0</v>
      </c>
      <c r="J1028" t="s">
        <v>43</v>
      </c>
      <c r="K1028" t="s">
        <v>43</v>
      </c>
      <c r="L1028" t="s">
        <v>43</v>
      </c>
      <c r="M1028" t="s">
        <v>43</v>
      </c>
      <c r="N1028" t="s">
        <v>43</v>
      </c>
      <c r="O1028">
        <v>4</v>
      </c>
      <c r="P1028">
        <v>3</v>
      </c>
      <c r="Q1028">
        <v>2</v>
      </c>
      <c r="R1028">
        <v>1</v>
      </c>
      <c r="S1028">
        <v>2</v>
      </c>
      <c r="T1028">
        <f t="shared" si="80"/>
        <v>3</v>
      </c>
      <c r="U1028" t="str" cm="1">
        <f t="array" ref="U1028">_xlfn.IFS(T1028&lt;3, "low", AND(T1028&gt;=3, T1028&lt;5), "med", T1028&gt;=5, "high")</f>
        <v>med</v>
      </c>
      <c r="V1028">
        <v>4</v>
      </c>
      <c r="W1028" t="str" cm="1">
        <f t="array" ref="W1028">_xlfn.IFS(V1028&lt;5, "low", AND(V1028&gt;=5, V1028&lt;10), "med", V1028&gt;=10, "high")</f>
        <v>low</v>
      </c>
      <c r="X1028">
        <v>10</v>
      </c>
      <c r="Y1028">
        <v>11</v>
      </c>
      <c r="Z1028">
        <v>12</v>
      </c>
      <c r="AA1028">
        <f t="shared" si="81"/>
        <v>0</v>
      </c>
      <c r="AB1028">
        <f t="shared" si="82"/>
        <v>0</v>
      </c>
      <c r="AC1028">
        <f t="shared" si="83"/>
        <v>0</v>
      </c>
      <c r="AD1028" s="1">
        <f t="shared" si="84"/>
        <v>11</v>
      </c>
    </row>
    <row r="1029" spans="1:30" x14ac:dyDescent="0.35">
      <c r="A1029" t="s">
        <v>34</v>
      </c>
      <c r="B1029">
        <v>19</v>
      </c>
      <c r="C1029" t="s">
        <v>52</v>
      </c>
      <c r="D1029" t="s">
        <v>36</v>
      </c>
      <c r="E1029" t="s">
        <v>44</v>
      </c>
      <c r="F1029" t="s">
        <v>38</v>
      </c>
      <c r="G1029" t="s">
        <v>45</v>
      </c>
      <c r="H1029">
        <v>2</v>
      </c>
      <c r="I1029">
        <v>1</v>
      </c>
      <c r="J1029" t="s">
        <v>43</v>
      </c>
      <c r="K1029" t="s">
        <v>42</v>
      </c>
      <c r="L1029" t="s">
        <v>43</v>
      </c>
      <c r="M1029" t="s">
        <v>43</v>
      </c>
      <c r="N1029" t="s">
        <v>42</v>
      </c>
      <c r="O1029">
        <v>4</v>
      </c>
      <c r="P1029">
        <v>3</v>
      </c>
      <c r="Q1029">
        <v>3</v>
      </c>
      <c r="R1029">
        <v>1</v>
      </c>
      <c r="S1029">
        <v>1</v>
      </c>
      <c r="T1029">
        <f t="shared" si="80"/>
        <v>2</v>
      </c>
      <c r="U1029" t="str" cm="1">
        <f t="array" ref="U1029">_xlfn.IFS(T1029&lt;3, "low", AND(T1029&gt;=3, T1029&lt;5), "med", T1029&gt;=5, "high")</f>
        <v>low</v>
      </c>
      <c r="V1029">
        <v>4</v>
      </c>
      <c r="W1029" t="str" cm="1">
        <f t="array" ref="W1029">_xlfn.IFS(V1029&lt;5, "low", AND(V1029&gt;=5, V1029&lt;10), "med", V1029&gt;=10, "high")</f>
        <v>low</v>
      </c>
      <c r="X1029">
        <v>7</v>
      </c>
      <c r="Y1029">
        <v>8</v>
      </c>
      <c r="Z1029">
        <v>9</v>
      </c>
      <c r="AA1029">
        <f t="shared" si="81"/>
        <v>0</v>
      </c>
      <c r="AB1029">
        <f t="shared" si="82"/>
        <v>0</v>
      </c>
      <c r="AC1029">
        <f t="shared" si="83"/>
        <v>0</v>
      </c>
      <c r="AD1029" s="1">
        <f t="shared" si="84"/>
        <v>8</v>
      </c>
    </row>
    <row r="1030" spans="1:30" x14ac:dyDescent="0.35">
      <c r="A1030" t="s">
        <v>34</v>
      </c>
      <c r="B1030">
        <v>18</v>
      </c>
      <c r="C1030" t="s">
        <v>52</v>
      </c>
      <c r="D1030" t="s">
        <v>47</v>
      </c>
      <c r="E1030" t="s">
        <v>44</v>
      </c>
      <c r="F1030" t="s">
        <v>39</v>
      </c>
      <c r="G1030" t="s">
        <v>48</v>
      </c>
      <c r="H1030">
        <v>2</v>
      </c>
      <c r="I1030">
        <v>0</v>
      </c>
      <c r="J1030" t="s">
        <v>43</v>
      </c>
      <c r="K1030" t="s">
        <v>43</v>
      </c>
      <c r="L1030" t="s">
        <v>43</v>
      </c>
      <c r="M1030" t="s">
        <v>42</v>
      </c>
      <c r="N1030" t="s">
        <v>43</v>
      </c>
      <c r="O1030">
        <v>5</v>
      </c>
      <c r="P1030">
        <v>4</v>
      </c>
      <c r="Q1030">
        <v>3</v>
      </c>
      <c r="R1030">
        <v>3</v>
      </c>
      <c r="S1030">
        <v>4</v>
      </c>
      <c r="T1030">
        <f t="shared" si="80"/>
        <v>7</v>
      </c>
      <c r="U1030" t="str" cm="1">
        <f t="array" ref="U1030">_xlfn.IFS(T1030&lt;3, "low", AND(T1030&gt;=3, T1030&lt;5), "med", T1030&gt;=5, "high")</f>
        <v>high</v>
      </c>
      <c r="V1030">
        <v>1</v>
      </c>
      <c r="W1030" t="str" cm="1">
        <f t="array" ref="W1030">_xlfn.IFS(V1030&lt;5, "low", AND(V1030&gt;=5, V1030&lt;10), "med", V1030&gt;=10, "high")</f>
        <v>low</v>
      </c>
      <c r="X1030">
        <v>13</v>
      </c>
      <c r="Y1030">
        <v>14</v>
      </c>
      <c r="Z1030">
        <v>14</v>
      </c>
      <c r="AA1030">
        <f t="shared" si="81"/>
        <v>0</v>
      </c>
      <c r="AB1030">
        <f t="shared" si="82"/>
        <v>0</v>
      </c>
      <c r="AC1030">
        <f t="shared" si="83"/>
        <v>0</v>
      </c>
      <c r="AD1030" s="1">
        <f t="shared" si="84"/>
        <v>13.666666666666666</v>
      </c>
    </row>
    <row r="1031" spans="1:30" x14ac:dyDescent="0.35">
      <c r="A1031" t="s">
        <v>34</v>
      </c>
      <c r="B1031">
        <v>18</v>
      </c>
      <c r="C1031" t="s">
        <v>35</v>
      </c>
      <c r="D1031" t="s">
        <v>36</v>
      </c>
      <c r="E1031" t="s">
        <v>44</v>
      </c>
      <c r="F1031" t="s">
        <v>45</v>
      </c>
      <c r="G1031" t="s">
        <v>45</v>
      </c>
      <c r="H1031">
        <v>2</v>
      </c>
      <c r="I1031">
        <v>0</v>
      </c>
      <c r="J1031" t="s">
        <v>43</v>
      </c>
      <c r="K1031" t="s">
        <v>43</v>
      </c>
      <c r="L1031" t="s">
        <v>43</v>
      </c>
      <c r="M1031" t="s">
        <v>43</v>
      </c>
      <c r="N1031" t="s">
        <v>42</v>
      </c>
      <c r="O1031">
        <v>4</v>
      </c>
      <c r="P1031">
        <v>1</v>
      </c>
      <c r="Q1031">
        <v>3</v>
      </c>
      <c r="R1031">
        <v>1</v>
      </c>
      <c r="S1031">
        <v>2</v>
      </c>
      <c r="T1031">
        <f t="shared" si="80"/>
        <v>3</v>
      </c>
      <c r="U1031" t="str" cm="1">
        <f t="array" ref="U1031">_xlfn.IFS(T1031&lt;3, "low", AND(T1031&gt;=3, T1031&lt;5), "med", T1031&gt;=5, "high")</f>
        <v>med</v>
      </c>
      <c r="V1031">
        <v>1</v>
      </c>
      <c r="W1031" t="str" cm="1">
        <f t="array" ref="W1031">_xlfn.IFS(V1031&lt;5, "low", AND(V1031&gt;=5, V1031&lt;10), "med", V1031&gt;=10, "high")</f>
        <v>low</v>
      </c>
      <c r="X1031">
        <v>16</v>
      </c>
      <c r="Y1031">
        <v>16</v>
      </c>
      <c r="Z1031">
        <v>16</v>
      </c>
      <c r="AA1031">
        <f t="shared" si="81"/>
        <v>0</v>
      </c>
      <c r="AB1031">
        <f t="shared" si="82"/>
        <v>0</v>
      </c>
      <c r="AC1031">
        <f t="shared" si="83"/>
        <v>0</v>
      </c>
      <c r="AD1031" s="1">
        <f t="shared" si="84"/>
        <v>16</v>
      </c>
    </row>
    <row r="1032" spans="1:30" x14ac:dyDescent="0.35">
      <c r="A1032" t="s">
        <v>34</v>
      </c>
      <c r="B1032">
        <v>17</v>
      </c>
      <c r="C1032" t="s">
        <v>52</v>
      </c>
      <c r="D1032" t="s">
        <v>36</v>
      </c>
      <c r="E1032" t="s">
        <v>44</v>
      </c>
      <c r="F1032" t="s">
        <v>38</v>
      </c>
      <c r="G1032" t="s">
        <v>45</v>
      </c>
      <c r="H1032">
        <v>2</v>
      </c>
      <c r="I1032">
        <v>0</v>
      </c>
      <c r="J1032" t="s">
        <v>43</v>
      </c>
      <c r="K1032" t="s">
        <v>42</v>
      </c>
      <c r="L1032" t="s">
        <v>43</v>
      </c>
      <c r="M1032" t="s">
        <v>42</v>
      </c>
      <c r="N1032" t="s">
        <v>43</v>
      </c>
      <c r="O1032">
        <v>4</v>
      </c>
      <c r="P1032">
        <v>5</v>
      </c>
      <c r="Q1032">
        <v>4</v>
      </c>
      <c r="R1032">
        <v>2</v>
      </c>
      <c r="S1032">
        <v>3</v>
      </c>
      <c r="T1032">
        <f t="shared" si="80"/>
        <v>5</v>
      </c>
      <c r="U1032" t="str" cm="1">
        <f t="array" ref="U1032">_xlfn.IFS(T1032&lt;3, "low", AND(T1032&gt;=3, T1032&lt;5), "med", T1032&gt;=5, "high")</f>
        <v>high</v>
      </c>
      <c r="V1032">
        <v>10</v>
      </c>
      <c r="W1032" t="str" cm="1">
        <f t="array" ref="W1032">_xlfn.IFS(V1032&lt;5, "low", AND(V1032&gt;=5, V1032&lt;10), "med", V1032&gt;=10, "high")</f>
        <v>high</v>
      </c>
      <c r="X1032">
        <v>8</v>
      </c>
      <c r="Y1032">
        <v>9</v>
      </c>
      <c r="Z1032">
        <v>9</v>
      </c>
      <c r="AA1032">
        <f t="shared" si="81"/>
        <v>0</v>
      </c>
      <c r="AB1032">
        <f t="shared" si="82"/>
        <v>0</v>
      </c>
      <c r="AC1032">
        <f t="shared" si="83"/>
        <v>0</v>
      </c>
      <c r="AD1032" s="1">
        <f t="shared" si="84"/>
        <v>8.6666666666666661</v>
      </c>
    </row>
    <row r="1033" spans="1:30" x14ac:dyDescent="0.35">
      <c r="A1033" t="s">
        <v>50</v>
      </c>
      <c r="B1033">
        <v>18</v>
      </c>
      <c r="C1033" t="s">
        <v>35</v>
      </c>
      <c r="D1033" t="s">
        <v>36</v>
      </c>
      <c r="E1033" t="s">
        <v>44</v>
      </c>
      <c r="F1033" t="s">
        <v>39</v>
      </c>
      <c r="G1033" t="s">
        <v>39</v>
      </c>
      <c r="H1033">
        <v>2</v>
      </c>
      <c r="I1033">
        <v>0</v>
      </c>
      <c r="J1033" t="s">
        <v>43</v>
      </c>
      <c r="K1033" t="s">
        <v>43</v>
      </c>
      <c r="L1033" t="s">
        <v>43</v>
      </c>
      <c r="M1033" t="s">
        <v>42</v>
      </c>
      <c r="N1033" t="s">
        <v>43</v>
      </c>
      <c r="O1033">
        <v>3</v>
      </c>
      <c r="P1033">
        <v>2</v>
      </c>
      <c r="Q1033">
        <v>4</v>
      </c>
      <c r="R1033">
        <v>1</v>
      </c>
      <c r="S1033">
        <v>4</v>
      </c>
      <c r="T1033">
        <f t="shared" si="80"/>
        <v>5</v>
      </c>
      <c r="U1033" t="str" cm="1">
        <f t="array" ref="U1033">_xlfn.IFS(T1033&lt;3, "low", AND(T1033&gt;=3, T1033&lt;5), "med", T1033&gt;=5, "high")</f>
        <v>high</v>
      </c>
      <c r="V1033">
        <v>4</v>
      </c>
      <c r="W1033" t="str" cm="1">
        <f t="array" ref="W1033">_xlfn.IFS(V1033&lt;5, "low", AND(V1033&gt;=5, V1033&lt;10), "med", V1033&gt;=10, "high")</f>
        <v>low</v>
      </c>
      <c r="X1033">
        <v>17</v>
      </c>
      <c r="Y1033">
        <v>18</v>
      </c>
      <c r="Z1033">
        <v>19</v>
      </c>
      <c r="AA1033">
        <f t="shared" si="81"/>
        <v>0</v>
      </c>
      <c r="AB1033">
        <f t="shared" si="82"/>
        <v>0</v>
      </c>
      <c r="AC1033">
        <f t="shared" si="83"/>
        <v>0</v>
      </c>
      <c r="AD1033" s="1">
        <f t="shared" si="84"/>
        <v>18</v>
      </c>
    </row>
    <row r="1034" spans="1:30" x14ac:dyDescent="0.35">
      <c r="A1034" t="s">
        <v>50</v>
      </c>
      <c r="B1034">
        <v>18</v>
      </c>
      <c r="C1034" t="s">
        <v>52</v>
      </c>
      <c r="D1034" t="s">
        <v>36</v>
      </c>
      <c r="E1034" t="s">
        <v>44</v>
      </c>
      <c r="F1034" t="s">
        <v>45</v>
      </c>
      <c r="G1034" t="s">
        <v>45</v>
      </c>
      <c r="H1034">
        <v>1</v>
      </c>
      <c r="I1034">
        <v>0</v>
      </c>
      <c r="J1034" t="s">
        <v>43</v>
      </c>
      <c r="K1034" t="s">
        <v>43</v>
      </c>
      <c r="L1034" t="s">
        <v>43</v>
      </c>
      <c r="M1034" t="s">
        <v>42</v>
      </c>
      <c r="N1034" t="s">
        <v>42</v>
      </c>
      <c r="O1034">
        <v>4</v>
      </c>
      <c r="P1034">
        <v>4</v>
      </c>
      <c r="Q1034">
        <v>3</v>
      </c>
      <c r="R1034">
        <v>1</v>
      </c>
      <c r="S1034">
        <v>3</v>
      </c>
      <c r="T1034">
        <f t="shared" si="80"/>
        <v>4</v>
      </c>
      <c r="U1034" t="str" cm="1">
        <f t="array" ref="U1034">_xlfn.IFS(T1034&lt;3, "low", AND(T1034&gt;=3, T1034&lt;5), "med", T1034&gt;=5, "high")</f>
        <v>med</v>
      </c>
      <c r="V1034">
        <v>0</v>
      </c>
      <c r="W1034" t="str" cm="1">
        <f t="array" ref="W1034">_xlfn.IFS(V1034&lt;5, "low", AND(V1034&gt;=5, V1034&lt;10), "med", V1034&gt;=10, "high")</f>
        <v>low</v>
      </c>
      <c r="X1034">
        <v>7</v>
      </c>
      <c r="Y1034">
        <v>7</v>
      </c>
      <c r="Z1034">
        <v>0</v>
      </c>
      <c r="AA1034">
        <f t="shared" si="81"/>
        <v>0</v>
      </c>
      <c r="AB1034">
        <f t="shared" si="82"/>
        <v>1</v>
      </c>
      <c r="AC1034">
        <f t="shared" si="83"/>
        <v>1</v>
      </c>
      <c r="AD1034" s="1">
        <f t="shared" si="84"/>
        <v>4.666666666666667</v>
      </c>
    </row>
    <row r="1035" spans="1:30" x14ac:dyDescent="0.35">
      <c r="A1035" t="s">
        <v>50</v>
      </c>
      <c r="B1035">
        <v>17</v>
      </c>
      <c r="C1035" t="s">
        <v>35</v>
      </c>
      <c r="D1035" t="s">
        <v>36</v>
      </c>
      <c r="E1035" t="s">
        <v>44</v>
      </c>
      <c r="F1035" t="s">
        <v>45</v>
      </c>
      <c r="G1035" t="s">
        <v>48</v>
      </c>
      <c r="H1035">
        <v>2</v>
      </c>
      <c r="I1035">
        <v>0</v>
      </c>
      <c r="J1035" t="s">
        <v>43</v>
      </c>
      <c r="K1035" t="s">
        <v>43</v>
      </c>
      <c r="L1035" t="s">
        <v>43</v>
      </c>
      <c r="M1035" t="s">
        <v>42</v>
      </c>
      <c r="N1035" t="s">
        <v>43</v>
      </c>
      <c r="O1035">
        <v>4</v>
      </c>
      <c r="P1035">
        <v>4</v>
      </c>
      <c r="Q1035">
        <v>3</v>
      </c>
      <c r="R1035">
        <v>1</v>
      </c>
      <c r="S1035">
        <v>1</v>
      </c>
      <c r="T1035">
        <f t="shared" si="80"/>
        <v>2</v>
      </c>
      <c r="U1035" t="str" cm="1">
        <f t="array" ref="U1035">_xlfn.IFS(T1035&lt;3, "low", AND(T1035&gt;=3, T1035&lt;5), "med", T1035&gt;=5, "high")</f>
        <v>low</v>
      </c>
      <c r="V1035">
        <v>4</v>
      </c>
      <c r="W1035" t="str" cm="1">
        <f t="array" ref="W1035">_xlfn.IFS(V1035&lt;5, "low", AND(V1035&gt;=5, V1035&lt;10), "med", V1035&gt;=10, "high")</f>
        <v>low</v>
      </c>
      <c r="X1035">
        <v>14</v>
      </c>
      <c r="Y1035">
        <v>15</v>
      </c>
      <c r="Z1035">
        <v>16</v>
      </c>
      <c r="AA1035">
        <f t="shared" si="81"/>
        <v>0</v>
      </c>
      <c r="AB1035">
        <f t="shared" si="82"/>
        <v>0</v>
      </c>
      <c r="AC1035">
        <f t="shared" si="83"/>
        <v>0</v>
      </c>
      <c r="AD1035" s="1">
        <f t="shared" si="84"/>
        <v>15</v>
      </c>
    </row>
    <row r="1036" spans="1:30" x14ac:dyDescent="0.35">
      <c r="A1036" t="s">
        <v>50</v>
      </c>
      <c r="B1036">
        <v>19</v>
      </c>
      <c r="C1036" t="s">
        <v>52</v>
      </c>
      <c r="D1036" t="s">
        <v>36</v>
      </c>
      <c r="E1036" t="s">
        <v>44</v>
      </c>
      <c r="F1036" t="s">
        <v>45</v>
      </c>
      <c r="G1036" t="s">
        <v>48</v>
      </c>
      <c r="H1036">
        <v>1</v>
      </c>
      <c r="I1036">
        <v>1</v>
      </c>
      <c r="J1036" t="s">
        <v>43</v>
      </c>
      <c r="K1036" t="s">
        <v>43</v>
      </c>
      <c r="L1036" t="s">
        <v>43</v>
      </c>
      <c r="M1036" t="s">
        <v>43</v>
      </c>
      <c r="N1036" t="s">
        <v>43</v>
      </c>
      <c r="O1036">
        <v>4</v>
      </c>
      <c r="P1036">
        <v>3</v>
      </c>
      <c r="Q1036">
        <v>2</v>
      </c>
      <c r="R1036">
        <v>1</v>
      </c>
      <c r="S1036">
        <v>3</v>
      </c>
      <c r="T1036">
        <f t="shared" si="80"/>
        <v>4</v>
      </c>
      <c r="U1036" t="str" cm="1">
        <f t="array" ref="U1036">_xlfn.IFS(T1036&lt;3, "low", AND(T1036&gt;=3, T1036&lt;5), "med", T1036&gt;=5, "high")</f>
        <v>med</v>
      </c>
      <c r="V1036">
        <v>0</v>
      </c>
      <c r="W1036" t="str" cm="1">
        <f t="array" ref="W1036">_xlfn.IFS(V1036&lt;5, "low", AND(V1036&gt;=5, V1036&lt;10), "med", V1036&gt;=10, "high")</f>
        <v>low</v>
      </c>
      <c r="X1036">
        <v>5</v>
      </c>
      <c r="Y1036">
        <v>8</v>
      </c>
      <c r="Z1036">
        <v>0</v>
      </c>
      <c r="AA1036">
        <f t="shared" si="81"/>
        <v>0</v>
      </c>
      <c r="AB1036">
        <f t="shared" si="82"/>
        <v>1</v>
      </c>
      <c r="AC1036">
        <f t="shared" si="83"/>
        <v>1</v>
      </c>
      <c r="AD1036" s="1">
        <f t="shared" si="84"/>
        <v>4.333333333333333</v>
      </c>
    </row>
    <row r="1037" spans="1:30" x14ac:dyDescent="0.35">
      <c r="A1037" t="s">
        <v>50</v>
      </c>
      <c r="B1037">
        <v>18</v>
      </c>
      <c r="C1037" t="s">
        <v>52</v>
      </c>
      <c r="D1037" t="s">
        <v>36</v>
      </c>
      <c r="E1037" t="s">
        <v>44</v>
      </c>
      <c r="F1037" t="s">
        <v>45</v>
      </c>
      <c r="G1037" t="s">
        <v>45</v>
      </c>
      <c r="H1037">
        <v>1</v>
      </c>
      <c r="I1037">
        <v>1</v>
      </c>
      <c r="J1037" t="s">
        <v>43</v>
      </c>
      <c r="K1037" t="s">
        <v>43</v>
      </c>
      <c r="L1037" t="s">
        <v>42</v>
      </c>
      <c r="M1037" t="s">
        <v>43</v>
      </c>
      <c r="N1037" t="s">
        <v>43</v>
      </c>
      <c r="O1037">
        <v>5</v>
      </c>
      <c r="P1037">
        <v>4</v>
      </c>
      <c r="Q1037">
        <v>3</v>
      </c>
      <c r="R1037">
        <v>4</v>
      </c>
      <c r="S1037">
        <v>3</v>
      </c>
      <c r="T1037">
        <f t="shared" si="80"/>
        <v>7</v>
      </c>
      <c r="U1037" t="str" cm="1">
        <f t="array" ref="U1037">_xlfn.IFS(T1037&lt;3, "low", AND(T1037&gt;=3, T1037&lt;5), "med", T1037&gt;=5, "high")</f>
        <v>high</v>
      </c>
      <c r="V1037">
        <v>0</v>
      </c>
      <c r="W1037" t="str" cm="1">
        <f t="array" ref="W1037">_xlfn.IFS(V1037&lt;5, "low", AND(V1037&gt;=5, V1037&lt;10), "med", V1037&gt;=10, "high")</f>
        <v>low</v>
      </c>
      <c r="X1037">
        <v>7</v>
      </c>
      <c r="Y1037">
        <v>7</v>
      </c>
      <c r="Z1037">
        <v>0</v>
      </c>
      <c r="AA1037">
        <f t="shared" si="81"/>
        <v>0</v>
      </c>
      <c r="AB1037">
        <f t="shared" si="82"/>
        <v>1</v>
      </c>
      <c r="AC1037">
        <f t="shared" si="83"/>
        <v>1</v>
      </c>
      <c r="AD1037" s="1">
        <f t="shared" si="84"/>
        <v>4.666666666666667</v>
      </c>
    </row>
    <row r="1038" spans="1:30" x14ac:dyDescent="0.35">
      <c r="A1038" t="s">
        <v>34</v>
      </c>
      <c r="B1038">
        <v>18</v>
      </c>
      <c r="C1038" t="s">
        <v>52</v>
      </c>
      <c r="D1038" t="s">
        <v>36</v>
      </c>
      <c r="E1038" t="s">
        <v>44</v>
      </c>
      <c r="F1038" t="s">
        <v>38</v>
      </c>
      <c r="G1038" t="s">
        <v>45</v>
      </c>
      <c r="H1038">
        <v>3</v>
      </c>
      <c r="I1038">
        <v>0</v>
      </c>
      <c r="J1038" t="s">
        <v>43</v>
      </c>
      <c r="K1038" t="s">
        <v>43</v>
      </c>
      <c r="L1038" t="s">
        <v>43</v>
      </c>
      <c r="M1038" t="s">
        <v>43</v>
      </c>
      <c r="N1038" t="s">
        <v>43</v>
      </c>
      <c r="O1038">
        <v>5</v>
      </c>
      <c r="P1038">
        <v>3</v>
      </c>
      <c r="Q1038">
        <v>3</v>
      </c>
      <c r="R1038">
        <v>1</v>
      </c>
      <c r="S1038">
        <v>3</v>
      </c>
      <c r="T1038">
        <f t="shared" si="80"/>
        <v>4</v>
      </c>
      <c r="U1038" t="str" cm="1">
        <f t="array" ref="U1038">_xlfn.IFS(T1038&lt;3, "low", AND(T1038&gt;=3, T1038&lt;5), "med", T1038&gt;=5, "high")</f>
        <v>med</v>
      </c>
      <c r="V1038">
        <v>0</v>
      </c>
      <c r="W1038" t="str" cm="1">
        <f t="array" ref="W1038">_xlfn.IFS(V1038&lt;5, "low", AND(V1038&gt;=5, V1038&lt;10), "med", V1038&gt;=10, "high")</f>
        <v>low</v>
      </c>
      <c r="X1038">
        <v>14</v>
      </c>
      <c r="Y1038">
        <v>17</v>
      </c>
      <c r="Z1038">
        <v>15</v>
      </c>
      <c r="AA1038">
        <f t="shared" si="81"/>
        <v>0</v>
      </c>
      <c r="AB1038">
        <f t="shared" si="82"/>
        <v>1</v>
      </c>
      <c r="AC1038">
        <f t="shared" si="83"/>
        <v>1</v>
      </c>
      <c r="AD1038" s="1">
        <f t="shared" si="84"/>
        <v>15.333333333333334</v>
      </c>
    </row>
    <row r="1039" spans="1:30" x14ac:dyDescent="0.35">
      <c r="A1039" t="s">
        <v>34</v>
      </c>
      <c r="B1039">
        <v>17</v>
      </c>
      <c r="C1039" t="s">
        <v>35</v>
      </c>
      <c r="D1039" t="s">
        <v>36</v>
      </c>
      <c r="E1039" t="s">
        <v>44</v>
      </c>
      <c r="F1039" t="s">
        <v>39</v>
      </c>
      <c r="G1039" t="s">
        <v>45</v>
      </c>
      <c r="H1039">
        <v>2</v>
      </c>
      <c r="I1039">
        <v>0</v>
      </c>
      <c r="J1039" t="s">
        <v>43</v>
      </c>
      <c r="K1039" t="s">
        <v>43</v>
      </c>
      <c r="L1039" t="s">
        <v>43</v>
      </c>
      <c r="M1039" t="s">
        <v>43</v>
      </c>
      <c r="N1039" t="s">
        <v>43</v>
      </c>
      <c r="O1039">
        <v>5</v>
      </c>
      <c r="P1039">
        <v>5</v>
      </c>
      <c r="Q1039">
        <v>4</v>
      </c>
      <c r="R1039">
        <v>1</v>
      </c>
      <c r="S1039">
        <v>1</v>
      </c>
      <c r="T1039">
        <f t="shared" si="80"/>
        <v>2</v>
      </c>
      <c r="U1039" t="str" cm="1">
        <f t="array" ref="U1039">_xlfn.IFS(T1039&lt;3, "low", AND(T1039&gt;=3, T1039&lt;5), "med", T1039&gt;=5, "high")</f>
        <v>low</v>
      </c>
      <c r="V1039">
        <v>0</v>
      </c>
      <c r="W1039" t="str" cm="1">
        <f t="array" ref="W1039">_xlfn.IFS(V1039&lt;5, "low", AND(V1039&gt;=5, V1039&lt;10), "med", V1039&gt;=10, "high")</f>
        <v>low</v>
      </c>
      <c r="X1039">
        <v>6</v>
      </c>
      <c r="Y1039">
        <v>9</v>
      </c>
      <c r="Z1039">
        <v>11</v>
      </c>
      <c r="AA1039">
        <f t="shared" si="81"/>
        <v>0</v>
      </c>
      <c r="AB1039">
        <f t="shared" si="82"/>
        <v>0</v>
      </c>
      <c r="AC1039">
        <f t="shared" si="83"/>
        <v>0</v>
      </c>
      <c r="AD1039" s="1">
        <f t="shared" si="84"/>
        <v>8.6666666666666661</v>
      </c>
    </row>
    <row r="1040" spans="1:30" x14ac:dyDescent="0.35">
      <c r="A1040" t="s">
        <v>34</v>
      </c>
      <c r="B1040">
        <v>18</v>
      </c>
      <c r="C1040" t="s">
        <v>52</v>
      </c>
      <c r="D1040" t="s">
        <v>36</v>
      </c>
      <c r="E1040" t="s">
        <v>44</v>
      </c>
      <c r="F1040" t="s">
        <v>39</v>
      </c>
      <c r="G1040" t="s">
        <v>38</v>
      </c>
      <c r="H1040">
        <v>1</v>
      </c>
      <c r="I1040">
        <v>0</v>
      </c>
      <c r="J1040" t="s">
        <v>43</v>
      </c>
      <c r="K1040" t="s">
        <v>42</v>
      </c>
      <c r="L1040" t="s">
        <v>43</v>
      </c>
      <c r="M1040" t="s">
        <v>42</v>
      </c>
      <c r="N1040" t="s">
        <v>42</v>
      </c>
      <c r="O1040">
        <v>4</v>
      </c>
      <c r="P1040">
        <v>4</v>
      </c>
      <c r="Q1040">
        <v>3</v>
      </c>
      <c r="R1040">
        <v>2</v>
      </c>
      <c r="S1040">
        <v>2</v>
      </c>
      <c r="T1040">
        <f t="shared" si="80"/>
        <v>4</v>
      </c>
      <c r="U1040" t="str" cm="1">
        <f t="array" ref="U1040">_xlfn.IFS(T1040&lt;3, "low", AND(T1040&gt;=3, T1040&lt;5), "med", T1040&gt;=5, "high")</f>
        <v>med</v>
      </c>
      <c r="V1040">
        <v>4</v>
      </c>
      <c r="W1040" t="str" cm="1">
        <f t="array" ref="W1040">_xlfn.IFS(V1040&lt;5, "low", AND(V1040&gt;=5, V1040&lt;10), "med", V1040&gt;=10, "high")</f>
        <v>low</v>
      </c>
      <c r="X1040">
        <v>7</v>
      </c>
      <c r="Y1040">
        <v>9</v>
      </c>
      <c r="Z1040">
        <v>10</v>
      </c>
      <c r="AA1040">
        <f t="shared" si="81"/>
        <v>0</v>
      </c>
      <c r="AB1040">
        <f t="shared" si="82"/>
        <v>0</v>
      </c>
      <c r="AC1040">
        <f t="shared" si="83"/>
        <v>0</v>
      </c>
      <c r="AD1040" s="1">
        <f t="shared" si="84"/>
        <v>8.6666666666666661</v>
      </c>
    </row>
    <row r="1041" spans="1:30" x14ac:dyDescent="0.35">
      <c r="A1041" t="s">
        <v>34</v>
      </c>
      <c r="B1041">
        <v>19</v>
      </c>
      <c r="C1041" t="s">
        <v>52</v>
      </c>
      <c r="D1041" t="s">
        <v>36</v>
      </c>
      <c r="E1041" t="s">
        <v>44</v>
      </c>
      <c r="F1041" t="s">
        <v>48</v>
      </c>
      <c r="G1041" t="s">
        <v>45</v>
      </c>
      <c r="H1041">
        <v>3</v>
      </c>
      <c r="I1041">
        <v>1</v>
      </c>
      <c r="J1041" t="s">
        <v>43</v>
      </c>
      <c r="K1041" t="s">
        <v>43</v>
      </c>
      <c r="L1041" t="s">
        <v>43</v>
      </c>
      <c r="M1041" t="s">
        <v>42</v>
      </c>
      <c r="N1041" t="s">
        <v>43</v>
      </c>
      <c r="O1041">
        <v>5</v>
      </c>
      <c r="P1041">
        <v>4</v>
      </c>
      <c r="Q1041">
        <v>2</v>
      </c>
      <c r="R1041">
        <v>1</v>
      </c>
      <c r="S1041">
        <v>2</v>
      </c>
      <c r="T1041">
        <f t="shared" si="80"/>
        <v>3</v>
      </c>
      <c r="U1041" t="str" cm="1">
        <f t="array" ref="U1041">_xlfn.IFS(T1041&lt;3, "low", AND(T1041&gt;=3, T1041&lt;5), "med", T1041&gt;=5, "high")</f>
        <v>med</v>
      </c>
      <c r="V1041">
        <v>4</v>
      </c>
      <c r="W1041" t="str" cm="1">
        <f t="array" ref="W1041">_xlfn.IFS(V1041&lt;5, "low", AND(V1041&gt;=5, V1041&lt;10), "med", V1041&gt;=10, "high")</f>
        <v>low</v>
      </c>
      <c r="X1041">
        <v>10</v>
      </c>
      <c r="Y1041">
        <v>11</v>
      </c>
      <c r="Z1041">
        <v>10</v>
      </c>
      <c r="AA1041">
        <f t="shared" si="81"/>
        <v>0</v>
      </c>
      <c r="AB1041">
        <f t="shared" si="82"/>
        <v>1</v>
      </c>
      <c r="AC1041">
        <f t="shared" si="83"/>
        <v>1</v>
      </c>
      <c r="AD1041" s="1">
        <f t="shared" si="84"/>
        <v>10.333333333333334</v>
      </c>
    </row>
    <row r="1042" spans="1:30" x14ac:dyDescent="0.35">
      <c r="A1042" t="s">
        <v>34</v>
      </c>
      <c r="B1042">
        <v>18</v>
      </c>
      <c r="C1042" t="s">
        <v>35</v>
      </c>
      <c r="D1042" t="s">
        <v>47</v>
      </c>
      <c r="E1042" t="s">
        <v>44</v>
      </c>
      <c r="F1042" t="s">
        <v>39</v>
      </c>
      <c r="G1042" t="s">
        <v>48</v>
      </c>
      <c r="H1042">
        <v>2</v>
      </c>
      <c r="I1042">
        <v>0</v>
      </c>
      <c r="J1042" t="s">
        <v>43</v>
      </c>
      <c r="K1042" t="s">
        <v>42</v>
      </c>
      <c r="L1042" t="s">
        <v>43</v>
      </c>
      <c r="M1042" t="s">
        <v>43</v>
      </c>
      <c r="N1042" t="s">
        <v>43</v>
      </c>
      <c r="O1042">
        <v>4</v>
      </c>
      <c r="P1042">
        <v>3</v>
      </c>
      <c r="Q1042">
        <v>4</v>
      </c>
      <c r="R1042">
        <v>1</v>
      </c>
      <c r="S1042">
        <v>1</v>
      </c>
      <c r="T1042">
        <f t="shared" si="80"/>
        <v>2</v>
      </c>
      <c r="U1042" t="str" cm="1">
        <f t="array" ref="U1042">_xlfn.IFS(T1042&lt;3, "low", AND(T1042&gt;=3, T1042&lt;5), "med", T1042&gt;=5, "high")</f>
        <v>low</v>
      </c>
      <c r="V1042">
        <v>4</v>
      </c>
      <c r="W1042" t="str" cm="1">
        <f t="array" ref="W1042">_xlfn.IFS(V1042&lt;5, "low", AND(V1042&gt;=5, V1042&lt;10), "med", V1042&gt;=10, "high")</f>
        <v>low</v>
      </c>
      <c r="X1042">
        <v>15</v>
      </c>
      <c r="Y1042">
        <v>15</v>
      </c>
      <c r="Z1042">
        <v>16</v>
      </c>
      <c r="AA1042">
        <f t="shared" si="81"/>
        <v>0</v>
      </c>
      <c r="AB1042">
        <f t="shared" si="82"/>
        <v>0</v>
      </c>
      <c r="AC1042">
        <f t="shared" si="83"/>
        <v>0</v>
      </c>
      <c r="AD1042" s="1">
        <f t="shared" si="84"/>
        <v>15.333333333333334</v>
      </c>
    </row>
    <row r="1043" spans="1:30" x14ac:dyDescent="0.35">
      <c r="A1043" t="s">
        <v>34</v>
      </c>
      <c r="B1043">
        <v>18</v>
      </c>
      <c r="C1043" t="s">
        <v>35</v>
      </c>
      <c r="D1043" t="s">
        <v>36</v>
      </c>
      <c r="E1043" t="s">
        <v>44</v>
      </c>
      <c r="F1043" t="s">
        <v>45</v>
      </c>
      <c r="G1043" t="s">
        <v>45</v>
      </c>
      <c r="H1043">
        <v>2</v>
      </c>
      <c r="I1043">
        <v>0</v>
      </c>
      <c r="J1043" t="s">
        <v>43</v>
      </c>
      <c r="K1043" t="s">
        <v>43</v>
      </c>
      <c r="L1043" t="s">
        <v>43</v>
      </c>
      <c r="M1043" t="s">
        <v>42</v>
      </c>
      <c r="N1043" t="s">
        <v>43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f t="shared" si="80"/>
        <v>2</v>
      </c>
      <c r="U1043" t="str" cm="1">
        <f t="array" ref="U1043">_xlfn.IFS(T1043&lt;3, "low", AND(T1043&gt;=3, T1043&lt;5), "med", T1043&gt;=5, "high")</f>
        <v>low</v>
      </c>
      <c r="V1043">
        <v>6</v>
      </c>
      <c r="W1043" t="str" cm="1">
        <f t="array" ref="W1043">_xlfn.IFS(V1043&lt;5, "low", AND(V1043&gt;=5, V1043&lt;10), "med", V1043&gt;=10, "high")</f>
        <v>med</v>
      </c>
      <c r="X1043">
        <v>11</v>
      </c>
      <c r="Y1043">
        <v>12</v>
      </c>
      <c r="Z1043">
        <v>9</v>
      </c>
      <c r="AA1043">
        <f t="shared" si="81"/>
        <v>0</v>
      </c>
      <c r="AB1043">
        <f t="shared" si="82"/>
        <v>1</v>
      </c>
      <c r="AC1043">
        <f t="shared" si="83"/>
        <v>1</v>
      </c>
      <c r="AD1043" s="1">
        <f t="shared" si="84"/>
        <v>10.666666666666666</v>
      </c>
    </row>
    <row r="1044" spans="1:30" x14ac:dyDescent="0.35">
      <c r="A1044" t="s">
        <v>50</v>
      </c>
      <c r="B1044">
        <v>17</v>
      </c>
      <c r="C1044" t="s">
        <v>35</v>
      </c>
      <c r="D1044" t="s">
        <v>47</v>
      </c>
      <c r="E1044" t="s">
        <v>44</v>
      </c>
      <c r="F1044" t="s">
        <v>48</v>
      </c>
      <c r="G1044" t="s">
        <v>48</v>
      </c>
      <c r="H1044">
        <v>1</v>
      </c>
      <c r="I1044">
        <v>0</v>
      </c>
      <c r="J1044" t="s">
        <v>43</v>
      </c>
      <c r="K1044" t="s">
        <v>43</v>
      </c>
      <c r="L1044" t="s">
        <v>43</v>
      </c>
      <c r="M1044" t="s">
        <v>43</v>
      </c>
      <c r="N1044" t="s">
        <v>43</v>
      </c>
      <c r="O1044">
        <v>2</v>
      </c>
      <c r="P1044">
        <v>4</v>
      </c>
      <c r="Q1044">
        <v>5</v>
      </c>
      <c r="R1044">
        <v>3</v>
      </c>
      <c r="S1044">
        <v>4</v>
      </c>
      <c r="T1044">
        <f t="shared" si="80"/>
        <v>7</v>
      </c>
      <c r="U1044" t="str" cm="1">
        <f t="array" ref="U1044">_xlfn.IFS(T1044&lt;3, "low", AND(T1044&gt;=3, T1044&lt;5), "med", T1044&gt;=5, "high")</f>
        <v>high</v>
      </c>
      <c r="V1044">
        <v>6</v>
      </c>
      <c r="W1044" t="str" cm="1">
        <f t="array" ref="W1044">_xlfn.IFS(V1044&lt;5, "low", AND(V1044&gt;=5, V1044&lt;10), "med", V1044&gt;=10, "high")</f>
        <v>med</v>
      </c>
      <c r="X1044">
        <v>10</v>
      </c>
      <c r="Y1044">
        <v>10</v>
      </c>
      <c r="Z1044">
        <v>10</v>
      </c>
      <c r="AA1044">
        <f t="shared" si="81"/>
        <v>0</v>
      </c>
      <c r="AB1044">
        <f t="shared" si="82"/>
        <v>0</v>
      </c>
      <c r="AC1044">
        <f t="shared" si="83"/>
        <v>0</v>
      </c>
      <c r="AD1044" s="1">
        <f t="shared" si="84"/>
        <v>10</v>
      </c>
    </row>
    <row r="1045" spans="1:30" x14ac:dyDescent="0.35">
      <c r="A1045" t="s">
        <v>50</v>
      </c>
      <c r="B1045">
        <v>18</v>
      </c>
      <c r="C1045" t="s">
        <v>52</v>
      </c>
      <c r="D1045" t="s">
        <v>47</v>
      </c>
      <c r="E1045" t="s">
        <v>44</v>
      </c>
      <c r="F1045" t="s">
        <v>48</v>
      </c>
      <c r="G1045" t="s">
        <v>45</v>
      </c>
      <c r="H1045">
        <v>1</v>
      </c>
      <c r="I1045">
        <v>0</v>
      </c>
      <c r="J1045" t="s">
        <v>43</v>
      </c>
      <c r="K1045" t="s">
        <v>43</v>
      </c>
      <c r="L1045" t="s">
        <v>43</v>
      </c>
      <c r="M1045" t="s">
        <v>43</v>
      </c>
      <c r="N1045" t="s">
        <v>43</v>
      </c>
      <c r="O1045">
        <v>4</v>
      </c>
      <c r="P1045">
        <v>4</v>
      </c>
      <c r="Q1045">
        <v>1</v>
      </c>
      <c r="R1045">
        <v>3</v>
      </c>
      <c r="S1045">
        <v>4</v>
      </c>
      <c r="T1045">
        <f t="shared" si="80"/>
        <v>7</v>
      </c>
      <c r="U1045" t="str" cm="1">
        <f t="array" ref="U1045">_xlfn.IFS(T1045&lt;3, "low", AND(T1045&gt;=3, T1045&lt;5), "med", T1045&gt;=5, "high")</f>
        <v>high</v>
      </c>
      <c r="V1045">
        <v>4</v>
      </c>
      <c r="W1045" t="str" cm="1">
        <f t="array" ref="W1045">_xlfn.IFS(V1045&lt;5, "low", AND(V1045&gt;=5, V1045&lt;10), "med", V1045&gt;=10, "high")</f>
        <v>low</v>
      </c>
      <c r="X1045">
        <v>10</v>
      </c>
      <c r="Y1045">
        <v>11</v>
      </c>
      <c r="Z1045">
        <v>11</v>
      </c>
      <c r="AA1045">
        <f t="shared" si="81"/>
        <v>0</v>
      </c>
      <c r="AB1045">
        <f t="shared" si="82"/>
        <v>0</v>
      </c>
      <c r="AC1045">
        <f t="shared" si="83"/>
        <v>0</v>
      </c>
      <c r="AD1045" s="1">
        <f t="shared" si="84"/>
        <v>10.666666666666666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E491-D10E-4614-A957-07EBFF85A43C}">
  <dimension ref="A1:U1045"/>
  <sheetViews>
    <sheetView tabSelected="1" topLeftCell="D1" workbookViewId="0">
      <selection activeCell="V1" sqref="V1:V1048576"/>
    </sheetView>
  </sheetViews>
  <sheetFormatPr defaultRowHeight="14.5" x14ac:dyDescent="0.35"/>
  <sheetData>
    <row r="1" spans="1:21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9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22</v>
      </c>
      <c r="O1" t="s">
        <v>23</v>
      </c>
      <c r="P1" t="s">
        <v>24</v>
      </c>
      <c r="Q1" t="s">
        <v>25</v>
      </c>
      <c r="R1" t="s">
        <v>56</v>
      </c>
      <c r="S1" t="s">
        <v>59</v>
      </c>
      <c r="T1" t="s">
        <v>60</v>
      </c>
      <c r="U1" t="s">
        <v>54</v>
      </c>
    </row>
    <row r="2" spans="1:21" x14ac:dyDescent="0.35">
      <c r="A2" t="s">
        <v>34</v>
      </c>
      <c r="B2">
        <v>18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>
        <v>2</v>
      </c>
      <c r="I2">
        <v>0</v>
      </c>
      <c r="J2" t="s">
        <v>42</v>
      </c>
      <c r="K2" t="s">
        <v>43</v>
      </c>
      <c r="L2" t="s">
        <v>43</v>
      </c>
      <c r="M2" t="s">
        <v>43</v>
      </c>
      <c r="N2" t="s">
        <v>43</v>
      </c>
      <c r="O2">
        <v>4</v>
      </c>
      <c r="P2">
        <v>3</v>
      </c>
      <c r="Q2">
        <v>4</v>
      </c>
      <c r="R2" t="s">
        <v>62</v>
      </c>
      <c r="S2">
        <v>0</v>
      </c>
      <c r="T2" s="1">
        <v>5.666666666666667</v>
      </c>
      <c r="U2" t="s">
        <v>61</v>
      </c>
    </row>
    <row r="3" spans="1:21" x14ac:dyDescent="0.35">
      <c r="A3" t="s">
        <v>34</v>
      </c>
      <c r="B3">
        <v>17</v>
      </c>
      <c r="C3" t="s">
        <v>35</v>
      </c>
      <c r="D3" t="s">
        <v>36</v>
      </c>
      <c r="E3" t="s">
        <v>44</v>
      </c>
      <c r="F3" t="s">
        <v>38</v>
      </c>
      <c r="G3" t="s">
        <v>45</v>
      </c>
      <c r="H3">
        <v>2</v>
      </c>
      <c r="I3">
        <v>0</v>
      </c>
      <c r="J3" t="s">
        <v>43</v>
      </c>
      <c r="K3" t="s">
        <v>42</v>
      </c>
      <c r="L3" t="s">
        <v>43</v>
      </c>
      <c r="M3" t="s">
        <v>43</v>
      </c>
      <c r="N3" t="s">
        <v>43</v>
      </c>
      <c r="O3">
        <v>5</v>
      </c>
      <c r="P3">
        <v>3</v>
      </c>
      <c r="Q3">
        <v>3</v>
      </c>
      <c r="R3" t="s">
        <v>61</v>
      </c>
      <c r="S3">
        <v>0</v>
      </c>
      <c r="T3" s="1">
        <v>5.333333333333333</v>
      </c>
      <c r="U3" t="s">
        <v>61</v>
      </c>
    </row>
    <row r="4" spans="1:21" x14ac:dyDescent="0.35">
      <c r="A4" t="s">
        <v>34</v>
      </c>
      <c r="B4">
        <v>15</v>
      </c>
      <c r="C4" t="s">
        <v>35</v>
      </c>
      <c r="D4" t="s">
        <v>47</v>
      </c>
      <c r="E4" t="s">
        <v>44</v>
      </c>
      <c r="F4" t="s">
        <v>38</v>
      </c>
      <c r="G4" t="s">
        <v>45</v>
      </c>
      <c r="H4">
        <v>2</v>
      </c>
      <c r="I4">
        <v>3</v>
      </c>
      <c r="J4" t="s">
        <v>42</v>
      </c>
      <c r="K4" t="s">
        <v>43</v>
      </c>
      <c r="L4" t="s">
        <v>42</v>
      </c>
      <c r="M4" t="s">
        <v>43</v>
      </c>
      <c r="N4" t="s">
        <v>43</v>
      </c>
      <c r="O4">
        <v>4</v>
      </c>
      <c r="P4">
        <v>3</v>
      </c>
      <c r="Q4">
        <v>2</v>
      </c>
      <c r="R4" t="s">
        <v>63</v>
      </c>
      <c r="S4">
        <v>0</v>
      </c>
      <c r="T4" s="1">
        <v>8.3333333333333339</v>
      </c>
      <c r="U4" t="s">
        <v>63</v>
      </c>
    </row>
    <row r="5" spans="1:21" x14ac:dyDescent="0.35">
      <c r="A5" t="s">
        <v>34</v>
      </c>
      <c r="B5">
        <v>15</v>
      </c>
      <c r="C5" t="s">
        <v>35</v>
      </c>
      <c r="D5" t="s">
        <v>36</v>
      </c>
      <c r="E5" t="s">
        <v>44</v>
      </c>
      <c r="F5" t="s">
        <v>28</v>
      </c>
      <c r="G5" t="s">
        <v>48</v>
      </c>
      <c r="H5">
        <v>3</v>
      </c>
      <c r="I5">
        <v>0</v>
      </c>
      <c r="J5" t="s">
        <v>43</v>
      </c>
      <c r="K5" t="s">
        <v>42</v>
      </c>
      <c r="L5" t="s">
        <v>42</v>
      </c>
      <c r="M5" t="s">
        <v>42</v>
      </c>
      <c r="N5" t="s">
        <v>42</v>
      </c>
      <c r="O5">
        <v>3</v>
      </c>
      <c r="P5">
        <v>2</v>
      </c>
      <c r="Q5">
        <v>2</v>
      </c>
      <c r="R5" t="s">
        <v>61</v>
      </c>
      <c r="S5">
        <v>1</v>
      </c>
      <c r="T5" s="1">
        <v>14.666666666666666</v>
      </c>
      <c r="U5" t="s">
        <v>61</v>
      </c>
    </row>
    <row r="6" spans="1:21" x14ac:dyDescent="0.35">
      <c r="A6" t="s">
        <v>34</v>
      </c>
      <c r="B6">
        <v>16</v>
      </c>
      <c r="C6" t="s">
        <v>35</v>
      </c>
      <c r="D6" t="s">
        <v>36</v>
      </c>
      <c r="E6" t="s">
        <v>44</v>
      </c>
      <c r="F6" t="s">
        <v>45</v>
      </c>
      <c r="G6" t="s">
        <v>45</v>
      </c>
      <c r="H6">
        <v>2</v>
      </c>
      <c r="I6">
        <v>0</v>
      </c>
      <c r="J6" t="s">
        <v>43</v>
      </c>
      <c r="K6" t="s">
        <v>42</v>
      </c>
      <c r="L6" t="s">
        <v>42</v>
      </c>
      <c r="M6" t="s">
        <v>43</v>
      </c>
      <c r="N6" t="s">
        <v>43</v>
      </c>
      <c r="O6">
        <v>4</v>
      </c>
      <c r="P6">
        <v>3</v>
      </c>
      <c r="Q6">
        <v>2</v>
      </c>
      <c r="R6" t="s">
        <v>61</v>
      </c>
      <c r="S6">
        <v>0</v>
      </c>
      <c r="T6" s="1">
        <v>8.6666666666666661</v>
      </c>
      <c r="U6" t="s">
        <v>62</v>
      </c>
    </row>
    <row r="7" spans="1:21" x14ac:dyDescent="0.35">
      <c r="A7" t="s">
        <v>50</v>
      </c>
      <c r="B7">
        <v>16</v>
      </c>
      <c r="C7" t="s">
        <v>35</v>
      </c>
      <c r="D7" t="s">
        <v>47</v>
      </c>
      <c r="E7" t="s">
        <v>44</v>
      </c>
      <c r="F7" t="s">
        <v>48</v>
      </c>
      <c r="G7" t="s">
        <v>45</v>
      </c>
      <c r="H7">
        <v>2</v>
      </c>
      <c r="I7">
        <v>0</v>
      </c>
      <c r="J7" t="s">
        <v>43</v>
      </c>
      <c r="K7" t="s">
        <v>42</v>
      </c>
      <c r="L7" t="s">
        <v>42</v>
      </c>
      <c r="M7" t="s">
        <v>42</v>
      </c>
      <c r="N7" t="s">
        <v>43</v>
      </c>
      <c r="O7">
        <v>5</v>
      </c>
      <c r="P7">
        <v>4</v>
      </c>
      <c r="Q7">
        <v>2</v>
      </c>
      <c r="R7" t="s">
        <v>63</v>
      </c>
      <c r="S7">
        <v>0</v>
      </c>
      <c r="T7" s="1">
        <v>15</v>
      </c>
      <c r="U7" t="s">
        <v>62</v>
      </c>
    </row>
    <row r="8" spans="1:21" x14ac:dyDescent="0.35">
      <c r="A8" t="s">
        <v>50</v>
      </c>
      <c r="B8">
        <v>16</v>
      </c>
      <c r="C8" t="s">
        <v>35</v>
      </c>
      <c r="D8" t="s">
        <v>47</v>
      </c>
      <c r="E8" t="s">
        <v>44</v>
      </c>
      <c r="F8" t="s">
        <v>45</v>
      </c>
      <c r="G8" t="s">
        <v>45</v>
      </c>
      <c r="H8">
        <v>2</v>
      </c>
      <c r="I8">
        <v>0</v>
      </c>
      <c r="J8" t="s">
        <v>43</v>
      </c>
      <c r="K8" t="s">
        <v>43</v>
      </c>
      <c r="L8" t="s">
        <v>43</v>
      </c>
      <c r="M8" t="s">
        <v>43</v>
      </c>
      <c r="N8" t="s">
        <v>43</v>
      </c>
      <c r="O8">
        <v>4</v>
      </c>
      <c r="P8">
        <v>4</v>
      </c>
      <c r="Q8">
        <v>4</v>
      </c>
      <c r="R8" t="s">
        <v>61</v>
      </c>
      <c r="S8">
        <v>1</v>
      </c>
      <c r="T8" s="1">
        <v>11.666666666666666</v>
      </c>
      <c r="U8" t="s">
        <v>61</v>
      </c>
    </row>
    <row r="9" spans="1:21" x14ac:dyDescent="0.35">
      <c r="A9" t="s">
        <v>34</v>
      </c>
      <c r="B9">
        <v>17</v>
      </c>
      <c r="C9" t="s">
        <v>35</v>
      </c>
      <c r="D9" t="s">
        <v>36</v>
      </c>
      <c r="E9" t="s">
        <v>37</v>
      </c>
      <c r="F9" t="s">
        <v>45</v>
      </c>
      <c r="G9" t="s">
        <v>39</v>
      </c>
      <c r="H9">
        <v>2</v>
      </c>
      <c r="I9">
        <v>0</v>
      </c>
      <c r="J9" t="s">
        <v>42</v>
      </c>
      <c r="K9" t="s">
        <v>42</v>
      </c>
      <c r="L9" t="s">
        <v>43</v>
      </c>
      <c r="M9" t="s">
        <v>43</v>
      </c>
      <c r="N9" t="s">
        <v>43</v>
      </c>
      <c r="O9">
        <v>4</v>
      </c>
      <c r="P9">
        <v>1</v>
      </c>
      <c r="Q9">
        <v>4</v>
      </c>
      <c r="R9" t="s">
        <v>62</v>
      </c>
      <c r="S9">
        <v>1</v>
      </c>
      <c r="T9" s="1">
        <v>5.666666666666667</v>
      </c>
      <c r="U9" t="s">
        <v>61</v>
      </c>
    </row>
    <row r="10" spans="1:21" x14ac:dyDescent="0.35">
      <c r="A10" t="s">
        <v>50</v>
      </c>
      <c r="B10">
        <v>15</v>
      </c>
      <c r="C10" t="s">
        <v>35</v>
      </c>
      <c r="D10" t="s">
        <v>47</v>
      </c>
      <c r="E10" t="s">
        <v>37</v>
      </c>
      <c r="F10" t="s">
        <v>48</v>
      </c>
      <c r="G10" t="s">
        <v>45</v>
      </c>
      <c r="H10">
        <v>2</v>
      </c>
      <c r="I10">
        <v>0</v>
      </c>
      <c r="J10" t="s">
        <v>43</v>
      </c>
      <c r="K10" t="s">
        <v>42</v>
      </c>
      <c r="L10" t="s">
        <v>42</v>
      </c>
      <c r="M10" t="s">
        <v>43</v>
      </c>
      <c r="N10" t="s">
        <v>43</v>
      </c>
      <c r="O10">
        <v>4</v>
      </c>
      <c r="P10">
        <v>2</v>
      </c>
      <c r="Q10">
        <v>2</v>
      </c>
      <c r="R10" t="s">
        <v>61</v>
      </c>
      <c r="S10">
        <v>0</v>
      </c>
      <c r="T10" s="1">
        <v>17.666666666666668</v>
      </c>
      <c r="U10" t="s">
        <v>61</v>
      </c>
    </row>
    <row r="11" spans="1:21" x14ac:dyDescent="0.35">
      <c r="A11" t="s">
        <v>50</v>
      </c>
      <c r="B11">
        <v>15</v>
      </c>
      <c r="C11" t="s">
        <v>35</v>
      </c>
      <c r="D11" t="s">
        <v>36</v>
      </c>
      <c r="E11" t="s">
        <v>44</v>
      </c>
      <c r="F11" t="s">
        <v>45</v>
      </c>
      <c r="G11" t="s">
        <v>45</v>
      </c>
      <c r="H11">
        <v>2</v>
      </c>
      <c r="I11">
        <v>0</v>
      </c>
      <c r="J11" t="s">
        <v>43</v>
      </c>
      <c r="K11" t="s">
        <v>42</v>
      </c>
      <c r="L11" t="s">
        <v>42</v>
      </c>
      <c r="M11" t="s">
        <v>42</v>
      </c>
      <c r="N11" t="s">
        <v>43</v>
      </c>
      <c r="O11">
        <v>5</v>
      </c>
      <c r="P11">
        <v>5</v>
      </c>
      <c r="Q11">
        <v>1</v>
      </c>
      <c r="R11" t="s">
        <v>61</v>
      </c>
      <c r="S11">
        <v>0</v>
      </c>
      <c r="T11" s="1">
        <v>14.666666666666666</v>
      </c>
      <c r="U11" t="s">
        <v>61</v>
      </c>
    </row>
    <row r="12" spans="1:21" x14ac:dyDescent="0.35">
      <c r="A12" t="s">
        <v>34</v>
      </c>
      <c r="B12">
        <v>15</v>
      </c>
      <c r="C12" t="s">
        <v>35</v>
      </c>
      <c r="D12" t="s">
        <v>36</v>
      </c>
      <c r="E12" t="s">
        <v>44</v>
      </c>
      <c r="F12" t="s">
        <v>39</v>
      </c>
      <c r="G12" t="s">
        <v>28</v>
      </c>
      <c r="H12">
        <v>2</v>
      </c>
      <c r="I12">
        <v>0</v>
      </c>
      <c r="J12" t="s">
        <v>43</v>
      </c>
      <c r="K12" t="s">
        <v>42</v>
      </c>
      <c r="L12" t="s">
        <v>42</v>
      </c>
      <c r="M12" t="s">
        <v>43</v>
      </c>
      <c r="N12" t="s">
        <v>43</v>
      </c>
      <c r="O12">
        <v>3</v>
      </c>
      <c r="P12">
        <v>3</v>
      </c>
      <c r="Q12">
        <v>3</v>
      </c>
      <c r="R12" t="s">
        <v>61</v>
      </c>
      <c r="S12">
        <v>1</v>
      </c>
      <c r="T12" s="1">
        <v>9</v>
      </c>
      <c r="U12" t="s">
        <v>62</v>
      </c>
    </row>
    <row r="13" spans="1:21" x14ac:dyDescent="0.35">
      <c r="A13" t="s">
        <v>34</v>
      </c>
      <c r="B13">
        <v>15</v>
      </c>
      <c r="C13" t="s">
        <v>35</v>
      </c>
      <c r="D13" t="s">
        <v>36</v>
      </c>
      <c r="E13" t="s">
        <v>44</v>
      </c>
      <c r="F13" t="s">
        <v>48</v>
      </c>
      <c r="G13" t="s">
        <v>45</v>
      </c>
      <c r="H13">
        <v>3</v>
      </c>
      <c r="I13">
        <v>0</v>
      </c>
      <c r="J13" t="s">
        <v>43</v>
      </c>
      <c r="K13" t="s">
        <v>42</v>
      </c>
      <c r="L13" t="s">
        <v>43</v>
      </c>
      <c r="M13" t="s">
        <v>42</v>
      </c>
      <c r="N13" t="s">
        <v>43</v>
      </c>
      <c r="O13">
        <v>5</v>
      </c>
      <c r="P13">
        <v>2</v>
      </c>
      <c r="Q13">
        <v>2</v>
      </c>
      <c r="R13" t="s">
        <v>61</v>
      </c>
      <c r="S13">
        <v>0</v>
      </c>
      <c r="T13" s="1">
        <v>11.333333333333334</v>
      </c>
      <c r="U13" t="s">
        <v>61</v>
      </c>
    </row>
    <row r="14" spans="1:21" x14ac:dyDescent="0.35">
      <c r="A14" t="s">
        <v>50</v>
      </c>
      <c r="B14">
        <v>15</v>
      </c>
      <c r="C14" t="s">
        <v>35</v>
      </c>
      <c r="D14" t="s">
        <v>47</v>
      </c>
      <c r="E14" t="s">
        <v>44</v>
      </c>
      <c r="F14" t="s">
        <v>28</v>
      </c>
      <c r="G14" t="s">
        <v>48</v>
      </c>
      <c r="H14">
        <v>1</v>
      </c>
      <c r="I14">
        <v>0</v>
      </c>
      <c r="J14" t="s">
        <v>43</v>
      </c>
      <c r="K14" t="s">
        <v>42</v>
      </c>
      <c r="L14" t="s">
        <v>42</v>
      </c>
      <c r="M14" t="s">
        <v>42</v>
      </c>
      <c r="N14" t="s">
        <v>43</v>
      </c>
      <c r="O14">
        <v>4</v>
      </c>
      <c r="P14">
        <v>3</v>
      </c>
      <c r="Q14">
        <v>3</v>
      </c>
      <c r="R14" t="s">
        <v>61</v>
      </c>
      <c r="S14">
        <v>0</v>
      </c>
      <c r="T14" s="1">
        <v>14</v>
      </c>
      <c r="U14" t="s">
        <v>62</v>
      </c>
    </row>
    <row r="15" spans="1:21" x14ac:dyDescent="0.35">
      <c r="A15" t="s">
        <v>50</v>
      </c>
      <c r="B15">
        <v>15</v>
      </c>
      <c r="C15" t="s">
        <v>35</v>
      </c>
      <c r="D15" t="s">
        <v>36</v>
      </c>
      <c r="E15" t="s">
        <v>44</v>
      </c>
      <c r="F15" t="s">
        <v>39</v>
      </c>
      <c r="G15" t="s">
        <v>45</v>
      </c>
      <c r="H15">
        <v>2</v>
      </c>
      <c r="I15">
        <v>0</v>
      </c>
      <c r="J15" t="s">
        <v>43</v>
      </c>
      <c r="K15" t="s">
        <v>42</v>
      </c>
      <c r="L15" t="s">
        <v>42</v>
      </c>
      <c r="M15" t="s">
        <v>43</v>
      </c>
      <c r="N15" t="s">
        <v>43</v>
      </c>
      <c r="O15">
        <v>5</v>
      </c>
      <c r="P15">
        <v>4</v>
      </c>
      <c r="Q15">
        <v>3</v>
      </c>
      <c r="R15" t="s">
        <v>61</v>
      </c>
      <c r="S15">
        <v>0</v>
      </c>
      <c r="T15" s="1">
        <v>10.333333333333334</v>
      </c>
      <c r="U15" t="s">
        <v>62</v>
      </c>
    </row>
    <row r="16" spans="1:21" x14ac:dyDescent="0.35">
      <c r="A16" t="s">
        <v>50</v>
      </c>
      <c r="B16">
        <v>15</v>
      </c>
      <c r="C16" t="s">
        <v>35</v>
      </c>
      <c r="D16" t="s">
        <v>36</v>
      </c>
      <c r="E16" t="s">
        <v>37</v>
      </c>
      <c r="F16" t="s">
        <v>45</v>
      </c>
      <c r="G16" t="s">
        <v>45</v>
      </c>
      <c r="H16">
        <v>3</v>
      </c>
      <c r="I16">
        <v>0</v>
      </c>
      <c r="J16" t="s">
        <v>43</v>
      </c>
      <c r="K16" t="s">
        <v>42</v>
      </c>
      <c r="L16" t="s">
        <v>43</v>
      </c>
      <c r="M16" t="s">
        <v>43</v>
      </c>
      <c r="N16" t="s">
        <v>42</v>
      </c>
      <c r="O16">
        <v>4</v>
      </c>
      <c r="P16">
        <v>5</v>
      </c>
      <c r="Q16">
        <v>2</v>
      </c>
      <c r="R16" t="s">
        <v>61</v>
      </c>
      <c r="S16">
        <v>0</v>
      </c>
      <c r="T16" s="1">
        <v>15.333333333333334</v>
      </c>
      <c r="U16" t="s">
        <v>61</v>
      </c>
    </row>
    <row r="17" spans="1:21" x14ac:dyDescent="0.35">
      <c r="A17" t="s">
        <v>34</v>
      </c>
      <c r="B17">
        <v>16</v>
      </c>
      <c r="C17" t="s">
        <v>35</v>
      </c>
      <c r="D17" t="s">
        <v>36</v>
      </c>
      <c r="E17" t="s">
        <v>44</v>
      </c>
      <c r="F17" t="s">
        <v>28</v>
      </c>
      <c r="G17" t="s">
        <v>45</v>
      </c>
      <c r="H17">
        <v>1</v>
      </c>
      <c r="I17">
        <v>0</v>
      </c>
      <c r="J17" t="s">
        <v>43</v>
      </c>
      <c r="K17" t="s">
        <v>42</v>
      </c>
      <c r="L17" t="s">
        <v>43</v>
      </c>
      <c r="M17" t="s">
        <v>43</v>
      </c>
      <c r="N17" t="s">
        <v>43</v>
      </c>
      <c r="O17">
        <v>4</v>
      </c>
      <c r="P17">
        <v>4</v>
      </c>
      <c r="Q17">
        <v>4</v>
      </c>
      <c r="R17" t="s">
        <v>61</v>
      </c>
      <c r="S17">
        <v>0</v>
      </c>
      <c r="T17" s="1">
        <v>14</v>
      </c>
      <c r="U17" t="s">
        <v>62</v>
      </c>
    </row>
    <row r="18" spans="1:21" x14ac:dyDescent="0.35">
      <c r="A18" t="s">
        <v>34</v>
      </c>
      <c r="B18">
        <v>16</v>
      </c>
      <c r="C18" t="s">
        <v>35</v>
      </c>
      <c r="D18" t="s">
        <v>36</v>
      </c>
      <c r="E18" t="s">
        <v>44</v>
      </c>
      <c r="F18" t="s">
        <v>48</v>
      </c>
      <c r="G18" t="s">
        <v>48</v>
      </c>
      <c r="H18">
        <v>3</v>
      </c>
      <c r="I18">
        <v>0</v>
      </c>
      <c r="J18" t="s">
        <v>43</v>
      </c>
      <c r="K18" t="s">
        <v>42</v>
      </c>
      <c r="L18" t="s">
        <v>42</v>
      </c>
      <c r="M18" t="s">
        <v>42</v>
      </c>
      <c r="N18" t="s">
        <v>43</v>
      </c>
      <c r="O18">
        <v>3</v>
      </c>
      <c r="P18">
        <v>2</v>
      </c>
      <c r="Q18">
        <v>3</v>
      </c>
      <c r="R18" t="s">
        <v>62</v>
      </c>
      <c r="S18">
        <v>0</v>
      </c>
      <c r="T18" s="1">
        <v>13.666666666666666</v>
      </c>
      <c r="U18" t="s">
        <v>62</v>
      </c>
    </row>
    <row r="19" spans="1:21" x14ac:dyDescent="0.35">
      <c r="A19" t="s">
        <v>34</v>
      </c>
      <c r="B19">
        <v>16</v>
      </c>
      <c r="C19" t="s">
        <v>35</v>
      </c>
      <c r="D19" t="s">
        <v>36</v>
      </c>
      <c r="E19" t="s">
        <v>44</v>
      </c>
      <c r="F19" t="s">
        <v>45</v>
      </c>
      <c r="G19" t="s">
        <v>45</v>
      </c>
      <c r="H19">
        <v>2</v>
      </c>
      <c r="I19">
        <v>0</v>
      </c>
      <c r="J19" t="s">
        <v>42</v>
      </c>
      <c r="K19" t="s">
        <v>42</v>
      </c>
      <c r="L19" t="s">
        <v>43</v>
      </c>
      <c r="M19" t="s">
        <v>42</v>
      </c>
      <c r="N19" t="s">
        <v>43</v>
      </c>
      <c r="O19">
        <v>5</v>
      </c>
      <c r="P19">
        <v>3</v>
      </c>
      <c r="Q19">
        <v>2</v>
      </c>
      <c r="R19" t="s">
        <v>61</v>
      </c>
      <c r="S19">
        <v>0</v>
      </c>
      <c r="T19" s="1">
        <v>9.3333333333333339</v>
      </c>
      <c r="U19" t="s">
        <v>61</v>
      </c>
    </row>
    <row r="20" spans="1:21" x14ac:dyDescent="0.35">
      <c r="A20" t="s">
        <v>50</v>
      </c>
      <c r="B20">
        <v>17</v>
      </c>
      <c r="C20" t="s">
        <v>35</v>
      </c>
      <c r="D20" t="s">
        <v>36</v>
      </c>
      <c r="E20" t="s">
        <v>44</v>
      </c>
      <c r="F20" t="s">
        <v>48</v>
      </c>
      <c r="G20" t="s">
        <v>48</v>
      </c>
      <c r="H20">
        <v>1</v>
      </c>
      <c r="I20">
        <v>3</v>
      </c>
      <c r="J20" t="s">
        <v>43</v>
      </c>
      <c r="K20" t="s">
        <v>42</v>
      </c>
      <c r="L20" t="s">
        <v>43</v>
      </c>
      <c r="M20" t="s">
        <v>42</v>
      </c>
      <c r="N20" t="s">
        <v>43</v>
      </c>
      <c r="O20">
        <v>5</v>
      </c>
      <c r="P20">
        <v>5</v>
      </c>
      <c r="Q20">
        <v>5</v>
      </c>
      <c r="R20" t="s">
        <v>63</v>
      </c>
      <c r="S20">
        <v>1</v>
      </c>
      <c r="T20" s="1">
        <v>5.333333333333333</v>
      </c>
      <c r="U20" t="s">
        <v>63</v>
      </c>
    </row>
    <row r="21" spans="1:21" x14ac:dyDescent="0.35">
      <c r="A21" t="s">
        <v>50</v>
      </c>
      <c r="B21">
        <v>16</v>
      </c>
      <c r="C21" t="s">
        <v>35</v>
      </c>
      <c r="D21" t="s">
        <v>47</v>
      </c>
      <c r="E21" t="s">
        <v>44</v>
      </c>
      <c r="F21" t="s">
        <v>28</v>
      </c>
      <c r="G21" t="s">
        <v>45</v>
      </c>
      <c r="H21">
        <v>1</v>
      </c>
      <c r="I21">
        <v>0</v>
      </c>
      <c r="J21" t="s">
        <v>43</v>
      </c>
      <c r="K21" t="s">
        <v>43</v>
      </c>
      <c r="L21" t="s">
        <v>42</v>
      </c>
      <c r="M21" t="s">
        <v>42</v>
      </c>
      <c r="N21" t="s">
        <v>43</v>
      </c>
      <c r="O21">
        <v>3</v>
      </c>
      <c r="P21">
        <v>1</v>
      </c>
      <c r="Q21">
        <v>3</v>
      </c>
      <c r="R21" t="s">
        <v>61</v>
      </c>
      <c r="S21">
        <v>0</v>
      </c>
      <c r="T21" s="1">
        <v>9.3333333333333339</v>
      </c>
      <c r="U21" t="s">
        <v>62</v>
      </c>
    </row>
    <row r="22" spans="1:21" x14ac:dyDescent="0.35">
      <c r="A22" t="s">
        <v>50</v>
      </c>
      <c r="B22">
        <v>15</v>
      </c>
      <c r="C22" t="s">
        <v>35</v>
      </c>
      <c r="D22" t="s">
        <v>36</v>
      </c>
      <c r="E22" t="s">
        <v>44</v>
      </c>
      <c r="F22" t="s">
        <v>39</v>
      </c>
      <c r="G22" t="s">
        <v>45</v>
      </c>
      <c r="H22">
        <v>2</v>
      </c>
      <c r="I22">
        <v>0</v>
      </c>
      <c r="J22" t="s">
        <v>43</v>
      </c>
      <c r="K22" t="s">
        <v>43</v>
      </c>
      <c r="L22" t="s">
        <v>43</v>
      </c>
      <c r="M22" t="s">
        <v>43</v>
      </c>
      <c r="N22" t="s">
        <v>43</v>
      </c>
      <c r="O22">
        <v>4</v>
      </c>
      <c r="P22">
        <v>4</v>
      </c>
      <c r="Q22">
        <v>1</v>
      </c>
      <c r="R22" t="s">
        <v>61</v>
      </c>
      <c r="S22">
        <v>0</v>
      </c>
      <c r="T22" s="1">
        <v>14</v>
      </c>
      <c r="U22" t="s">
        <v>61</v>
      </c>
    </row>
    <row r="23" spans="1:21" x14ac:dyDescent="0.35">
      <c r="A23" t="s">
        <v>50</v>
      </c>
      <c r="B23">
        <v>15</v>
      </c>
      <c r="C23" t="s">
        <v>35</v>
      </c>
      <c r="D23" t="s">
        <v>36</v>
      </c>
      <c r="E23" t="s">
        <v>44</v>
      </c>
      <c r="F23" t="s">
        <v>28</v>
      </c>
      <c r="G23" t="s">
        <v>28</v>
      </c>
      <c r="H23">
        <v>1</v>
      </c>
      <c r="I23">
        <v>0</v>
      </c>
      <c r="J23" t="s">
        <v>43</v>
      </c>
      <c r="K23" t="s">
        <v>42</v>
      </c>
      <c r="L23" t="s">
        <v>42</v>
      </c>
      <c r="M23" t="s">
        <v>43</v>
      </c>
      <c r="N23" t="s">
        <v>43</v>
      </c>
      <c r="O23">
        <v>5</v>
      </c>
      <c r="P23">
        <v>4</v>
      </c>
      <c r="Q23">
        <v>2</v>
      </c>
      <c r="R23" t="s">
        <v>61</v>
      </c>
      <c r="S23">
        <v>0</v>
      </c>
      <c r="T23" s="1">
        <v>14</v>
      </c>
      <c r="U23" t="s">
        <v>61</v>
      </c>
    </row>
    <row r="24" spans="1:21" x14ac:dyDescent="0.35">
      <c r="A24" t="s">
        <v>50</v>
      </c>
      <c r="B24">
        <v>16</v>
      </c>
      <c r="C24" t="s">
        <v>35</v>
      </c>
      <c r="D24" t="s">
        <v>47</v>
      </c>
      <c r="E24" t="s">
        <v>44</v>
      </c>
      <c r="F24" t="s">
        <v>39</v>
      </c>
      <c r="G24" t="s">
        <v>45</v>
      </c>
      <c r="H24">
        <v>2</v>
      </c>
      <c r="I24">
        <v>0</v>
      </c>
      <c r="J24" t="s">
        <v>43</v>
      </c>
      <c r="K24" t="s">
        <v>43</v>
      </c>
      <c r="L24" t="s">
        <v>43</v>
      </c>
      <c r="M24" t="s">
        <v>42</v>
      </c>
      <c r="N24" t="s">
        <v>43</v>
      </c>
      <c r="O24">
        <v>4</v>
      </c>
      <c r="P24">
        <v>5</v>
      </c>
      <c r="Q24">
        <v>1</v>
      </c>
      <c r="R24" t="s">
        <v>61</v>
      </c>
      <c r="S24">
        <v>0</v>
      </c>
      <c r="T24" s="1">
        <v>15.333333333333334</v>
      </c>
      <c r="U24" t="s">
        <v>62</v>
      </c>
    </row>
    <row r="25" spans="1:21" x14ac:dyDescent="0.35">
      <c r="A25" t="s">
        <v>50</v>
      </c>
      <c r="B25">
        <v>16</v>
      </c>
      <c r="C25" t="s">
        <v>35</v>
      </c>
      <c r="D25" t="s">
        <v>47</v>
      </c>
      <c r="E25" t="s">
        <v>44</v>
      </c>
      <c r="F25" t="s">
        <v>45</v>
      </c>
      <c r="G25" t="s">
        <v>45</v>
      </c>
      <c r="H25">
        <v>2</v>
      </c>
      <c r="I25">
        <v>0</v>
      </c>
      <c r="J25" t="s">
        <v>43</v>
      </c>
      <c r="K25" t="s">
        <v>42</v>
      </c>
      <c r="L25" t="s">
        <v>43</v>
      </c>
      <c r="M25" t="s">
        <v>42</v>
      </c>
      <c r="N25" t="s">
        <v>43</v>
      </c>
      <c r="O25">
        <v>5</v>
      </c>
      <c r="P25">
        <v>4</v>
      </c>
      <c r="Q25">
        <v>4</v>
      </c>
      <c r="R25" t="s">
        <v>61</v>
      </c>
      <c r="S25">
        <v>1</v>
      </c>
      <c r="T25" s="1">
        <v>12.666666666666666</v>
      </c>
      <c r="U25" t="s">
        <v>63</v>
      </c>
    </row>
    <row r="26" spans="1:21" x14ac:dyDescent="0.35">
      <c r="A26" t="s">
        <v>34</v>
      </c>
      <c r="B26">
        <v>15</v>
      </c>
      <c r="C26" t="s">
        <v>52</v>
      </c>
      <c r="D26" t="s">
        <v>36</v>
      </c>
      <c r="E26" t="s">
        <v>44</v>
      </c>
      <c r="F26" t="s">
        <v>48</v>
      </c>
      <c r="G26" t="s">
        <v>28</v>
      </c>
      <c r="H26">
        <v>3</v>
      </c>
      <c r="I26">
        <v>0</v>
      </c>
      <c r="J26" t="s">
        <v>42</v>
      </c>
      <c r="K26" t="s">
        <v>42</v>
      </c>
      <c r="L26" t="s">
        <v>42</v>
      </c>
      <c r="M26" t="s">
        <v>42</v>
      </c>
      <c r="N26" t="s">
        <v>43</v>
      </c>
      <c r="O26">
        <v>4</v>
      </c>
      <c r="P26">
        <v>3</v>
      </c>
      <c r="Q26">
        <v>2</v>
      </c>
      <c r="R26" t="s">
        <v>61</v>
      </c>
      <c r="S26">
        <v>2</v>
      </c>
      <c r="T26" s="1">
        <v>9</v>
      </c>
      <c r="U26" t="s">
        <v>61</v>
      </c>
    </row>
    <row r="27" spans="1:21" x14ac:dyDescent="0.35">
      <c r="A27" t="s">
        <v>34</v>
      </c>
      <c r="B27">
        <v>16</v>
      </c>
      <c r="C27" t="s">
        <v>35</v>
      </c>
      <c r="D27" t="s">
        <v>36</v>
      </c>
      <c r="E27" t="s">
        <v>44</v>
      </c>
      <c r="F27" t="s">
        <v>48</v>
      </c>
      <c r="G27" t="s">
        <v>48</v>
      </c>
      <c r="H27">
        <v>1</v>
      </c>
      <c r="I27">
        <v>2</v>
      </c>
      <c r="J27" t="s">
        <v>43</v>
      </c>
      <c r="K27" t="s">
        <v>42</v>
      </c>
      <c r="L27" t="s">
        <v>42</v>
      </c>
      <c r="M27" t="s">
        <v>43</v>
      </c>
      <c r="N27" t="s">
        <v>43</v>
      </c>
      <c r="O27">
        <v>1</v>
      </c>
      <c r="P27">
        <v>2</v>
      </c>
      <c r="Q27">
        <v>2</v>
      </c>
      <c r="R27" t="s">
        <v>63</v>
      </c>
      <c r="S27">
        <v>1</v>
      </c>
      <c r="T27" s="1">
        <v>7.666666666666667</v>
      </c>
      <c r="U27" t="s">
        <v>62</v>
      </c>
    </row>
    <row r="28" spans="1:21" x14ac:dyDescent="0.35">
      <c r="A28" t="s">
        <v>50</v>
      </c>
      <c r="B28">
        <v>15</v>
      </c>
      <c r="C28" t="s">
        <v>35</v>
      </c>
      <c r="D28" t="s">
        <v>36</v>
      </c>
      <c r="E28" t="s">
        <v>44</v>
      </c>
      <c r="F28" t="s">
        <v>45</v>
      </c>
      <c r="G28" t="s">
        <v>45</v>
      </c>
      <c r="H28">
        <v>1</v>
      </c>
      <c r="I28">
        <v>0</v>
      </c>
      <c r="J28" t="s">
        <v>43</v>
      </c>
      <c r="K28" t="s">
        <v>42</v>
      </c>
      <c r="L28" t="s">
        <v>42</v>
      </c>
      <c r="M28" t="s">
        <v>43</v>
      </c>
      <c r="N28" t="s">
        <v>43</v>
      </c>
      <c r="O28">
        <v>4</v>
      </c>
      <c r="P28">
        <v>2</v>
      </c>
      <c r="Q28">
        <v>2</v>
      </c>
      <c r="R28" t="s">
        <v>61</v>
      </c>
      <c r="S28">
        <v>1</v>
      </c>
      <c r="T28" s="1">
        <v>11.666666666666666</v>
      </c>
      <c r="U28" t="s">
        <v>62</v>
      </c>
    </row>
    <row r="29" spans="1:21" x14ac:dyDescent="0.35">
      <c r="A29" t="s">
        <v>50</v>
      </c>
      <c r="B29">
        <v>15</v>
      </c>
      <c r="C29" t="s">
        <v>35</v>
      </c>
      <c r="D29" t="s">
        <v>36</v>
      </c>
      <c r="E29" t="s">
        <v>44</v>
      </c>
      <c r="F29" t="s">
        <v>28</v>
      </c>
      <c r="G29" t="s">
        <v>48</v>
      </c>
      <c r="H29">
        <v>1</v>
      </c>
      <c r="I29">
        <v>0</v>
      </c>
      <c r="J29" t="s">
        <v>43</v>
      </c>
      <c r="K29" t="s">
        <v>43</v>
      </c>
      <c r="L29" t="s">
        <v>42</v>
      </c>
      <c r="M29" t="s">
        <v>43</v>
      </c>
      <c r="N29" t="s">
        <v>43</v>
      </c>
      <c r="O29">
        <v>2</v>
      </c>
      <c r="P29">
        <v>2</v>
      </c>
      <c r="Q29">
        <v>4</v>
      </c>
      <c r="R29" t="s">
        <v>61</v>
      </c>
      <c r="S29">
        <v>1</v>
      </c>
      <c r="T29" s="1">
        <v>15.333333333333334</v>
      </c>
      <c r="U29" t="s">
        <v>63</v>
      </c>
    </row>
    <row r="30" spans="1:21" x14ac:dyDescent="0.35">
      <c r="A30" t="s">
        <v>50</v>
      </c>
      <c r="B30">
        <v>16</v>
      </c>
      <c r="C30" t="s">
        <v>35</v>
      </c>
      <c r="D30" t="s">
        <v>47</v>
      </c>
      <c r="E30" t="s">
        <v>37</v>
      </c>
      <c r="F30" t="s">
        <v>48</v>
      </c>
      <c r="G30" t="s">
        <v>45</v>
      </c>
      <c r="H30">
        <v>2</v>
      </c>
      <c r="I30">
        <v>0</v>
      </c>
      <c r="J30" t="s">
        <v>42</v>
      </c>
      <c r="K30" t="s">
        <v>42</v>
      </c>
      <c r="L30" t="s">
        <v>43</v>
      </c>
      <c r="M30" t="s">
        <v>42</v>
      </c>
      <c r="N30" t="s">
        <v>43</v>
      </c>
      <c r="O30">
        <v>5</v>
      </c>
      <c r="P30">
        <v>3</v>
      </c>
      <c r="Q30">
        <v>3</v>
      </c>
      <c r="R30" t="s">
        <v>61</v>
      </c>
      <c r="S30">
        <v>0</v>
      </c>
      <c r="T30" s="1">
        <v>11</v>
      </c>
      <c r="U30" t="s">
        <v>61</v>
      </c>
    </row>
    <row r="31" spans="1:21" x14ac:dyDescent="0.35">
      <c r="A31" t="s">
        <v>50</v>
      </c>
      <c r="B31">
        <v>16</v>
      </c>
      <c r="C31" t="s">
        <v>35</v>
      </c>
      <c r="D31" t="s">
        <v>36</v>
      </c>
      <c r="E31" t="s">
        <v>44</v>
      </c>
      <c r="F31" t="s">
        <v>39</v>
      </c>
      <c r="G31" t="s">
        <v>39</v>
      </c>
      <c r="H31">
        <v>2</v>
      </c>
      <c r="I31">
        <v>0</v>
      </c>
      <c r="J31" t="s">
        <v>43</v>
      </c>
      <c r="K31" t="s">
        <v>42</v>
      </c>
      <c r="L31" t="s">
        <v>42</v>
      </c>
      <c r="M31" t="s">
        <v>42</v>
      </c>
      <c r="N31" t="s">
        <v>42</v>
      </c>
      <c r="O31">
        <v>4</v>
      </c>
      <c r="P31">
        <v>4</v>
      </c>
      <c r="Q31">
        <v>5</v>
      </c>
      <c r="R31" t="s">
        <v>63</v>
      </c>
      <c r="S31">
        <v>1</v>
      </c>
      <c r="T31" s="1">
        <v>11</v>
      </c>
      <c r="U31" t="s">
        <v>63</v>
      </c>
    </row>
    <row r="32" spans="1:21" x14ac:dyDescent="0.35">
      <c r="A32" t="s">
        <v>50</v>
      </c>
      <c r="B32">
        <v>15</v>
      </c>
      <c r="C32" t="s">
        <v>35</v>
      </c>
      <c r="D32" t="s">
        <v>36</v>
      </c>
      <c r="E32" t="s">
        <v>44</v>
      </c>
      <c r="F32" t="s">
        <v>28</v>
      </c>
      <c r="G32" t="s">
        <v>48</v>
      </c>
      <c r="H32">
        <v>2</v>
      </c>
      <c r="I32">
        <v>0</v>
      </c>
      <c r="J32" t="s">
        <v>43</v>
      </c>
      <c r="K32" t="s">
        <v>42</v>
      </c>
      <c r="L32" t="s">
        <v>42</v>
      </c>
      <c r="M32" t="s">
        <v>43</v>
      </c>
      <c r="N32" t="s">
        <v>43</v>
      </c>
      <c r="O32">
        <v>5</v>
      </c>
      <c r="P32">
        <v>4</v>
      </c>
      <c r="Q32">
        <v>2</v>
      </c>
      <c r="R32" t="s">
        <v>61</v>
      </c>
      <c r="S32">
        <v>0</v>
      </c>
      <c r="T32" s="1">
        <v>10.666666666666666</v>
      </c>
      <c r="U32" t="s">
        <v>63</v>
      </c>
    </row>
    <row r="33" spans="1:21" x14ac:dyDescent="0.35">
      <c r="A33" t="s">
        <v>50</v>
      </c>
      <c r="B33">
        <v>15</v>
      </c>
      <c r="C33" t="s">
        <v>35</v>
      </c>
      <c r="D33" t="s">
        <v>36</v>
      </c>
      <c r="E33" t="s">
        <v>44</v>
      </c>
      <c r="F33" t="s">
        <v>48</v>
      </c>
      <c r="G33" t="s">
        <v>48</v>
      </c>
      <c r="H33">
        <v>2</v>
      </c>
      <c r="I33">
        <v>0</v>
      </c>
      <c r="J33" t="s">
        <v>43</v>
      </c>
      <c r="K33" t="s">
        <v>42</v>
      </c>
      <c r="L33" t="s">
        <v>43</v>
      </c>
      <c r="M33" t="s">
        <v>42</v>
      </c>
      <c r="N33" t="s">
        <v>43</v>
      </c>
      <c r="O33">
        <v>4</v>
      </c>
      <c r="P33">
        <v>3</v>
      </c>
      <c r="Q33">
        <v>1</v>
      </c>
      <c r="R33" t="s">
        <v>61</v>
      </c>
      <c r="S33">
        <v>1</v>
      </c>
      <c r="T33" s="1">
        <v>16.666666666666668</v>
      </c>
      <c r="U33" t="s">
        <v>61</v>
      </c>
    </row>
    <row r="34" spans="1:21" x14ac:dyDescent="0.35">
      <c r="A34" t="s">
        <v>50</v>
      </c>
      <c r="B34">
        <v>15</v>
      </c>
      <c r="C34" t="s">
        <v>52</v>
      </c>
      <c r="D34" t="s">
        <v>36</v>
      </c>
      <c r="E34" t="s">
        <v>44</v>
      </c>
      <c r="F34" t="s">
        <v>39</v>
      </c>
      <c r="G34" t="s">
        <v>38</v>
      </c>
      <c r="H34">
        <v>2</v>
      </c>
      <c r="I34">
        <v>0</v>
      </c>
      <c r="J34" t="s">
        <v>43</v>
      </c>
      <c r="K34" t="s">
        <v>42</v>
      </c>
      <c r="L34" t="s">
        <v>43</v>
      </c>
      <c r="M34" t="s">
        <v>42</v>
      </c>
      <c r="N34" t="s">
        <v>42</v>
      </c>
      <c r="O34">
        <v>4</v>
      </c>
      <c r="P34">
        <v>5</v>
      </c>
      <c r="Q34">
        <v>2</v>
      </c>
      <c r="R34" t="s">
        <v>61</v>
      </c>
      <c r="S34">
        <v>1</v>
      </c>
      <c r="T34" s="1">
        <v>16.333333333333332</v>
      </c>
      <c r="U34" t="s">
        <v>61</v>
      </c>
    </row>
    <row r="35" spans="1:21" x14ac:dyDescent="0.35">
      <c r="A35" t="s">
        <v>50</v>
      </c>
      <c r="B35">
        <v>15</v>
      </c>
      <c r="C35" t="s">
        <v>35</v>
      </c>
      <c r="D35" t="s">
        <v>47</v>
      </c>
      <c r="E35" t="s">
        <v>44</v>
      </c>
      <c r="F35" t="s">
        <v>45</v>
      </c>
      <c r="G35" t="s">
        <v>45</v>
      </c>
      <c r="H35">
        <v>2</v>
      </c>
      <c r="I35">
        <v>0</v>
      </c>
      <c r="J35" t="s">
        <v>43</v>
      </c>
      <c r="K35" t="s">
        <v>43</v>
      </c>
      <c r="L35" t="s">
        <v>43</v>
      </c>
      <c r="M35" t="s">
        <v>42</v>
      </c>
      <c r="N35" t="s">
        <v>43</v>
      </c>
      <c r="O35">
        <v>5</v>
      </c>
      <c r="P35">
        <v>3</v>
      </c>
      <c r="Q35">
        <v>2</v>
      </c>
      <c r="R35" t="s">
        <v>61</v>
      </c>
      <c r="S35">
        <v>0</v>
      </c>
      <c r="T35" s="1">
        <v>10</v>
      </c>
      <c r="U35" t="s">
        <v>61</v>
      </c>
    </row>
    <row r="36" spans="1:21" x14ac:dyDescent="0.35">
      <c r="A36" t="s">
        <v>50</v>
      </c>
      <c r="B36">
        <v>16</v>
      </c>
      <c r="C36" t="s">
        <v>35</v>
      </c>
      <c r="D36" t="s">
        <v>36</v>
      </c>
      <c r="E36" t="s">
        <v>44</v>
      </c>
      <c r="F36" t="s">
        <v>45</v>
      </c>
      <c r="G36" t="s">
        <v>45</v>
      </c>
      <c r="H36">
        <v>1</v>
      </c>
      <c r="I36">
        <v>0</v>
      </c>
      <c r="J36" t="s">
        <v>43</v>
      </c>
      <c r="K36" t="s">
        <v>42</v>
      </c>
      <c r="L36" t="s">
        <v>42</v>
      </c>
      <c r="M36" t="s">
        <v>43</v>
      </c>
      <c r="N36" t="s">
        <v>43</v>
      </c>
      <c r="O36">
        <v>5</v>
      </c>
      <c r="P36">
        <v>4</v>
      </c>
      <c r="Q36">
        <v>3</v>
      </c>
      <c r="R36" t="s">
        <v>61</v>
      </c>
      <c r="S36">
        <v>0</v>
      </c>
      <c r="T36" s="1">
        <v>13.666666666666666</v>
      </c>
      <c r="U36" t="s">
        <v>61</v>
      </c>
    </row>
    <row r="37" spans="1:21" x14ac:dyDescent="0.35">
      <c r="A37" t="s">
        <v>34</v>
      </c>
      <c r="B37">
        <v>15</v>
      </c>
      <c r="C37" t="s">
        <v>35</v>
      </c>
      <c r="D37" t="s">
        <v>36</v>
      </c>
      <c r="E37" t="s">
        <v>44</v>
      </c>
      <c r="F37" t="s">
        <v>45</v>
      </c>
      <c r="G37" t="s">
        <v>45</v>
      </c>
      <c r="H37">
        <v>1</v>
      </c>
      <c r="I37">
        <v>0</v>
      </c>
      <c r="J37" t="s">
        <v>43</v>
      </c>
      <c r="K37" t="s">
        <v>42</v>
      </c>
      <c r="L37" t="s">
        <v>43</v>
      </c>
      <c r="M37" t="s">
        <v>42</v>
      </c>
      <c r="N37" t="s">
        <v>43</v>
      </c>
      <c r="O37">
        <v>3</v>
      </c>
      <c r="P37">
        <v>5</v>
      </c>
      <c r="Q37">
        <v>1</v>
      </c>
      <c r="R37" t="s">
        <v>61</v>
      </c>
      <c r="S37">
        <v>2</v>
      </c>
      <c r="T37" s="1">
        <v>7</v>
      </c>
      <c r="U37" t="s">
        <v>61</v>
      </c>
    </row>
    <row r="38" spans="1:21" x14ac:dyDescent="0.35">
      <c r="A38" t="s">
        <v>50</v>
      </c>
      <c r="B38">
        <v>15</v>
      </c>
      <c r="C38" t="s">
        <v>35</v>
      </c>
      <c r="D38" t="s">
        <v>47</v>
      </c>
      <c r="E38" t="s">
        <v>44</v>
      </c>
      <c r="F38" t="s">
        <v>39</v>
      </c>
      <c r="G38" t="s">
        <v>48</v>
      </c>
      <c r="H38">
        <v>3</v>
      </c>
      <c r="I38">
        <v>0</v>
      </c>
      <c r="J38" t="s">
        <v>43</v>
      </c>
      <c r="K38" t="s">
        <v>42</v>
      </c>
      <c r="L38" t="s">
        <v>43</v>
      </c>
      <c r="M38" t="s">
        <v>42</v>
      </c>
      <c r="N38" t="s">
        <v>43</v>
      </c>
      <c r="O38">
        <v>5</v>
      </c>
      <c r="P38">
        <v>4</v>
      </c>
      <c r="Q38">
        <v>3</v>
      </c>
      <c r="R38" t="s">
        <v>61</v>
      </c>
      <c r="S38">
        <v>0</v>
      </c>
      <c r="T38" s="1">
        <v>16.333333333333332</v>
      </c>
      <c r="U38" t="s">
        <v>61</v>
      </c>
    </row>
    <row r="39" spans="1:21" x14ac:dyDescent="0.35">
      <c r="A39" t="s">
        <v>50</v>
      </c>
      <c r="B39">
        <v>16</v>
      </c>
      <c r="C39" t="s">
        <v>52</v>
      </c>
      <c r="D39" t="s">
        <v>36</v>
      </c>
      <c r="E39" t="s">
        <v>37</v>
      </c>
      <c r="F39" t="s">
        <v>45</v>
      </c>
      <c r="G39" t="s">
        <v>39</v>
      </c>
      <c r="H39">
        <v>3</v>
      </c>
      <c r="I39">
        <v>0</v>
      </c>
      <c r="J39" t="s">
        <v>43</v>
      </c>
      <c r="K39" t="s">
        <v>42</v>
      </c>
      <c r="L39" t="s">
        <v>43</v>
      </c>
      <c r="M39" t="s">
        <v>42</v>
      </c>
      <c r="N39" t="s">
        <v>42</v>
      </c>
      <c r="O39">
        <v>2</v>
      </c>
      <c r="P39">
        <v>4</v>
      </c>
      <c r="Q39">
        <v>3</v>
      </c>
      <c r="R39" t="s">
        <v>62</v>
      </c>
      <c r="S39">
        <v>1</v>
      </c>
      <c r="T39" s="1">
        <v>15.333333333333334</v>
      </c>
      <c r="U39" t="s">
        <v>61</v>
      </c>
    </row>
    <row r="40" spans="1:21" x14ac:dyDescent="0.35">
      <c r="A40" t="s">
        <v>34</v>
      </c>
      <c r="B40">
        <v>15</v>
      </c>
      <c r="C40" t="s">
        <v>52</v>
      </c>
      <c r="D40" t="s">
        <v>36</v>
      </c>
      <c r="E40" t="s">
        <v>44</v>
      </c>
      <c r="F40" t="s">
        <v>48</v>
      </c>
      <c r="G40" t="s">
        <v>28</v>
      </c>
      <c r="H40">
        <v>3</v>
      </c>
      <c r="I40">
        <v>0</v>
      </c>
      <c r="J40" t="s">
        <v>42</v>
      </c>
      <c r="K40" t="s">
        <v>42</v>
      </c>
      <c r="L40" t="s">
        <v>42</v>
      </c>
      <c r="M40" t="s">
        <v>42</v>
      </c>
      <c r="N40" t="s">
        <v>43</v>
      </c>
      <c r="O40">
        <v>4</v>
      </c>
      <c r="P40">
        <v>3</v>
      </c>
      <c r="Q40">
        <v>2</v>
      </c>
      <c r="R40" t="s">
        <v>61</v>
      </c>
      <c r="S40">
        <v>1</v>
      </c>
      <c r="T40" s="1">
        <v>11.666666666666666</v>
      </c>
      <c r="U40" t="s">
        <v>61</v>
      </c>
    </row>
    <row r="41" spans="1:21" x14ac:dyDescent="0.35">
      <c r="A41" t="s">
        <v>34</v>
      </c>
      <c r="B41">
        <v>15</v>
      </c>
      <c r="C41" t="s">
        <v>52</v>
      </c>
      <c r="D41" t="s">
        <v>36</v>
      </c>
      <c r="E41" t="s">
        <v>44</v>
      </c>
      <c r="F41" t="s">
        <v>38</v>
      </c>
      <c r="G41" t="s">
        <v>45</v>
      </c>
      <c r="H41">
        <v>1</v>
      </c>
      <c r="I41">
        <v>0</v>
      </c>
      <c r="J41" t="s">
        <v>42</v>
      </c>
      <c r="K41" t="s">
        <v>42</v>
      </c>
      <c r="L41" t="s">
        <v>42</v>
      </c>
      <c r="M41" t="s">
        <v>42</v>
      </c>
      <c r="N41" t="s">
        <v>43</v>
      </c>
      <c r="O41">
        <v>4</v>
      </c>
      <c r="P41">
        <v>3</v>
      </c>
      <c r="Q41">
        <v>1</v>
      </c>
      <c r="R41" t="s">
        <v>62</v>
      </c>
      <c r="S41">
        <v>1</v>
      </c>
      <c r="T41" s="1">
        <v>13.333333333333334</v>
      </c>
      <c r="U41" t="s">
        <v>61</v>
      </c>
    </row>
    <row r="42" spans="1:21" x14ac:dyDescent="0.35">
      <c r="A42" t="s">
        <v>34</v>
      </c>
      <c r="B42">
        <v>16</v>
      </c>
      <c r="C42" t="s">
        <v>35</v>
      </c>
      <c r="D42" t="s">
        <v>47</v>
      </c>
      <c r="E42" t="s">
        <v>44</v>
      </c>
      <c r="F42" t="s">
        <v>45</v>
      </c>
      <c r="G42" t="s">
        <v>45</v>
      </c>
      <c r="H42">
        <v>2</v>
      </c>
      <c r="I42">
        <v>1</v>
      </c>
      <c r="J42" t="s">
        <v>43</v>
      </c>
      <c r="K42" t="s">
        <v>42</v>
      </c>
      <c r="L42" t="s">
        <v>43</v>
      </c>
      <c r="M42" t="s">
        <v>42</v>
      </c>
      <c r="N42" t="s">
        <v>42</v>
      </c>
      <c r="O42">
        <v>3</v>
      </c>
      <c r="P42">
        <v>3</v>
      </c>
      <c r="Q42">
        <v>3</v>
      </c>
      <c r="R42" t="s">
        <v>63</v>
      </c>
      <c r="S42">
        <v>0</v>
      </c>
      <c r="T42" s="1">
        <v>9.3333333333333339</v>
      </c>
      <c r="U42" t="s">
        <v>62</v>
      </c>
    </row>
    <row r="43" spans="1:21" x14ac:dyDescent="0.35">
      <c r="A43" t="s">
        <v>50</v>
      </c>
      <c r="B43">
        <v>15</v>
      </c>
      <c r="C43" t="s">
        <v>35</v>
      </c>
      <c r="D43" t="s">
        <v>47</v>
      </c>
      <c r="E43" t="s">
        <v>44</v>
      </c>
      <c r="F43" t="s">
        <v>39</v>
      </c>
      <c r="G43" t="s">
        <v>45</v>
      </c>
      <c r="H43">
        <v>1</v>
      </c>
      <c r="I43">
        <v>0</v>
      </c>
      <c r="J43" t="s">
        <v>43</v>
      </c>
      <c r="K43" t="s">
        <v>42</v>
      </c>
      <c r="L43" t="s">
        <v>43</v>
      </c>
      <c r="M43" t="s">
        <v>43</v>
      </c>
      <c r="N43" t="s">
        <v>42</v>
      </c>
      <c r="O43">
        <v>5</v>
      </c>
      <c r="P43">
        <v>4</v>
      </c>
      <c r="Q43">
        <v>3</v>
      </c>
      <c r="R43" t="s">
        <v>62</v>
      </c>
      <c r="S43">
        <v>0</v>
      </c>
      <c r="T43" s="1">
        <v>12</v>
      </c>
      <c r="U43" t="s">
        <v>63</v>
      </c>
    </row>
    <row r="44" spans="1:21" x14ac:dyDescent="0.35">
      <c r="A44" t="s">
        <v>50</v>
      </c>
      <c r="B44">
        <v>15</v>
      </c>
      <c r="C44" t="s">
        <v>35</v>
      </c>
      <c r="D44" t="s">
        <v>36</v>
      </c>
      <c r="E44" t="s">
        <v>44</v>
      </c>
      <c r="F44" t="s">
        <v>48</v>
      </c>
      <c r="G44" t="s">
        <v>39</v>
      </c>
      <c r="H44">
        <v>2</v>
      </c>
      <c r="I44">
        <v>0</v>
      </c>
      <c r="J44" t="s">
        <v>43</v>
      </c>
      <c r="K44" t="s">
        <v>42</v>
      </c>
      <c r="L44" t="s">
        <v>43</v>
      </c>
      <c r="M44" t="s">
        <v>42</v>
      </c>
      <c r="N44" t="s">
        <v>43</v>
      </c>
      <c r="O44">
        <v>4</v>
      </c>
      <c r="P44">
        <v>3</v>
      </c>
      <c r="Q44">
        <v>3</v>
      </c>
      <c r="R44" t="s">
        <v>61</v>
      </c>
      <c r="S44">
        <v>1</v>
      </c>
      <c r="T44" s="1">
        <v>18.333333333333332</v>
      </c>
      <c r="U44" t="s">
        <v>61</v>
      </c>
    </row>
    <row r="45" spans="1:21" x14ac:dyDescent="0.35">
      <c r="A45" t="s">
        <v>50</v>
      </c>
      <c r="B45">
        <v>15</v>
      </c>
      <c r="C45" t="s">
        <v>35</v>
      </c>
      <c r="D45" t="s">
        <v>36</v>
      </c>
      <c r="E45" t="s">
        <v>44</v>
      </c>
      <c r="F45" t="s">
        <v>48</v>
      </c>
      <c r="G45" t="s">
        <v>48</v>
      </c>
      <c r="H45">
        <v>1</v>
      </c>
      <c r="I45">
        <v>0</v>
      </c>
      <c r="J45" t="s">
        <v>42</v>
      </c>
      <c r="K45" t="s">
        <v>42</v>
      </c>
      <c r="L45" t="s">
        <v>43</v>
      </c>
      <c r="M45" t="s">
        <v>43</v>
      </c>
      <c r="N45" t="s">
        <v>43</v>
      </c>
      <c r="O45">
        <v>5</v>
      </c>
      <c r="P45">
        <v>4</v>
      </c>
      <c r="Q45">
        <v>1</v>
      </c>
      <c r="R45" t="s">
        <v>61</v>
      </c>
      <c r="S45">
        <v>0</v>
      </c>
      <c r="T45" s="1">
        <v>9</v>
      </c>
      <c r="U45" t="s">
        <v>61</v>
      </c>
    </row>
    <row r="46" spans="1:21" x14ac:dyDescent="0.35">
      <c r="A46" t="s">
        <v>34</v>
      </c>
      <c r="B46">
        <v>16</v>
      </c>
      <c r="C46" t="s">
        <v>35</v>
      </c>
      <c r="D46" t="s">
        <v>47</v>
      </c>
      <c r="E46" t="s">
        <v>44</v>
      </c>
      <c r="F46" t="s">
        <v>45</v>
      </c>
      <c r="G46" t="s">
        <v>38</v>
      </c>
      <c r="H46">
        <v>2</v>
      </c>
      <c r="I46">
        <v>1</v>
      </c>
      <c r="J46" t="s">
        <v>42</v>
      </c>
      <c r="K46" t="s">
        <v>43</v>
      </c>
      <c r="L46" t="s">
        <v>43</v>
      </c>
      <c r="M46" t="s">
        <v>42</v>
      </c>
      <c r="N46" t="s">
        <v>43</v>
      </c>
      <c r="O46">
        <v>4</v>
      </c>
      <c r="P46">
        <v>3</v>
      </c>
      <c r="Q46">
        <v>3</v>
      </c>
      <c r="R46" t="s">
        <v>63</v>
      </c>
      <c r="S46">
        <v>1</v>
      </c>
      <c r="T46" s="1">
        <v>9.6666666666666661</v>
      </c>
      <c r="U46" t="s">
        <v>62</v>
      </c>
    </row>
    <row r="47" spans="1:21" x14ac:dyDescent="0.35">
      <c r="A47" t="s">
        <v>34</v>
      </c>
      <c r="B47">
        <v>15</v>
      </c>
      <c r="C47" t="s">
        <v>35</v>
      </c>
      <c r="D47" t="s">
        <v>47</v>
      </c>
      <c r="E47" t="s">
        <v>37</v>
      </c>
      <c r="F47" t="s">
        <v>45</v>
      </c>
      <c r="G47" t="s">
        <v>45</v>
      </c>
      <c r="H47">
        <v>2</v>
      </c>
      <c r="I47">
        <v>0</v>
      </c>
      <c r="J47" t="s">
        <v>42</v>
      </c>
      <c r="K47" t="s">
        <v>42</v>
      </c>
      <c r="L47" t="s">
        <v>42</v>
      </c>
      <c r="M47" t="s">
        <v>42</v>
      </c>
      <c r="N47" t="s">
        <v>42</v>
      </c>
      <c r="O47">
        <v>5</v>
      </c>
      <c r="P47">
        <v>2</v>
      </c>
      <c r="Q47">
        <v>2</v>
      </c>
      <c r="R47" t="s">
        <v>62</v>
      </c>
      <c r="S47">
        <v>1</v>
      </c>
      <c r="T47" s="1">
        <v>7.333333333333333</v>
      </c>
      <c r="U47" t="s">
        <v>61</v>
      </c>
    </row>
    <row r="48" spans="1:21" x14ac:dyDescent="0.35">
      <c r="A48" t="s">
        <v>34</v>
      </c>
      <c r="B48">
        <v>16</v>
      </c>
      <c r="C48" t="s">
        <v>35</v>
      </c>
      <c r="D48" t="s">
        <v>47</v>
      </c>
      <c r="E48" t="s">
        <v>37</v>
      </c>
      <c r="F48" t="s">
        <v>45</v>
      </c>
      <c r="G48" t="s">
        <v>48</v>
      </c>
      <c r="H48">
        <v>2</v>
      </c>
      <c r="I48">
        <v>0</v>
      </c>
      <c r="J48" t="s">
        <v>43</v>
      </c>
      <c r="K48" t="s">
        <v>42</v>
      </c>
      <c r="L48" t="s">
        <v>43</v>
      </c>
      <c r="M48" t="s">
        <v>43</v>
      </c>
      <c r="N48" t="s">
        <v>43</v>
      </c>
      <c r="O48">
        <v>2</v>
      </c>
      <c r="P48">
        <v>3</v>
      </c>
      <c r="Q48">
        <v>5</v>
      </c>
      <c r="R48" t="s">
        <v>63</v>
      </c>
      <c r="S48">
        <v>1</v>
      </c>
      <c r="T48" s="1">
        <v>11.333333333333334</v>
      </c>
      <c r="U48" t="s">
        <v>63</v>
      </c>
    </row>
    <row r="49" spans="1:21" x14ac:dyDescent="0.35">
      <c r="A49" t="s">
        <v>50</v>
      </c>
      <c r="B49">
        <v>16</v>
      </c>
      <c r="C49" t="s">
        <v>35</v>
      </c>
      <c r="D49" t="s">
        <v>36</v>
      </c>
      <c r="E49" t="s">
        <v>44</v>
      </c>
      <c r="F49" t="s">
        <v>28</v>
      </c>
      <c r="G49" t="s">
        <v>48</v>
      </c>
      <c r="H49">
        <v>4</v>
      </c>
      <c r="I49">
        <v>0</v>
      </c>
      <c r="J49" t="s">
        <v>43</v>
      </c>
      <c r="K49" t="s">
        <v>43</v>
      </c>
      <c r="L49" t="s">
        <v>43</v>
      </c>
      <c r="M49" t="s">
        <v>42</v>
      </c>
      <c r="N49" t="s">
        <v>43</v>
      </c>
      <c r="O49">
        <v>4</v>
      </c>
      <c r="P49">
        <v>2</v>
      </c>
      <c r="Q49">
        <v>2</v>
      </c>
      <c r="R49" t="s">
        <v>61</v>
      </c>
      <c r="S49">
        <v>0</v>
      </c>
      <c r="T49" s="1">
        <v>19.333333333333332</v>
      </c>
      <c r="U49" t="s">
        <v>61</v>
      </c>
    </row>
    <row r="50" spans="1:21" x14ac:dyDescent="0.35">
      <c r="A50" t="s">
        <v>50</v>
      </c>
      <c r="B50">
        <v>15</v>
      </c>
      <c r="C50" t="s">
        <v>35</v>
      </c>
      <c r="D50" t="s">
        <v>36</v>
      </c>
      <c r="E50" t="s">
        <v>44</v>
      </c>
      <c r="F50" t="s">
        <v>39</v>
      </c>
      <c r="G50" t="s">
        <v>45</v>
      </c>
      <c r="H50">
        <v>2</v>
      </c>
      <c r="I50">
        <v>0</v>
      </c>
      <c r="J50" t="s">
        <v>43</v>
      </c>
      <c r="K50" t="s">
        <v>42</v>
      </c>
      <c r="L50" t="s">
        <v>42</v>
      </c>
      <c r="M50" t="s">
        <v>43</v>
      </c>
      <c r="N50" t="s">
        <v>43</v>
      </c>
      <c r="O50">
        <v>4</v>
      </c>
      <c r="P50">
        <v>3</v>
      </c>
      <c r="Q50">
        <v>3</v>
      </c>
      <c r="R50" t="s">
        <v>61</v>
      </c>
      <c r="S50">
        <v>1</v>
      </c>
      <c r="T50" s="1">
        <v>14.666666666666666</v>
      </c>
      <c r="U50" t="s">
        <v>62</v>
      </c>
    </row>
    <row r="51" spans="1:21" x14ac:dyDescent="0.35">
      <c r="A51" t="s">
        <v>34</v>
      </c>
      <c r="B51">
        <v>15</v>
      </c>
      <c r="C51" t="s">
        <v>35</v>
      </c>
      <c r="D51" t="s">
        <v>36</v>
      </c>
      <c r="E51" t="s">
        <v>44</v>
      </c>
      <c r="F51" t="s">
        <v>48</v>
      </c>
      <c r="G51" t="s">
        <v>39</v>
      </c>
      <c r="H51">
        <v>2</v>
      </c>
      <c r="I51">
        <v>1</v>
      </c>
      <c r="J51" t="s">
        <v>42</v>
      </c>
      <c r="K51" t="s">
        <v>42</v>
      </c>
      <c r="L51" t="s">
        <v>43</v>
      </c>
      <c r="M51" t="s">
        <v>42</v>
      </c>
      <c r="N51" t="s">
        <v>43</v>
      </c>
      <c r="O51">
        <v>4</v>
      </c>
      <c r="P51">
        <v>4</v>
      </c>
      <c r="Q51">
        <v>4</v>
      </c>
      <c r="R51" t="s">
        <v>61</v>
      </c>
      <c r="S51">
        <v>0</v>
      </c>
      <c r="T51" s="1">
        <v>7</v>
      </c>
      <c r="U51" t="s">
        <v>61</v>
      </c>
    </row>
    <row r="52" spans="1:21" x14ac:dyDescent="0.35">
      <c r="A52" t="s">
        <v>34</v>
      </c>
      <c r="B52">
        <v>16</v>
      </c>
      <c r="C52" t="s">
        <v>35</v>
      </c>
      <c r="D52" t="s">
        <v>47</v>
      </c>
      <c r="E52" t="s">
        <v>44</v>
      </c>
      <c r="F52" t="s">
        <v>48</v>
      </c>
      <c r="G52" t="s">
        <v>48</v>
      </c>
      <c r="H52">
        <v>2</v>
      </c>
      <c r="I52">
        <v>0</v>
      </c>
      <c r="J52" t="s">
        <v>43</v>
      </c>
      <c r="K52" t="s">
        <v>42</v>
      </c>
      <c r="L52" t="s">
        <v>42</v>
      </c>
      <c r="M52" t="s">
        <v>43</v>
      </c>
      <c r="N52" t="s">
        <v>43</v>
      </c>
      <c r="O52">
        <v>4</v>
      </c>
      <c r="P52">
        <v>3</v>
      </c>
      <c r="Q52">
        <v>3</v>
      </c>
      <c r="R52" t="s">
        <v>61</v>
      </c>
      <c r="S52">
        <v>0</v>
      </c>
      <c r="T52" s="1">
        <v>12.666666666666666</v>
      </c>
      <c r="U52" t="s">
        <v>63</v>
      </c>
    </row>
    <row r="53" spans="1:21" x14ac:dyDescent="0.35">
      <c r="A53" t="s">
        <v>34</v>
      </c>
      <c r="B53">
        <v>15</v>
      </c>
      <c r="C53" t="s">
        <v>35</v>
      </c>
      <c r="D53" t="s">
        <v>47</v>
      </c>
      <c r="E53" t="s">
        <v>44</v>
      </c>
      <c r="F53" t="s">
        <v>28</v>
      </c>
      <c r="G53" t="s">
        <v>45</v>
      </c>
      <c r="H53">
        <v>2</v>
      </c>
      <c r="I53">
        <v>0</v>
      </c>
      <c r="J53" t="s">
        <v>43</v>
      </c>
      <c r="K53" t="s">
        <v>42</v>
      </c>
      <c r="L53" t="s">
        <v>42</v>
      </c>
      <c r="M53" t="s">
        <v>43</v>
      </c>
      <c r="N53" t="s">
        <v>43</v>
      </c>
      <c r="O53">
        <v>4</v>
      </c>
      <c r="P53">
        <v>3</v>
      </c>
      <c r="Q53">
        <v>3</v>
      </c>
      <c r="R53" t="s">
        <v>61</v>
      </c>
      <c r="S53">
        <v>0</v>
      </c>
      <c r="T53" s="1">
        <v>12.333333333333334</v>
      </c>
      <c r="U53" t="s">
        <v>61</v>
      </c>
    </row>
    <row r="54" spans="1:21" x14ac:dyDescent="0.35">
      <c r="A54" t="s">
        <v>50</v>
      </c>
      <c r="B54">
        <v>15</v>
      </c>
      <c r="C54" t="s">
        <v>35</v>
      </c>
      <c r="D54" t="s">
        <v>47</v>
      </c>
      <c r="E54" t="s">
        <v>37</v>
      </c>
      <c r="F54" t="s">
        <v>28</v>
      </c>
      <c r="G54" t="s">
        <v>28</v>
      </c>
      <c r="H54">
        <v>1</v>
      </c>
      <c r="I54">
        <v>1</v>
      </c>
      <c r="J54" t="s">
        <v>43</v>
      </c>
      <c r="K54" t="s">
        <v>43</v>
      </c>
      <c r="L54" t="s">
        <v>43</v>
      </c>
      <c r="M54" t="s">
        <v>43</v>
      </c>
      <c r="N54" t="s">
        <v>43</v>
      </c>
      <c r="O54">
        <v>5</v>
      </c>
      <c r="P54">
        <v>5</v>
      </c>
      <c r="Q54">
        <v>5</v>
      </c>
      <c r="R54" t="s">
        <v>62</v>
      </c>
      <c r="S54">
        <v>1</v>
      </c>
      <c r="T54" s="1">
        <v>10.666666666666666</v>
      </c>
      <c r="U54" t="s">
        <v>63</v>
      </c>
    </row>
    <row r="55" spans="1:21" x14ac:dyDescent="0.35">
      <c r="A55" t="s">
        <v>34</v>
      </c>
      <c r="B55">
        <v>15</v>
      </c>
      <c r="C55" t="s">
        <v>35</v>
      </c>
      <c r="D55" t="s">
        <v>36</v>
      </c>
      <c r="E55" t="s">
        <v>44</v>
      </c>
      <c r="F55" t="s">
        <v>48</v>
      </c>
      <c r="G55" t="s">
        <v>48</v>
      </c>
      <c r="H55">
        <v>1</v>
      </c>
      <c r="I55">
        <v>0</v>
      </c>
      <c r="J55" t="s">
        <v>42</v>
      </c>
      <c r="K55" t="s">
        <v>42</v>
      </c>
      <c r="L55" t="s">
        <v>42</v>
      </c>
      <c r="M55" t="s">
        <v>43</v>
      </c>
      <c r="N55" t="s">
        <v>43</v>
      </c>
      <c r="O55">
        <v>3</v>
      </c>
      <c r="P55">
        <v>3</v>
      </c>
      <c r="Q55">
        <v>4</v>
      </c>
      <c r="R55" t="s">
        <v>61</v>
      </c>
      <c r="S55">
        <v>0</v>
      </c>
      <c r="T55" s="1">
        <v>9.6666666666666661</v>
      </c>
      <c r="U55" t="s">
        <v>63</v>
      </c>
    </row>
    <row r="56" spans="1:21" x14ac:dyDescent="0.35">
      <c r="A56" t="s">
        <v>34</v>
      </c>
      <c r="B56">
        <v>15</v>
      </c>
      <c r="C56" t="s">
        <v>35</v>
      </c>
      <c r="D56" t="s">
        <v>47</v>
      </c>
      <c r="E56" t="s">
        <v>37</v>
      </c>
      <c r="F56" t="s">
        <v>45</v>
      </c>
      <c r="G56" t="s">
        <v>45</v>
      </c>
      <c r="H56">
        <v>1</v>
      </c>
      <c r="I56">
        <v>0</v>
      </c>
      <c r="J56" t="s">
        <v>43</v>
      </c>
      <c r="K56" t="s">
        <v>43</v>
      </c>
      <c r="L56" t="s">
        <v>42</v>
      </c>
      <c r="M56" t="s">
        <v>43</v>
      </c>
      <c r="N56" t="s">
        <v>43</v>
      </c>
      <c r="O56">
        <v>5</v>
      </c>
      <c r="P56">
        <v>3</v>
      </c>
      <c r="Q56">
        <v>4</v>
      </c>
      <c r="R56" t="s">
        <v>62</v>
      </c>
      <c r="S56">
        <v>0</v>
      </c>
      <c r="T56" s="1">
        <v>12</v>
      </c>
      <c r="U56" t="s">
        <v>63</v>
      </c>
    </row>
    <row r="57" spans="1:21" x14ac:dyDescent="0.35">
      <c r="A57" t="s">
        <v>34</v>
      </c>
      <c r="B57">
        <v>16</v>
      </c>
      <c r="C57" t="s">
        <v>35</v>
      </c>
      <c r="D57" t="s">
        <v>36</v>
      </c>
      <c r="E57" t="s">
        <v>37</v>
      </c>
      <c r="F57" t="s">
        <v>45</v>
      </c>
      <c r="G57" t="s">
        <v>45</v>
      </c>
      <c r="H57">
        <v>2</v>
      </c>
      <c r="I57">
        <v>0</v>
      </c>
      <c r="J57" t="s">
        <v>43</v>
      </c>
      <c r="K57" t="s">
        <v>43</v>
      </c>
      <c r="L57" t="s">
        <v>42</v>
      </c>
      <c r="M57" t="s">
        <v>42</v>
      </c>
      <c r="N57" t="s">
        <v>42</v>
      </c>
      <c r="O57">
        <v>5</v>
      </c>
      <c r="P57">
        <v>3</v>
      </c>
      <c r="Q57">
        <v>4</v>
      </c>
      <c r="R57" t="s">
        <v>62</v>
      </c>
      <c r="S57">
        <v>0</v>
      </c>
      <c r="T57" s="1">
        <v>9</v>
      </c>
      <c r="U57" t="s">
        <v>61</v>
      </c>
    </row>
    <row r="58" spans="1:21" x14ac:dyDescent="0.35">
      <c r="A58" t="s">
        <v>34</v>
      </c>
      <c r="B58">
        <v>15</v>
      </c>
      <c r="C58" t="s">
        <v>35</v>
      </c>
      <c r="D58" t="s">
        <v>36</v>
      </c>
      <c r="E58" t="s">
        <v>37</v>
      </c>
      <c r="F58" t="s">
        <v>48</v>
      </c>
      <c r="G58" t="s">
        <v>48</v>
      </c>
      <c r="H58">
        <v>2</v>
      </c>
      <c r="I58">
        <v>0</v>
      </c>
      <c r="J58" t="s">
        <v>43</v>
      </c>
      <c r="K58" t="s">
        <v>42</v>
      </c>
      <c r="L58" t="s">
        <v>42</v>
      </c>
      <c r="M58" t="s">
        <v>42</v>
      </c>
      <c r="N58" t="s">
        <v>43</v>
      </c>
      <c r="O58">
        <v>4</v>
      </c>
      <c r="P58">
        <v>3</v>
      </c>
      <c r="Q58">
        <v>2</v>
      </c>
      <c r="R58" t="s">
        <v>61</v>
      </c>
      <c r="S58">
        <v>0</v>
      </c>
      <c r="T58" s="1">
        <v>14.666666666666666</v>
      </c>
      <c r="U58" t="s">
        <v>61</v>
      </c>
    </row>
    <row r="59" spans="1:21" x14ac:dyDescent="0.35">
      <c r="A59" t="s">
        <v>50</v>
      </c>
      <c r="B59">
        <v>15</v>
      </c>
      <c r="C59" t="s">
        <v>35</v>
      </c>
      <c r="D59" t="s">
        <v>36</v>
      </c>
      <c r="E59" t="s">
        <v>44</v>
      </c>
      <c r="F59" t="s">
        <v>39</v>
      </c>
      <c r="G59" t="s">
        <v>28</v>
      </c>
      <c r="H59">
        <v>2</v>
      </c>
      <c r="I59">
        <v>0</v>
      </c>
      <c r="J59" t="s">
        <v>43</v>
      </c>
      <c r="K59" t="s">
        <v>42</v>
      </c>
      <c r="L59" t="s">
        <v>43</v>
      </c>
      <c r="M59" t="s">
        <v>42</v>
      </c>
      <c r="N59" t="s">
        <v>43</v>
      </c>
      <c r="O59">
        <v>3</v>
      </c>
      <c r="P59">
        <v>2</v>
      </c>
      <c r="Q59">
        <v>2</v>
      </c>
      <c r="R59" t="s">
        <v>61</v>
      </c>
      <c r="S59">
        <v>0</v>
      </c>
      <c r="T59" s="1">
        <v>14.666666666666666</v>
      </c>
      <c r="U59" t="s">
        <v>61</v>
      </c>
    </row>
    <row r="60" spans="1:21" x14ac:dyDescent="0.35">
      <c r="A60" t="s">
        <v>50</v>
      </c>
      <c r="B60">
        <v>15</v>
      </c>
      <c r="C60" t="s">
        <v>35</v>
      </c>
      <c r="D60" t="s">
        <v>47</v>
      </c>
      <c r="E60" t="s">
        <v>44</v>
      </c>
      <c r="F60" t="s">
        <v>45</v>
      </c>
      <c r="G60" t="s">
        <v>38</v>
      </c>
      <c r="H60">
        <v>2</v>
      </c>
      <c r="I60">
        <v>0</v>
      </c>
      <c r="J60" t="s">
        <v>42</v>
      </c>
      <c r="K60" t="s">
        <v>42</v>
      </c>
      <c r="L60" t="s">
        <v>43</v>
      </c>
      <c r="M60" t="s">
        <v>42</v>
      </c>
      <c r="N60" t="s">
        <v>43</v>
      </c>
      <c r="O60">
        <v>4</v>
      </c>
      <c r="P60">
        <v>3</v>
      </c>
      <c r="Q60">
        <v>2</v>
      </c>
      <c r="R60" t="s">
        <v>61</v>
      </c>
      <c r="S60">
        <v>1</v>
      </c>
      <c r="T60" s="1">
        <v>9.3333333333333339</v>
      </c>
      <c r="U60" t="s">
        <v>61</v>
      </c>
    </row>
    <row r="61" spans="1:21" x14ac:dyDescent="0.35">
      <c r="A61" t="s">
        <v>34</v>
      </c>
      <c r="B61">
        <v>16</v>
      </c>
      <c r="C61" t="s">
        <v>35</v>
      </c>
      <c r="D61" t="s">
        <v>36</v>
      </c>
      <c r="E61" t="s">
        <v>44</v>
      </c>
      <c r="F61" t="s">
        <v>48</v>
      </c>
      <c r="G61" t="s">
        <v>45</v>
      </c>
      <c r="H61">
        <v>2</v>
      </c>
      <c r="I61">
        <v>0</v>
      </c>
      <c r="J61" t="s">
        <v>43</v>
      </c>
      <c r="K61" t="s">
        <v>42</v>
      </c>
      <c r="L61" t="s">
        <v>43</v>
      </c>
      <c r="M61" t="s">
        <v>43</v>
      </c>
      <c r="N61" t="s">
        <v>43</v>
      </c>
      <c r="O61">
        <v>4</v>
      </c>
      <c r="P61">
        <v>2</v>
      </c>
      <c r="Q61">
        <v>3</v>
      </c>
      <c r="R61" t="s">
        <v>61</v>
      </c>
      <c r="S61">
        <v>0</v>
      </c>
      <c r="T61" s="1">
        <v>15.666666666666666</v>
      </c>
      <c r="U61" t="s">
        <v>61</v>
      </c>
    </row>
    <row r="62" spans="1:21" x14ac:dyDescent="0.35">
      <c r="A62" t="s">
        <v>34</v>
      </c>
      <c r="B62">
        <v>16</v>
      </c>
      <c r="C62" t="s">
        <v>52</v>
      </c>
      <c r="D62" t="s">
        <v>36</v>
      </c>
      <c r="E62" t="s">
        <v>44</v>
      </c>
      <c r="F62" t="s">
        <v>28</v>
      </c>
      <c r="G62" t="s">
        <v>39</v>
      </c>
      <c r="H62">
        <v>2</v>
      </c>
      <c r="I62">
        <v>0</v>
      </c>
      <c r="J62" t="s">
        <v>43</v>
      </c>
      <c r="K62" t="s">
        <v>42</v>
      </c>
      <c r="L62" t="s">
        <v>43</v>
      </c>
      <c r="M62" t="s">
        <v>42</v>
      </c>
      <c r="N62" t="s">
        <v>43</v>
      </c>
      <c r="O62">
        <v>2</v>
      </c>
      <c r="P62">
        <v>4</v>
      </c>
      <c r="Q62">
        <v>4</v>
      </c>
      <c r="R62" t="s">
        <v>62</v>
      </c>
      <c r="S62">
        <v>0</v>
      </c>
      <c r="T62" s="1">
        <v>10.666666666666666</v>
      </c>
      <c r="U62" t="s">
        <v>63</v>
      </c>
    </row>
    <row r="63" spans="1:21" x14ac:dyDescent="0.35">
      <c r="A63" t="s">
        <v>34</v>
      </c>
      <c r="B63">
        <v>16</v>
      </c>
      <c r="C63" t="s">
        <v>35</v>
      </c>
      <c r="D63" t="s">
        <v>36</v>
      </c>
      <c r="E63" t="s">
        <v>44</v>
      </c>
      <c r="F63" t="s">
        <v>48</v>
      </c>
      <c r="G63" t="s">
        <v>48</v>
      </c>
      <c r="H63">
        <v>1</v>
      </c>
      <c r="I63">
        <v>0</v>
      </c>
      <c r="J63" t="s">
        <v>42</v>
      </c>
      <c r="K63" t="s">
        <v>42</v>
      </c>
      <c r="L63" t="s">
        <v>43</v>
      </c>
      <c r="M63" t="s">
        <v>42</v>
      </c>
      <c r="N63" t="s">
        <v>42</v>
      </c>
      <c r="O63">
        <v>5</v>
      </c>
      <c r="P63">
        <v>5</v>
      </c>
      <c r="Q63">
        <v>5</v>
      </c>
      <c r="R63" t="s">
        <v>62</v>
      </c>
      <c r="S63">
        <v>1</v>
      </c>
      <c r="T63" s="1">
        <v>9.6666666666666661</v>
      </c>
      <c r="U63" t="s">
        <v>63</v>
      </c>
    </row>
    <row r="64" spans="1:21" x14ac:dyDescent="0.35">
      <c r="A64" t="s">
        <v>34</v>
      </c>
      <c r="B64">
        <v>16</v>
      </c>
      <c r="C64" t="s">
        <v>35</v>
      </c>
      <c r="D64" t="s">
        <v>47</v>
      </c>
      <c r="E64" t="s">
        <v>44</v>
      </c>
      <c r="F64" t="s">
        <v>45</v>
      </c>
      <c r="G64" t="s">
        <v>48</v>
      </c>
      <c r="H64">
        <v>2</v>
      </c>
      <c r="I64">
        <v>0</v>
      </c>
      <c r="J64" t="s">
        <v>42</v>
      </c>
      <c r="K64" t="s">
        <v>43</v>
      </c>
      <c r="L64" t="s">
        <v>43</v>
      </c>
      <c r="M64" t="s">
        <v>42</v>
      </c>
      <c r="N64" t="s">
        <v>43</v>
      </c>
      <c r="O64">
        <v>4</v>
      </c>
      <c r="P64">
        <v>4</v>
      </c>
      <c r="Q64">
        <v>3</v>
      </c>
      <c r="R64" t="s">
        <v>61</v>
      </c>
      <c r="S64">
        <v>1</v>
      </c>
      <c r="T64" s="1">
        <v>9</v>
      </c>
      <c r="U64" t="s">
        <v>61</v>
      </c>
    </row>
    <row r="65" spans="1:21" x14ac:dyDescent="0.35">
      <c r="A65" t="s">
        <v>34</v>
      </c>
      <c r="B65">
        <v>16</v>
      </c>
      <c r="C65" t="s">
        <v>35</v>
      </c>
      <c r="D65" t="s">
        <v>36</v>
      </c>
      <c r="E65" t="s">
        <v>44</v>
      </c>
      <c r="F65" t="s">
        <v>39</v>
      </c>
      <c r="G65" t="s">
        <v>28</v>
      </c>
      <c r="H65">
        <v>3</v>
      </c>
      <c r="I65">
        <v>0</v>
      </c>
      <c r="J65" t="s">
        <v>42</v>
      </c>
      <c r="K65" t="s">
        <v>42</v>
      </c>
      <c r="L65" t="s">
        <v>42</v>
      </c>
      <c r="M65" t="s">
        <v>42</v>
      </c>
      <c r="N65" t="s">
        <v>43</v>
      </c>
      <c r="O65">
        <v>3</v>
      </c>
      <c r="P65">
        <v>4</v>
      </c>
      <c r="Q65">
        <v>4</v>
      </c>
      <c r="R65" t="s">
        <v>61</v>
      </c>
      <c r="S65">
        <v>1</v>
      </c>
      <c r="T65" s="1">
        <v>9.3333333333333339</v>
      </c>
      <c r="U65" t="s">
        <v>63</v>
      </c>
    </row>
    <row r="66" spans="1:21" x14ac:dyDescent="0.35">
      <c r="A66" t="s">
        <v>34</v>
      </c>
      <c r="B66">
        <v>15</v>
      </c>
      <c r="C66" t="s">
        <v>35</v>
      </c>
      <c r="D66" t="s">
        <v>47</v>
      </c>
      <c r="E66" t="s">
        <v>44</v>
      </c>
      <c r="F66" t="s">
        <v>48</v>
      </c>
      <c r="G66" t="s">
        <v>48</v>
      </c>
      <c r="H66">
        <v>2</v>
      </c>
      <c r="I66">
        <v>0</v>
      </c>
      <c r="J66" t="s">
        <v>42</v>
      </c>
      <c r="K66" t="s">
        <v>43</v>
      </c>
      <c r="L66" t="s">
        <v>43</v>
      </c>
      <c r="M66" t="s">
        <v>42</v>
      </c>
      <c r="N66" t="s">
        <v>42</v>
      </c>
      <c r="O66">
        <v>4</v>
      </c>
      <c r="P66">
        <v>4</v>
      </c>
      <c r="Q66">
        <v>4</v>
      </c>
      <c r="R66" t="s">
        <v>61</v>
      </c>
      <c r="S66">
        <v>0</v>
      </c>
      <c r="T66" s="1">
        <v>10</v>
      </c>
      <c r="U66" t="s">
        <v>63</v>
      </c>
    </row>
    <row r="67" spans="1:21" x14ac:dyDescent="0.35">
      <c r="A67" t="s">
        <v>34</v>
      </c>
      <c r="B67">
        <v>16</v>
      </c>
      <c r="C67" t="s">
        <v>35</v>
      </c>
      <c r="D67" t="s">
        <v>47</v>
      </c>
      <c r="E67" t="s">
        <v>44</v>
      </c>
      <c r="F67" t="s">
        <v>39</v>
      </c>
      <c r="G67" t="s">
        <v>48</v>
      </c>
      <c r="H67">
        <v>2</v>
      </c>
      <c r="I67">
        <v>0</v>
      </c>
      <c r="J67" t="s">
        <v>43</v>
      </c>
      <c r="K67" t="s">
        <v>42</v>
      </c>
      <c r="L67" t="s">
        <v>43</v>
      </c>
      <c r="M67" t="s">
        <v>42</v>
      </c>
      <c r="N67" t="s">
        <v>43</v>
      </c>
      <c r="O67">
        <v>5</v>
      </c>
      <c r="P67">
        <v>4</v>
      </c>
      <c r="Q67">
        <v>3</v>
      </c>
      <c r="R67" t="s">
        <v>61</v>
      </c>
      <c r="S67">
        <v>1</v>
      </c>
      <c r="T67" s="1">
        <v>15.333333333333334</v>
      </c>
      <c r="U67" t="s">
        <v>62</v>
      </c>
    </row>
    <row r="68" spans="1:21" x14ac:dyDescent="0.35">
      <c r="A68" t="s">
        <v>50</v>
      </c>
      <c r="B68">
        <v>15</v>
      </c>
      <c r="C68" t="s">
        <v>35</v>
      </c>
      <c r="D68" t="s">
        <v>36</v>
      </c>
      <c r="E68" t="s">
        <v>37</v>
      </c>
      <c r="F68" t="s">
        <v>45</v>
      </c>
      <c r="G68" t="s">
        <v>48</v>
      </c>
      <c r="H68">
        <v>4</v>
      </c>
      <c r="I68">
        <v>0</v>
      </c>
      <c r="J68" t="s">
        <v>43</v>
      </c>
      <c r="K68" t="s">
        <v>42</v>
      </c>
      <c r="L68" t="s">
        <v>43</v>
      </c>
      <c r="M68" t="s">
        <v>42</v>
      </c>
      <c r="N68" t="s">
        <v>42</v>
      </c>
      <c r="O68">
        <v>1</v>
      </c>
      <c r="P68">
        <v>3</v>
      </c>
      <c r="Q68">
        <v>3</v>
      </c>
      <c r="R68" t="s">
        <v>61</v>
      </c>
      <c r="S68">
        <v>1</v>
      </c>
      <c r="T68" s="1">
        <v>12.666666666666666</v>
      </c>
      <c r="U68" t="s">
        <v>63</v>
      </c>
    </row>
    <row r="69" spans="1:21" x14ac:dyDescent="0.35">
      <c r="A69" t="s">
        <v>34</v>
      </c>
      <c r="B69">
        <v>16</v>
      </c>
      <c r="C69" t="s">
        <v>35</v>
      </c>
      <c r="D69" t="s">
        <v>36</v>
      </c>
      <c r="E69" t="s">
        <v>44</v>
      </c>
      <c r="F69" t="s">
        <v>48</v>
      </c>
      <c r="G69" t="s">
        <v>45</v>
      </c>
      <c r="H69">
        <v>4</v>
      </c>
      <c r="I69">
        <v>0</v>
      </c>
      <c r="J69" t="s">
        <v>42</v>
      </c>
      <c r="K69" t="s">
        <v>42</v>
      </c>
      <c r="L69" t="s">
        <v>42</v>
      </c>
      <c r="M69" t="s">
        <v>43</v>
      </c>
      <c r="N69" t="s">
        <v>43</v>
      </c>
      <c r="O69">
        <v>4</v>
      </c>
      <c r="P69">
        <v>3</v>
      </c>
      <c r="Q69">
        <v>3</v>
      </c>
      <c r="R69" t="s">
        <v>61</v>
      </c>
      <c r="S69">
        <v>1</v>
      </c>
      <c r="T69" s="1">
        <v>6.666666666666667</v>
      </c>
      <c r="U69" t="s">
        <v>62</v>
      </c>
    </row>
    <row r="70" spans="1:21" x14ac:dyDescent="0.35">
      <c r="A70" t="s">
        <v>34</v>
      </c>
      <c r="B70">
        <v>15</v>
      </c>
      <c r="C70" t="s">
        <v>52</v>
      </c>
      <c r="D70" t="s">
        <v>47</v>
      </c>
      <c r="E70" t="s">
        <v>44</v>
      </c>
      <c r="F70" t="s">
        <v>28</v>
      </c>
      <c r="G70" t="s">
        <v>48</v>
      </c>
      <c r="H70">
        <v>2</v>
      </c>
      <c r="I70">
        <v>0</v>
      </c>
      <c r="J70" t="s">
        <v>42</v>
      </c>
      <c r="K70" t="s">
        <v>42</v>
      </c>
      <c r="L70" t="s">
        <v>42</v>
      </c>
      <c r="M70" t="s">
        <v>43</v>
      </c>
      <c r="N70" t="s">
        <v>43</v>
      </c>
      <c r="O70">
        <v>4</v>
      </c>
      <c r="P70">
        <v>1</v>
      </c>
      <c r="Q70">
        <v>3</v>
      </c>
      <c r="R70" t="s">
        <v>61</v>
      </c>
      <c r="S70">
        <v>1</v>
      </c>
      <c r="T70" s="1">
        <v>8.3333333333333339</v>
      </c>
      <c r="U70" t="s">
        <v>62</v>
      </c>
    </row>
    <row r="71" spans="1:21" x14ac:dyDescent="0.35">
      <c r="A71" t="s">
        <v>34</v>
      </c>
      <c r="B71">
        <v>15</v>
      </c>
      <c r="C71" t="s">
        <v>52</v>
      </c>
      <c r="D71" t="s">
        <v>47</v>
      </c>
      <c r="E71" t="s">
        <v>44</v>
      </c>
      <c r="F71" t="s">
        <v>45</v>
      </c>
      <c r="G71" t="s">
        <v>45</v>
      </c>
      <c r="H71">
        <v>4</v>
      </c>
      <c r="I71">
        <v>0</v>
      </c>
      <c r="J71" t="s">
        <v>43</v>
      </c>
      <c r="K71" t="s">
        <v>42</v>
      </c>
      <c r="L71" t="s">
        <v>43</v>
      </c>
      <c r="M71" t="s">
        <v>43</v>
      </c>
      <c r="N71" t="s">
        <v>43</v>
      </c>
      <c r="O71">
        <v>4</v>
      </c>
      <c r="P71">
        <v>4</v>
      </c>
      <c r="Q71">
        <v>2</v>
      </c>
      <c r="R71" t="s">
        <v>63</v>
      </c>
      <c r="S71">
        <v>0</v>
      </c>
      <c r="T71" s="1">
        <v>16</v>
      </c>
      <c r="U71" t="s">
        <v>63</v>
      </c>
    </row>
    <row r="72" spans="1:21" x14ac:dyDescent="0.35">
      <c r="A72" t="s">
        <v>50</v>
      </c>
      <c r="B72">
        <v>16</v>
      </c>
      <c r="C72" t="s">
        <v>35</v>
      </c>
      <c r="D72" t="s">
        <v>36</v>
      </c>
      <c r="E72" t="s">
        <v>44</v>
      </c>
      <c r="F72" t="s">
        <v>45</v>
      </c>
      <c r="G72" t="s">
        <v>45</v>
      </c>
      <c r="H72">
        <v>4</v>
      </c>
      <c r="I72">
        <v>0</v>
      </c>
      <c r="J72" t="s">
        <v>43</v>
      </c>
      <c r="K72" t="s">
        <v>42</v>
      </c>
      <c r="L72" t="s">
        <v>42</v>
      </c>
      <c r="M72" t="s">
        <v>43</v>
      </c>
      <c r="N72" t="s">
        <v>43</v>
      </c>
      <c r="O72">
        <v>4</v>
      </c>
      <c r="P72">
        <v>3</v>
      </c>
      <c r="Q72">
        <v>2</v>
      </c>
      <c r="R72" t="s">
        <v>61</v>
      </c>
      <c r="S72">
        <v>0</v>
      </c>
      <c r="T72" s="1">
        <v>14.333333333333334</v>
      </c>
      <c r="U72" t="s">
        <v>61</v>
      </c>
    </row>
    <row r="73" spans="1:21" x14ac:dyDescent="0.35">
      <c r="A73" t="s">
        <v>50</v>
      </c>
      <c r="B73">
        <v>15</v>
      </c>
      <c r="C73" t="s">
        <v>35</v>
      </c>
      <c r="D73" t="s">
        <v>36</v>
      </c>
      <c r="E73" t="s">
        <v>44</v>
      </c>
      <c r="F73" t="s">
        <v>45</v>
      </c>
      <c r="G73" t="s">
        <v>45</v>
      </c>
      <c r="H73">
        <v>4</v>
      </c>
      <c r="I73">
        <v>0</v>
      </c>
      <c r="J73" t="s">
        <v>43</v>
      </c>
      <c r="K73" t="s">
        <v>43</v>
      </c>
      <c r="L73" t="s">
        <v>43</v>
      </c>
      <c r="M73" t="s">
        <v>43</v>
      </c>
      <c r="N73" t="s">
        <v>43</v>
      </c>
      <c r="O73">
        <v>3</v>
      </c>
      <c r="P73">
        <v>3</v>
      </c>
      <c r="Q73">
        <v>3</v>
      </c>
      <c r="R73" t="s">
        <v>61</v>
      </c>
      <c r="S73">
        <v>0</v>
      </c>
      <c r="T73" s="1">
        <v>10</v>
      </c>
      <c r="U73" t="s">
        <v>61</v>
      </c>
    </row>
    <row r="74" spans="1:21" x14ac:dyDescent="0.35">
      <c r="A74" t="s">
        <v>34</v>
      </c>
      <c r="B74">
        <v>15</v>
      </c>
      <c r="C74" t="s">
        <v>52</v>
      </c>
      <c r="D74" t="s">
        <v>36</v>
      </c>
      <c r="E74" t="s">
        <v>44</v>
      </c>
      <c r="F74" t="s">
        <v>45</v>
      </c>
      <c r="G74" t="s">
        <v>45</v>
      </c>
      <c r="H74">
        <v>2</v>
      </c>
      <c r="I74">
        <v>2</v>
      </c>
      <c r="J74" t="s">
        <v>42</v>
      </c>
      <c r="K74" t="s">
        <v>42</v>
      </c>
      <c r="L74" t="s">
        <v>43</v>
      </c>
      <c r="M74" t="s">
        <v>43</v>
      </c>
      <c r="N74" t="s">
        <v>42</v>
      </c>
      <c r="O74">
        <v>3</v>
      </c>
      <c r="P74">
        <v>3</v>
      </c>
      <c r="Q74">
        <v>4</v>
      </c>
      <c r="R74" t="s">
        <v>61</v>
      </c>
      <c r="S74">
        <v>2</v>
      </c>
      <c r="T74" s="1">
        <v>6.333333333333333</v>
      </c>
      <c r="U74" t="s">
        <v>63</v>
      </c>
    </row>
    <row r="75" spans="1:21" x14ac:dyDescent="0.35">
      <c r="A75" t="s">
        <v>50</v>
      </c>
      <c r="B75">
        <v>16</v>
      </c>
      <c r="C75" t="s">
        <v>35</v>
      </c>
      <c r="D75" t="s">
        <v>36</v>
      </c>
      <c r="E75" t="s">
        <v>44</v>
      </c>
      <c r="F75" t="s">
        <v>45</v>
      </c>
      <c r="G75" t="s">
        <v>45</v>
      </c>
      <c r="H75">
        <v>1</v>
      </c>
      <c r="I75">
        <v>0</v>
      </c>
      <c r="J75" t="s">
        <v>43</v>
      </c>
      <c r="K75" t="s">
        <v>43</v>
      </c>
      <c r="L75" t="s">
        <v>43</v>
      </c>
      <c r="M75" t="s">
        <v>42</v>
      </c>
      <c r="N75" t="s">
        <v>43</v>
      </c>
      <c r="O75">
        <v>5</v>
      </c>
      <c r="P75">
        <v>3</v>
      </c>
      <c r="Q75">
        <v>2</v>
      </c>
      <c r="R75" t="s">
        <v>61</v>
      </c>
      <c r="S75">
        <v>0</v>
      </c>
      <c r="T75" s="1">
        <v>12.666666666666666</v>
      </c>
      <c r="U75" t="s">
        <v>62</v>
      </c>
    </row>
    <row r="76" spans="1:21" x14ac:dyDescent="0.35">
      <c r="A76" t="s">
        <v>34</v>
      </c>
      <c r="B76">
        <v>16</v>
      </c>
      <c r="C76" t="s">
        <v>35</v>
      </c>
      <c r="D76" t="s">
        <v>36</v>
      </c>
      <c r="E76" t="s">
        <v>44</v>
      </c>
      <c r="F76" t="s">
        <v>45</v>
      </c>
      <c r="G76" t="s">
        <v>48</v>
      </c>
      <c r="H76">
        <v>2</v>
      </c>
      <c r="I76">
        <v>0</v>
      </c>
      <c r="J76" t="s">
        <v>42</v>
      </c>
      <c r="K76" t="s">
        <v>42</v>
      </c>
      <c r="L76" t="s">
        <v>42</v>
      </c>
      <c r="M76" t="s">
        <v>42</v>
      </c>
      <c r="N76" t="s">
        <v>43</v>
      </c>
      <c r="O76">
        <v>4</v>
      </c>
      <c r="P76">
        <v>3</v>
      </c>
      <c r="Q76">
        <v>3</v>
      </c>
      <c r="R76" t="s">
        <v>63</v>
      </c>
      <c r="S76">
        <v>1</v>
      </c>
      <c r="T76" s="1">
        <v>11.333333333333334</v>
      </c>
      <c r="U76" t="s">
        <v>63</v>
      </c>
    </row>
    <row r="77" spans="1:21" x14ac:dyDescent="0.35">
      <c r="A77" t="s">
        <v>50</v>
      </c>
      <c r="B77">
        <v>15</v>
      </c>
      <c r="C77" t="s">
        <v>35</v>
      </c>
      <c r="D77" t="s">
        <v>36</v>
      </c>
      <c r="E77" t="s">
        <v>44</v>
      </c>
      <c r="F77" t="s">
        <v>39</v>
      </c>
      <c r="G77" t="s">
        <v>45</v>
      </c>
      <c r="H77">
        <v>2</v>
      </c>
      <c r="I77">
        <v>0</v>
      </c>
      <c r="J77" t="s">
        <v>43</v>
      </c>
      <c r="K77" t="s">
        <v>42</v>
      </c>
      <c r="L77" t="s">
        <v>42</v>
      </c>
      <c r="M77" t="s">
        <v>42</v>
      </c>
      <c r="N77" t="s">
        <v>43</v>
      </c>
      <c r="O77">
        <v>4</v>
      </c>
      <c r="P77">
        <v>3</v>
      </c>
      <c r="Q77">
        <v>3</v>
      </c>
      <c r="R77" t="s">
        <v>62</v>
      </c>
      <c r="S77">
        <v>0</v>
      </c>
      <c r="T77" s="1">
        <v>9.3333333333333339</v>
      </c>
      <c r="U77" t="s">
        <v>63</v>
      </c>
    </row>
    <row r="78" spans="1:21" x14ac:dyDescent="0.35">
      <c r="A78" t="s">
        <v>50</v>
      </c>
      <c r="B78">
        <v>15</v>
      </c>
      <c r="C78" t="s">
        <v>35</v>
      </c>
      <c r="D78" t="s">
        <v>36</v>
      </c>
      <c r="E78" t="s">
        <v>44</v>
      </c>
      <c r="F78" t="s">
        <v>39</v>
      </c>
      <c r="G78" t="s">
        <v>45</v>
      </c>
      <c r="H78">
        <v>4</v>
      </c>
      <c r="I78">
        <v>0</v>
      </c>
      <c r="J78" t="s">
        <v>43</v>
      </c>
      <c r="K78" t="s">
        <v>43</v>
      </c>
      <c r="L78" t="s">
        <v>43</v>
      </c>
      <c r="M78" t="s">
        <v>42</v>
      </c>
      <c r="N78" t="s">
        <v>43</v>
      </c>
      <c r="O78">
        <v>3</v>
      </c>
      <c r="P78">
        <v>4</v>
      </c>
      <c r="Q78">
        <v>3</v>
      </c>
      <c r="R78" t="s">
        <v>62</v>
      </c>
      <c r="S78">
        <v>1</v>
      </c>
      <c r="T78" s="1">
        <v>10.666666666666666</v>
      </c>
      <c r="U78" t="s">
        <v>61</v>
      </c>
    </row>
    <row r="79" spans="1:21" x14ac:dyDescent="0.35">
      <c r="A79" t="s">
        <v>34</v>
      </c>
      <c r="B79">
        <v>16</v>
      </c>
      <c r="C79" t="s">
        <v>35</v>
      </c>
      <c r="D79" t="s">
        <v>36</v>
      </c>
      <c r="E79" t="s">
        <v>44</v>
      </c>
      <c r="F79" t="s">
        <v>45</v>
      </c>
      <c r="G79" t="s">
        <v>45</v>
      </c>
      <c r="H79">
        <v>4</v>
      </c>
      <c r="I79">
        <v>0</v>
      </c>
      <c r="J79" t="s">
        <v>43</v>
      </c>
      <c r="K79" t="s">
        <v>43</v>
      </c>
      <c r="L79" t="s">
        <v>42</v>
      </c>
      <c r="M79" t="s">
        <v>43</v>
      </c>
      <c r="N79" t="s">
        <v>42</v>
      </c>
      <c r="O79">
        <v>5</v>
      </c>
      <c r="P79">
        <v>2</v>
      </c>
      <c r="Q79">
        <v>3</v>
      </c>
      <c r="R79" t="s">
        <v>61</v>
      </c>
      <c r="S79">
        <v>0</v>
      </c>
      <c r="T79" s="1">
        <v>11</v>
      </c>
      <c r="U79" t="s">
        <v>62</v>
      </c>
    </row>
    <row r="80" spans="1:21" x14ac:dyDescent="0.35">
      <c r="A80" t="s">
        <v>50</v>
      </c>
      <c r="B80">
        <v>17</v>
      </c>
      <c r="C80" t="s">
        <v>35</v>
      </c>
      <c r="D80" t="s">
        <v>36</v>
      </c>
      <c r="E80" t="s">
        <v>44</v>
      </c>
      <c r="F80" t="s">
        <v>45</v>
      </c>
      <c r="G80" t="s">
        <v>45</v>
      </c>
      <c r="H80">
        <v>1</v>
      </c>
      <c r="I80">
        <v>3</v>
      </c>
      <c r="J80" t="s">
        <v>42</v>
      </c>
      <c r="K80" t="s">
        <v>42</v>
      </c>
      <c r="L80" t="s">
        <v>43</v>
      </c>
      <c r="M80" t="s">
        <v>42</v>
      </c>
      <c r="N80" t="s">
        <v>43</v>
      </c>
      <c r="O80">
        <v>4</v>
      </c>
      <c r="P80">
        <v>5</v>
      </c>
      <c r="Q80">
        <v>1</v>
      </c>
      <c r="R80" t="s">
        <v>61</v>
      </c>
      <c r="S80">
        <v>0</v>
      </c>
      <c r="T80" s="1">
        <v>8.6666666666666661</v>
      </c>
      <c r="U80" t="s">
        <v>61</v>
      </c>
    </row>
    <row r="81" spans="1:21" x14ac:dyDescent="0.35">
      <c r="A81" t="s">
        <v>34</v>
      </c>
      <c r="B81">
        <v>16</v>
      </c>
      <c r="C81" t="s">
        <v>35</v>
      </c>
      <c r="D81" t="s">
        <v>36</v>
      </c>
      <c r="E81" t="s">
        <v>44</v>
      </c>
      <c r="F81" t="s">
        <v>38</v>
      </c>
      <c r="G81" t="s">
        <v>45</v>
      </c>
      <c r="H81">
        <v>2</v>
      </c>
      <c r="I81">
        <v>0</v>
      </c>
      <c r="J81" t="s">
        <v>43</v>
      </c>
      <c r="K81" t="s">
        <v>42</v>
      </c>
      <c r="L81" t="s">
        <v>43</v>
      </c>
      <c r="M81" t="s">
        <v>43</v>
      </c>
      <c r="N81" t="s">
        <v>43</v>
      </c>
      <c r="O81">
        <v>2</v>
      </c>
      <c r="P81">
        <v>4</v>
      </c>
      <c r="Q81">
        <v>3</v>
      </c>
      <c r="R81" t="s">
        <v>63</v>
      </c>
      <c r="S81">
        <v>0</v>
      </c>
      <c r="T81" s="1">
        <v>5</v>
      </c>
      <c r="U81" t="s">
        <v>62</v>
      </c>
    </row>
    <row r="82" spans="1:21" x14ac:dyDescent="0.35">
      <c r="A82" t="s">
        <v>50</v>
      </c>
      <c r="B82">
        <v>15</v>
      </c>
      <c r="C82" t="s">
        <v>35</v>
      </c>
      <c r="D82" t="s">
        <v>36</v>
      </c>
      <c r="E82" t="s">
        <v>44</v>
      </c>
      <c r="F82" t="s">
        <v>45</v>
      </c>
      <c r="G82" t="s">
        <v>48</v>
      </c>
      <c r="H82">
        <v>1</v>
      </c>
      <c r="I82">
        <v>0</v>
      </c>
      <c r="J82" t="s">
        <v>42</v>
      </c>
      <c r="K82" t="s">
        <v>42</v>
      </c>
      <c r="L82" t="s">
        <v>42</v>
      </c>
      <c r="M82" t="s">
        <v>42</v>
      </c>
      <c r="N82" t="s">
        <v>42</v>
      </c>
      <c r="O82">
        <v>3</v>
      </c>
      <c r="P82">
        <v>2</v>
      </c>
      <c r="Q82">
        <v>2</v>
      </c>
      <c r="R82" t="s">
        <v>61</v>
      </c>
      <c r="S82">
        <v>0</v>
      </c>
      <c r="T82" s="1">
        <v>11.333333333333334</v>
      </c>
      <c r="U82" t="s">
        <v>62</v>
      </c>
    </row>
    <row r="83" spans="1:21" x14ac:dyDescent="0.35">
      <c r="A83" t="s">
        <v>50</v>
      </c>
      <c r="B83">
        <v>15</v>
      </c>
      <c r="C83" t="s">
        <v>35</v>
      </c>
      <c r="D83" t="s">
        <v>36</v>
      </c>
      <c r="E83" t="s">
        <v>44</v>
      </c>
      <c r="F83" t="s">
        <v>45</v>
      </c>
      <c r="G83" t="s">
        <v>45</v>
      </c>
      <c r="H83">
        <v>3</v>
      </c>
      <c r="I83">
        <v>0</v>
      </c>
      <c r="J83" t="s">
        <v>42</v>
      </c>
      <c r="K83" t="s">
        <v>43</v>
      </c>
      <c r="L83" t="s">
        <v>42</v>
      </c>
      <c r="M83" t="s">
        <v>43</v>
      </c>
      <c r="N83" t="s">
        <v>43</v>
      </c>
      <c r="O83">
        <v>5</v>
      </c>
      <c r="P83">
        <v>3</v>
      </c>
      <c r="Q83">
        <v>2</v>
      </c>
      <c r="R83" t="s">
        <v>61</v>
      </c>
      <c r="S83">
        <v>1</v>
      </c>
      <c r="T83" s="1">
        <v>10.666666666666666</v>
      </c>
      <c r="U83" t="s">
        <v>62</v>
      </c>
    </row>
    <row r="84" spans="1:21" x14ac:dyDescent="0.35">
      <c r="A84" t="s">
        <v>34</v>
      </c>
      <c r="B84">
        <v>15</v>
      </c>
      <c r="C84" t="s">
        <v>35</v>
      </c>
      <c r="D84" t="s">
        <v>47</v>
      </c>
      <c r="E84" t="s">
        <v>44</v>
      </c>
      <c r="F84" t="s">
        <v>48</v>
      </c>
      <c r="G84" t="s">
        <v>45</v>
      </c>
      <c r="H84">
        <v>2</v>
      </c>
      <c r="I84">
        <v>0</v>
      </c>
      <c r="J84" t="s">
        <v>43</v>
      </c>
      <c r="K84" t="s">
        <v>42</v>
      </c>
      <c r="L84" t="s">
        <v>42</v>
      </c>
      <c r="M84" t="s">
        <v>43</v>
      </c>
      <c r="N84" t="s">
        <v>43</v>
      </c>
      <c r="O84">
        <v>4</v>
      </c>
      <c r="P84">
        <v>4</v>
      </c>
      <c r="Q84">
        <v>4</v>
      </c>
      <c r="R84" t="s">
        <v>63</v>
      </c>
      <c r="S84">
        <v>1</v>
      </c>
      <c r="T84" s="1">
        <v>6.333333333333333</v>
      </c>
      <c r="U84" t="s">
        <v>61</v>
      </c>
    </row>
    <row r="85" spans="1:21" x14ac:dyDescent="0.35">
      <c r="A85" t="s">
        <v>50</v>
      </c>
      <c r="B85">
        <v>15</v>
      </c>
      <c r="C85" t="s">
        <v>35</v>
      </c>
      <c r="D85" t="s">
        <v>47</v>
      </c>
      <c r="E85" t="s">
        <v>44</v>
      </c>
      <c r="F85" t="s">
        <v>48</v>
      </c>
      <c r="G85" t="s">
        <v>48</v>
      </c>
      <c r="H85">
        <v>2</v>
      </c>
      <c r="I85">
        <v>0</v>
      </c>
      <c r="J85" t="s">
        <v>43</v>
      </c>
      <c r="K85" t="s">
        <v>43</v>
      </c>
      <c r="L85" t="s">
        <v>42</v>
      </c>
      <c r="M85" t="s">
        <v>42</v>
      </c>
      <c r="N85" t="s">
        <v>43</v>
      </c>
      <c r="O85">
        <v>5</v>
      </c>
      <c r="P85">
        <v>3</v>
      </c>
      <c r="Q85">
        <v>3</v>
      </c>
      <c r="R85" t="s">
        <v>61</v>
      </c>
      <c r="S85">
        <v>0</v>
      </c>
      <c r="T85" s="1">
        <v>15</v>
      </c>
      <c r="U85" t="s">
        <v>62</v>
      </c>
    </row>
    <row r="86" spans="1:21" x14ac:dyDescent="0.35">
      <c r="A86" t="s">
        <v>34</v>
      </c>
      <c r="B86">
        <v>15</v>
      </c>
      <c r="C86" t="s">
        <v>35</v>
      </c>
      <c r="D86" t="s">
        <v>36</v>
      </c>
      <c r="E86" t="s">
        <v>44</v>
      </c>
      <c r="F86" t="s">
        <v>45</v>
      </c>
      <c r="G86" t="s">
        <v>45</v>
      </c>
      <c r="H86">
        <v>2</v>
      </c>
      <c r="I86">
        <v>0</v>
      </c>
      <c r="J86" t="s">
        <v>43</v>
      </c>
      <c r="K86" t="s">
        <v>42</v>
      </c>
      <c r="L86" t="s">
        <v>43</v>
      </c>
      <c r="M86" t="s">
        <v>42</v>
      </c>
      <c r="N86" t="s">
        <v>43</v>
      </c>
      <c r="O86">
        <v>4</v>
      </c>
      <c r="P86">
        <v>3</v>
      </c>
      <c r="Q86">
        <v>2</v>
      </c>
      <c r="R86" t="s">
        <v>61</v>
      </c>
      <c r="S86">
        <v>0</v>
      </c>
      <c r="T86" s="1">
        <v>9.6666666666666661</v>
      </c>
      <c r="U86" t="s">
        <v>63</v>
      </c>
    </row>
    <row r="87" spans="1:21" x14ac:dyDescent="0.35">
      <c r="A87" t="s">
        <v>34</v>
      </c>
      <c r="B87">
        <v>15</v>
      </c>
      <c r="C87" t="s">
        <v>35</v>
      </c>
      <c r="D87" t="s">
        <v>36</v>
      </c>
      <c r="E87" t="s">
        <v>44</v>
      </c>
      <c r="F87" t="s">
        <v>48</v>
      </c>
      <c r="G87" t="s">
        <v>48</v>
      </c>
      <c r="H87">
        <v>2</v>
      </c>
      <c r="I87">
        <v>2</v>
      </c>
      <c r="J87" t="s">
        <v>43</v>
      </c>
      <c r="K87" t="s">
        <v>43</v>
      </c>
      <c r="L87" t="s">
        <v>42</v>
      </c>
      <c r="M87" t="s">
        <v>43</v>
      </c>
      <c r="N87" t="s">
        <v>42</v>
      </c>
      <c r="O87">
        <v>4</v>
      </c>
      <c r="P87">
        <v>4</v>
      </c>
      <c r="Q87">
        <v>4</v>
      </c>
      <c r="R87" t="s">
        <v>62</v>
      </c>
      <c r="S87">
        <v>1</v>
      </c>
      <c r="T87" s="1">
        <v>8</v>
      </c>
      <c r="U87" t="s">
        <v>63</v>
      </c>
    </row>
    <row r="88" spans="1:21" x14ac:dyDescent="0.35">
      <c r="A88" t="s">
        <v>34</v>
      </c>
      <c r="B88">
        <v>16</v>
      </c>
      <c r="C88" t="s">
        <v>35</v>
      </c>
      <c r="D88" t="s">
        <v>47</v>
      </c>
      <c r="E88" t="s">
        <v>44</v>
      </c>
      <c r="F88" t="s">
        <v>38</v>
      </c>
      <c r="G88" t="s">
        <v>45</v>
      </c>
      <c r="H88">
        <v>2</v>
      </c>
      <c r="I88">
        <v>0</v>
      </c>
      <c r="J88" t="s">
        <v>43</v>
      </c>
      <c r="K88" t="s">
        <v>42</v>
      </c>
      <c r="L88" t="s">
        <v>43</v>
      </c>
      <c r="M88" t="s">
        <v>43</v>
      </c>
      <c r="N88" t="s">
        <v>43</v>
      </c>
      <c r="O88">
        <v>4</v>
      </c>
      <c r="P88">
        <v>3</v>
      </c>
      <c r="Q88">
        <v>4</v>
      </c>
      <c r="R88" t="s">
        <v>61</v>
      </c>
      <c r="S88">
        <v>2</v>
      </c>
      <c r="T88" s="1">
        <v>7</v>
      </c>
      <c r="U88" t="s">
        <v>62</v>
      </c>
    </row>
    <row r="89" spans="1:21" x14ac:dyDescent="0.35">
      <c r="A89" t="s">
        <v>34</v>
      </c>
      <c r="B89">
        <v>15</v>
      </c>
      <c r="C89" t="s">
        <v>35</v>
      </c>
      <c r="D89" t="s">
        <v>36</v>
      </c>
      <c r="E89" t="s">
        <v>44</v>
      </c>
      <c r="F89" t="s">
        <v>45</v>
      </c>
      <c r="G89" t="s">
        <v>45</v>
      </c>
      <c r="H89">
        <v>3</v>
      </c>
      <c r="I89">
        <v>0</v>
      </c>
      <c r="J89" t="s">
        <v>43</v>
      </c>
      <c r="K89" t="s">
        <v>42</v>
      </c>
      <c r="L89" t="s">
        <v>43</v>
      </c>
      <c r="M89" t="s">
        <v>42</v>
      </c>
      <c r="N89" t="s">
        <v>43</v>
      </c>
      <c r="O89">
        <v>5</v>
      </c>
      <c r="P89">
        <v>3</v>
      </c>
      <c r="Q89">
        <v>3</v>
      </c>
      <c r="R89" t="s">
        <v>61</v>
      </c>
      <c r="S89">
        <v>0</v>
      </c>
      <c r="T89" s="1">
        <v>13.666666666666666</v>
      </c>
      <c r="U89" t="s">
        <v>62</v>
      </c>
    </row>
    <row r="90" spans="1:21" x14ac:dyDescent="0.35">
      <c r="A90" t="s">
        <v>50</v>
      </c>
      <c r="B90">
        <v>16</v>
      </c>
      <c r="C90" t="s">
        <v>35</v>
      </c>
      <c r="D90" t="s">
        <v>36</v>
      </c>
      <c r="E90" t="s">
        <v>44</v>
      </c>
      <c r="F90" t="s">
        <v>48</v>
      </c>
      <c r="G90" t="s">
        <v>45</v>
      </c>
      <c r="H90">
        <v>2</v>
      </c>
      <c r="I90">
        <v>1</v>
      </c>
      <c r="J90" t="s">
        <v>43</v>
      </c>
      <c r="K90" t="s">
        <v>43</v>
      </c>
      <c r="L90" t="s">
        <v>42</v>
      </c>
      <c r="M90" t="s">
        <v>42</v>
      </c>
      <c r="N90" t="s">
        <v>43</v>
      </c>
      <c r="O90">
        <v>4</v>
      </c>
      <c r="P90">
        <v>4</v>
      </c>
      <c r="Q90">
        <v>2</v>
      </c>
      <c r="R90" t="s">
        <v>63</v>
      </c>
      <c r="S90">
        <v>1</v>
      </c>
      <c r="T90" s="1">
        <v>10.333333333333334</v>
      </c>
      <c r="U90" t="s">
        <v>61</v>
      </c>
    </row>
    <row r="91" spans="1:21" x14ac:dyDescent="0.35">
      <c r="A91" t="s">
        <v>50</v>
      </c>
      <c r="B91">
        <v>16</v>
      </c>
      <c r="C91" t="s">
        <v>35</v>
      </c>
      <c r="D91" t="s">
        <v>47</v>
      </c>
      <c r="E91" t="s">
        <v>37</v>
      </c>
      <c r="F91" t="s">
        <v>39</v>
      </c>
      <c r="G91" t="s">
        <v>28</v>
      </c>
      <c r="H91">
        <v>2</v>
      </c>
      <c r="I91">
        <v>0</v>
      </c>
      <c r="J91" t="s">
        <v>43</v>
      </c>
      <c r="K91" t="s">
        <v>42</v>
      </c>
      <c r="L91" t="s">
        <v>43</v>
      </c>
      <c r="M91" t="s">
        <v>43</v>
      </c>
      <c r="N91" t="s">
        <v>43</v>
      </c>
      <c r="O91">
        <v>4</v>
      </c>
      <c r="P91">
        <v>1</v>
      </c>
      <c r="Q91">
        <v>3</v>
      </c>
      <c r="R91" t="s">
        <v>63</v>
      </c>
      <c r="S91">
        <v>1</v>
      </c>
      <c r="T91" s="1">
        <v>7</v>
      </c>
      <c r="U91" t="s">
        <v>63</v>
      </c>
    </row>
    <row r="92" spans="1:21" x14ac:dyDescent="0.35">
      <c r="A92" t="s">
        <v>34</v>
      </c>
      <c r="B92">
        <v>16</v>
      </c>
      <c r="C92" t="s">
        <v>35</v>
      </c>
      <c r="D92" t="s">
        <v>36</v>
      </c>
      <c r="E92" t="s">
        <v>44</v>
      </c>
      <c r="F92" t="s">
        <v>45</v>
      </c>
      <c r="G92" t="s">
        <v>45</v>
      </c>
      <c r="H92">
        <v>3</v>
      </c>
      <c r="I92">
        <v>0</v>
      </c>
      <c r="J92" t="s">
        <v>43</v>
      </c>
      <c r="K92" t="s">
        <v>42</v>
      </c>
      <c r="L92" t="s">
        <v>42</v>
      </c>
      <c r="M92" t="s">
        <v>43</v>
      </c>
      <c r="N92" t="s">
        <v>42</v>
      </c>
      <c r="O92">
        <v>4</v>
      </c>
      <c r="P92">
        <v>3</v>
      </c>
      <c r="Q92">
        <v>3</v>
      </c>
      <c r="R92" t="s">
        <v>61</v>
      </c>
      <c r="S92">
        <v>0</v>
      </c>
      <c r="T92" s="1">
        <v>7.333333333333333</v>
      </c>
      <c r="U92" t="s">
        <v>62</v>
      </c>
    </row>
    <row r="93" spans="1:21" x14ac:dyDescent="0.35">
      <c r="A93" t="s">
        <v>34</v>
      </c>
      <c r="B93">
        <v>15</v>
      </c>
      <c r="C93" t="s">
        <v>35</v>
      </c>
      <c r="D93" t="s">
        <v>36</v>
      </c>
      <c r="E93" t="s">
        <v>44</v>
      </c>
      <c r="F93" t="s">
        <v>48</v>
      </c>
      <c r="G93" t="s">
        <v>45</v>
      </c>
      <c r="H93">
        <v>1</v>
      </c>
      <c r="I93">
        <v>0</v>
      </c>
      <c r="J93" t="s">
        <v>43</v>
      </c>
      <c r="K93" t="s">
        <v>43</v>
      </c>
      <c r="L93" t="s">
        <v>42</v>
      </c>
      <c r="M93" t="s">
        <v>42</v>
      </c>
      <c r="N93" t="s">
        <v>43</v>
      </c>
      <c r="O93">
        <v>4</v>
      </c>
      <c r="P93">
        <v>5</v>
      </c>
      <c r="Q93">
        <v>5</v>
      </c>
      <c r="R93" t="s">
        <v>61</v>
      </c>
      <c r="S93">
        <v>0</v>
      </c>
      <c r="T93" s="1">
        <v>17</v>
      </c>
      <c r="U93" t="s">
        <v>62</v>
      </c>
    </row>
    <row r="94" spans="1:21" x14ac:dyDescent="0.35">
      <c r="A94" t="s">
        <v>34</v>
      </c>
      <c r="B94">
        <v>16</v>
      </c>
      <c r="C94" t="s">
        <v>35</v>
      </c>
      <c r="D94" t="s">
        <v>47</v>
      </c>
      <c r="E94" t="s">
        <v>44</v>
      </c>
      <c r="F94" t="s">
        <v>45</v>
      </c>
      <c r="G94" t="s">
        <v>45</v>
      </c>
      <c r="H94">
        <v>2</v>
      </c>
      <c r="I94">
        <v>0</v>
      </c>
      <c r="J94" t="s">
        <v>42</v>
      </c>
      <c r="K94" t="s">
        <v>42</v>
      </c>
      <c r="L94" t="s">
        <v>43</v>
      </c>
      <c r="M94" t="s">
        <v>43</v>
      </c>
      <c r="N94" t="s">
        <v>43</v>
      </c>
      <c r="O94">
        <v>3</v>
      </c>
      <c r="P94">
        <v>3</v>
      </c>
      <c r="Q94">
        <v>3</v>
      </c>
      <c r="R94" t="s">
        <v>61</v>
      </c>
      <c r="S94">
        <v>1</v>
      </c>
      <c r="T94" s="1">
        <v>6.333333333333333</v>
      </c>
      <c r="U94" t="s">
        <v>63</v>
      </c>
    </row>
    <row r="95" spans="1:21" x14ac:dyDescent="0.35">
      <c r="A95" t="s">
        <v>34</v>
      </c>
      <c r="B95">
        <v>16</v>
      </c>
      <c r="C95" t="s">
        <v>35</v>
      </c>
      <c r="D95" t="s">
        <v>36</v>
      </c>
      <c r="E95" t="s">
        <v>44</v>
      </c>
      <c r="F95" t="s">
        <v>39</v>
      </c>
      <c r="G95" t="s">
        <v>48</v>
      </c>
      <c r="H95">
        <v>2</v>
      </c>
      <c r="I95">
        <v>0</v>
      </c>
      <c r="J95" t="s">
        <v>43</v>
      </c>
      <c r="K95" t="s">
        <v>42</v>
      </c>
      <c r="L95" t="s">
        <v>42</v>
      </c>
      <c r="M95" t="s">
        <v>42</v>
      </c>
      <c r="N95" t="s">
        <v>43</v>
      </c>
      <c r="O95">
        <v>5</v>
      </c>
      <c r="P95">
        <v>3</v>
      </c>
      <c r="Q95">
        <v>3</v>
      </c>
      <c r="R95" t="s">
        <v>61</v>
      </c>
      <c r="S95">
        <v>1</v>
      </c>
      <c r="T95" s="1">
        <v>10.333333333333334</v>
      </c>
      <c r="U95" t="s">
        <v>61</v>
      </c>
    </row>
    <row r="96" spans="1:21" x14ac:dyDescent="0.35">
      <c r="A96" t="s">
        <v>50</v>
      </c>
      <c r="B96">
        <v>15</v>
      </c>
      <c r="C96" t="s">
        <v>35</v>
      </c>
      <c r="D96" t="s">
        <v>47</v>
      </c>
      <c r="E96" t="s">
        <v>44</v>
      </c>
      <c r="F96" t="s">
        <v>48</v>
      </c>
      <c r="G96" t="s">
        <v>28</v>
      </c>
      <c r="H96">
        <v>4</v>
      </c>
      <c r="I96">
        <v>0</v>
      </c>
      <c r="J96" t="s">
        <v>43</v>
      </c>
      <c r="K96" t="s">
        <v>42</v>
      </c>
      <c r="L96" t="s">
        <v>43</v>
      </c>
      <c r="M96" t="s">
        <v>42</v>
      </c>
      <c r="N96" t="s">
        <v>43</v>
      </c>
      <c r="O96">
        <v>4</v>
      </c>
      <c r="P96">
        <v>3</v>
      </c>
      <c r="Q96">
        <v>4</v>
      </c>
      <c r="R96" t="s">
        <v>62</v>
      </c>
      <c r="S96">
        <v>0</v>
      </c>
      <c r="T96" s="1">
        <v>12.666666666666666</v>
      </c>
      <c r="U96" t="s">
        <v>61</v>
      </c>
    </row>
    <row r="97" spans="1:21" x14ac:dyDescent="0.35">
      <c r="A97" t="s">
        <v>34</v>
      </c>
      <c r="B97">
        <v>15</v>
      </c>
      <c r="C97" t="s">
        <v>52</v>
      </c>
      <c r="D97" t="s">
        <v>36</v>
      </c>
      <c r="E97" t="s">
        <v>44</v>
      </c>
      <c r="F97" t="s">
        <v>38</v>
      </c>
      <c r="G97" t="s">
        <v>45</v>
      </c>
      <c r="H97">
        <v>4</v>
      </c>
      <c r="I97">
        <v>1</v>
      </c>
      <c r="J97" t="s">
        <v>42</v>
      </c>
      <c r="K97" t="s">
        <v>42</v>
      </c>
      <c r="L97" t="s">
        <v>42</v>
      </c>
      <c r="M97" t="s">
        <v>42</v>
      </c>
      <c r="N97" t="s">
        <v>43</v>
      </c>
      <c r="O97">
        <v>3</v>
      </c>
      <c r="P97">
        <v>1</v>
      </c>
      <c r="Q97">
        <v>2</v>
      </c>
      <c r="R97" t="s">
        <v>61</v>
      </c>
      <c r="S97">
        <v>0</v>
      </c>
      <c r="T97" s="1">
        <v>9</v>
      </c>
      <c r="U97" t="s">
        <v>61</v>
      </c>
    </row>
    <row r="98" spans="1:21" x14ac:dyDescent="0.35">
      <c r="A98" t="s">
        <v>50</v>
      </c>
      <c r="B98">
        <v>16</v>
      </c>
      <c r="C98" t="s">
        <v>52</v>
      </c>
      <c r="D98" t="s">
        <v>36</v>
      </c>
      <c r="E98" t="s">
        <v>44</v>
      </c>
      <c r="F98" t="s">
        <v>48</v>
      </c>
      <c r="G98" t="s">
        <v>45</v>
      </c>
      <c r="H98">
        <v>1</v>
      </c>
      <c r="I98">
        <v>0</v>
      </c>
      <c r="J98" t="s">
        <v>42</v>
      </c>
      <c r="K98" t="s">
        <v>42</v>
      </c>
      <c r="L98" t="s">
        <v>43</v>
      </c>
      <c r="M98" t="s">
        <v>42</v>
      </c>
      <c r="N98" t="s">
        <v>43</v>
      </c>
      <c r="O98">
        <v>3</v>
      </c>
      <c r="P98">
        <v>3</v>
      </c>
      <c r="Q98">
        <v>3</v>
      </c>
      <c r="R98" t="s">
        <v>61</v>
      </c>
      <c r="S98">
        <v>0</v>
      </c>
      <c r="T98" s="1">
        <v>13.666666666666666</v>
      </c>
      <c r="U98" t="s">
        <v>61</v>
      </c>
    </row>
    <row r="99" spans="1:21" x14ac:dyDescent="0.35">
      <c r="A99" t="s">
        <v>34</v>
      </c>
      <c r="B99">
        <v>16</v>
      </c>
      <c r="C99" t="s">
        <v>35</v>
      </c>
      <c r="D99" t="s">
        <v>36</v>
      </c>
      <c r="E99" t="s">
        <v>44</v>
      </c>
      <c r="F99" t="s">
        <v>45</v>
      </c>
      <c r="G99" t="s">
        <v>45</v>
      </c>
      <c r="H99">
        <v>2</v>
      </c>
      <c r="I99">
        <v>0</v>
      </c>
      <c r="J99" t="s">
        <v>43</v>
      </c>
      <c r="K99" t="s">
        <v>42</v>
      </c>
      <c r="L99" t="s">
        <v>42</v>
      </c>
      <c r="M99" t="s">
        <v>43</v>
      </c>
      <c r="N99" t="s">
        <v>42</v>
      </c>
      <c r="O99">
        <v>4</v>
      </c>
      <c r="P99">
        <v>3</v>
      </c>
      <c r="Q99">
        <v>5</v>
      </c>
      <c r="R99" t="s">
        <v>61</v>
      </c>
      <c r="S99">
        <v>0</v>
      </c>
      <c r="T99" s="1">
        <v>9</v>
      </c>
      <c r="U99" t="s">
        <v>61</v>
      </c>
    </row>
    <row r="100" spans="1:21" x14ac:dyDescent="0.35">
      <c r="A100" t="s">
        <v>34</v>
      </c>
      <c r="B100">
        <v>16</v>
      </c>
      <c r="C100" t="s">
        <v>35</v>
      </c>
      <c r="D100" t="s">
        <v>36</v>
      </c>
      <c r="E100" t="s">
        <v>44</v>
      </c>
      <c r="F100" t="s">
        <v>45</v>
      </c>
      <c r="G100" t="s">
        <v>45</v>
      </c>
      <c r="H100">
        <v>1</v>
      </c>
      <c r="I100">
        <v>0</v>
      </c>
      <c r="J100" t="s">
        <v>43</v>
      </c>
      <c r="K100" t="s">
        <v>43</v>
      </c>
      <c r="L100" t="s">
        <v>43</v>
      </c>
      <c r="M100" t="s">
        <v>42</v>
      </c>
      <c r="N100" t="s">
        <v>43</v>
      </c>
      <c r="O100">
        <v>5</v>
      </c>
      <c r="P100">
        <v>3</v>
      </c>
      <c r="Q100">
        <v>4</v>
      </c>
      <c r="R100" t="s">
        <v>62</v>
      </c>
      <c r="S100">
        <v>0</v>
      </c>
      <c r="T100" s="1">
        <v>13</v>
      </c>
      <c r="U100" t="s">
        <v>62</v>
      </c>
    </row>
    <row r="101" spans="1:21" x14ac:dyDescent="0.35">
      <c r="A101" t="s">
        <v>34</v>
      </c>
      <c r="B101">
        <v>16</v>
      </c>
      <c r="C101" t="s">
        <v>35</v>
      </c>
      <c r="D101" t="s">
        <v>36</v>
      </c>
      <c r="E101" t="s">
        <v>44</v>
      </c>
      <c r="F101" t="s">
        <v>45</v>
      </c>
      <c r="G101" t="s">
        <v>38</v>
      </c>
      <c r="H101">
        <v>3</v>
      </c>
      <c r="I101">
        <v>0</v>
      </c>
      <c r="J101" t="s">
        <v>42</v>
      </c>
      <c r="K101" t="s">
        <v>42</v>
      </c>
      <c r="L101" t="s">
        <v>42</v>
      </c>
      <c r="M101" t="s">
        <v>43</v>
      </c>
      <c r="N101" t="s">
        <v>43</v>
      </c>
      <c r="O101">
        <v>5</v>
      </c>
      <c r="P101">
        <v>3</v>
      </c>
      <c r="Q101">
        <v>5</v>
      </c>
      <c r="R101" t="s">
        <v>61</v>
      </c>
      <c r="S101">
        <v>1</v>
      </c>
      <c r="T101" s="1">
        <v>8</v>
      </c>
      <c r="U101" t="s">
        <v>61</v>
      </c>
    </row>
    <row r="102" spans="1:21" x14ac:dyDescent="0.35">
      <c r="A102" t="s">
        <v>50</v>
      </c>
      <c r="B102">
        <v>16</v>
      </c>
      <c r="C102" t="s">
        <v>35</v>
      </c>
      <c r="D102" t="s">
        <v>36</v>
      </c>
      <c r="E102" t="s">
        <v>44</v>
      </c>
      <c r="F102" t="s">
        <v>48</v>
      </c>
      <c r="G102" t="s">
        <v>48</v>
      </c>
      <c r="H102">
        <v>1</v>
      </c>
      <c r="I102">
        <v>0</v>
      </c>
      <c r="J102" t="s">
        <v>42</v>
      </c>
      <c r="K102" t="s">
        <v>42</v>
      </c>
      <c r="L102" t="s">
        <v>42</v>
      </c>
      <c r="M102" t="s">
        <v>42</v>
      </c>
      <c r="N102" t="s">
        <v>43</v>
      </c>
      <c r="O102">
        <v>4</v>
      </c>
      <c r="P102">
        <v>5</v>
      </c>
      <c r="Q102">
        <v>5</v>
      </c>
      <c r="R102" t="s">
        <v>63</v>
      </c>
      <c r="S102">
        <v>1</v>
      </c>
      <c r="T102" s="1">
        <v>6.333333333333333</v>
      </c>
      <c r="U102" t="s">
        <v>63</v>
      </c>
    </row>
    <row r="103" spans="1:21" x14ac:dyDescent="0.35">
      <c r="A103" t="s">
        <v>50</v>
      </c>
      <c r="B103">
        <v>16</v>
      </c>
      <c r="C103" t="s">
        <v>35</v>
      </c>
      <c r="D103" t="s">
        <v>36</v>
      </c>
      <c r="E103" t="s">
        <v>44</v>
      </c>
      <c r="F103" t="s">
        <v>48</v>
      </c>
      <c r="G103" t="s">
        <v>39</v>
      </c>
      <c r="H103">
        <v>3</v>
      </c>
      <c r="I103">
        <v>0</v>
      </c>
      <c r="J103" t="s">
        <v>43</v>
      </c>
      <c r="K103" t="s">
        <v>42</v>
      </c>
      <c r="L103" t="s">
        <v>43</v>
      </c>
      <c r="M103" t="s">
        <v>42</v>
      </c>
      <c r="N103" t="s">
        <v>42</v>
      </c>
      <c r="O103">
        <v>4</v>
      </c>
      <c r="P103">
        <v>4</v>
      </c>
      <c r="Q103">
        <v>3</v>
      </c>
      <c r="R103" t="s">
        <v>61</v>
      </c>
      <c r="S103">
        <v>0</v>
      </c>
      <c r="T103" s="1">
        <v>16.666666666666668</v>
      </c>
      <c r="U103" t="s">
        <v>61</v>
      </c>
    </row>
    <row r="104" spans="1:21" x14ac:dyDescent="0.35">
      <c r="A104" t="s">
        <v>50</v>
      </c>
      <c r="B104">
        <v>15</v>
      </c>
      <c r="C104" t="s">
        <v>35</v>
      </c>
      <c r="D104" t="s">
        <v>36</v>
      </c>
      <c r="E104" t="s">
        <v>44</v>
      </c>
      <c r="F104" t="s">
        <v>48</v>
      </c>
      <c r="G104" t="s">
        <v>45</v>
      </c>
      <c r="H104">
        <v>1</v>
      </c>
      <c r="I104">
        <v>0</v>
      </c>
      <c r="J104" t="s">
        <v>43</v>
      </c>
      <c r="K104" t="s">
        <v>42</v>
      </c>
      <c r="L104" t="s">
        <v>43</v>
      </c>
      <c r="M104" t="s">
        <v>42</v>
      </c>
      <c r="N104" t="s">
        <v>43</v>
      </c>
      <c r="O104">
        <v>5</v>
      </c>
      <c r="P104">
        <v>3</v>
      </c>
      <c r="Q104">
        <v>3</v>
      </c>
      <c r="R104" t="s">
        <v>61</v>
      </c>
      <c r="S104">
        <v>0</v>
      </c>
      <c r="T104" s="1">
        <v>12.333333333333334</v>
      </c>
      <c r="U104" t="s">
        <v>61</v>
      </c>
    </row>
    <row r="105" spans="1:21" x14ac:dyDescent="0.35">
      <c r="A105" t="s">
        <v>34</v>
      </c>
      <c r="B105">
        <v>15</v>
      </c>
      <c r="C105" t="s">
        <v>35</v>
      </c>
      <c r="D105" t="s">
        <v>36</v>
      </c>
      <c r="E105" t="s">
        <v>44</v>
      </c>
      <c r="F105" t="s">
        <v>48</v>
      </c>
      <c r="G105" t="s">
        <v>45</v>
      </c>
      <c r="H105">
        <v>2</v>
      </c>
      <c r="I105">
        <v>0</v>
      </c>
      <c r="J105" t="s">
        <v>42</v>
      </c>
      <c r="K105" t="s">
        <v>42</v>
      </c>
      <c r="L105" t="s">
        <v>42</v>
      </c>
      <c r="M105" t="s">
        <v>43</v>
      </c>
      <c r="N105" t="s">
        <v>43</v>
      </c>
      <c r="O105">
        <v>4</v>
      </c>
      <c r="P105">
        <v>3</v>
      </c>
      <c r="Q105">
        <v>5</v>
      </c>
      <c r="R105" t="s">
        <v>63</v>
      </c>
      <c r="S105">
        <v>1</v>
      </c>
      <c r="T105" s="1">
        <v>6.333333333333333</v>
      </c>
      <c r="U105" t="s">
        <v>61</v>
      </c>
    </row>
    <row r="106" spans="1:21" x14ac:dyDescent="0.35">
      <c r="A106" t="s">
        <v>50</v>
      </c>
      <c r="B106">
        <v>15</v>
      </c>
      <c r="C106" t="s">
        <v>35</v>
      </c>
      <c r="D106" t="s">
        <v>36</v>
      </c>
      <c r="E106" t="s">
        <v>37</v>
      </c>
      <c r="F106" t="s">
        <v>48</v>
      </c>
      <c r="G106" t="s">
        <v>45</v>
      </c>
      <c r="H106">
        <v>2</v>
      </c>
      <c r="I106">
        <v>0</v>
      </c>
      <c r="J106" t="s">
        <v>43</v>
      </c>
      <c r="K106" t="s">
        <v>42</v>
      </c>
      <c r="L106" t="s">
        <v>42</v>
      </c>
      <c r="M106" t="s">
        <v>42</v>
      </c>
      <c r="N106" t="s">
        <v>43</v>
      </c>
      <c r="O106">
        <v>5</v>
      </c>
      <c r="P106">
        <v>4</v>
      </c>
      <c r="Q106">
        <v>4</v>
      </c>
      <c r="R106" t="s">
        <v>61</v>
      </c>
      <c r="S106">
        <v>0</v>
      </c>
      <c r="T106" s="1">
        <v>17.333333333333332</v>
      </c>
      <c r="U106" t="s">
        <v>61</v>
      </c>
    </row>
    <row r="107" spans="1:21" x14ac:dyDescent="0.35">
      <c r="A107" t="s">
        <v>34</v>
      </c>
      <c r="B107">
        <v>15</v>
      </c>
      <c r="C107" t="s">
        <v>35</v>
      </c>
      <c r="D107" t="s">
        <v>36</v>
      </c>
      <c r="E107" t="s">
        <v>37</v>
      </c>
      <c r="F107" t="s">
        <v>45</v>
      </c>
      <c r="G107" t="s">
        <v>28</v>
      </c>
      <c r="H107">
        <v>4</v>
      </c>
      <c r="I107">
        <v>0</v>
      </c>
      <c r="J107" t="s">
        <v>42</v>
      </c>
      <c r="K107" t="s">
        <v>43</v>
      </c>
      <c r="L107" t="s">
        <v>43</v>
      </c>
      <c r="M107" t="s">
        <v>43</v>
      </c>
      <c r="N107" t="s">
        <v>43</v>
      </c>
      <c r="O107">
        <v>4</v>
      </c>
      <c r="P107">
        <v>3</v>
      </c>
      <c r="Q107">
        <v>3</v>
      </c>
      <c r="R107" t="s">
        <v>63</v>
      </c>
      <c r="S107">
        <v>0</v>
      </c>
      <c r="T107" s="1">
        <v>10.666666666666666</v>
      </c>
      <c r="U107" t="s">
        <v>61</v>
      </c>
    </row>
    <row r="108" spans="1:21" x14ac:dyDescent="0.35">
      <c r="A108" t="s">
        <v>34</v>
      </c>
      <c r="B108">
        <v>15</v>
      </c>
      <c r="C108" t="s">
        <v>35</v>
      </c>
      <c r="D108" t="s">
        <v>36</v>
      </c>
      <c r="E108" t="s">
        <v>44</v>
      </c>
      <c r="F108" t="s">
        <v>45</v>
      </c>
      <c r="G108" t="s">
        <v>45</v>
      </c>
      <c r="H108">
        <v>4</v>
      </c>
      <c r="I108">
        <v>0</v>
      </c>
      <c r="J108" t="s">
        <v>42</v>
      </c>
      <c r="K108" t="s">
        <v>42</v>
      </c>
      <c r="L108" t="s">
        <v>42</v>
      </c>
      <c r="M108" t="s">
        <v>43</v>
      </c>
      <c r="N108" t="s">
        <v>43</v>
      </c>
      <c r="O108">
        <v>5</v>
      </c>
      <c r="P108">
        <v>1</v>
      </c>
      <c r="Q108">
        <v>2</v>
      </c>
      <c r="R108" t="s">
        <v>62</v>
      </c>
      <c r="S108">
        <v>0</v>
      </c>
      <c r="T108" s="1">
        <v>7.666666666666667</v>
      </c>
      <c r="U108" t="s">
        <v>61</v>
      </c>
    </row>
    <row r="109" spans="1:21" x14ac:dyDescent="0.35">
      <c r="A109" t="s">
        <v>50</v>
      </c>
      <c r="B109">
        <v>16</v>
      </c>
      <c r="C109" t="s">
        <v>35</v>
      </c>
      <c r="D109" t="s">
        <v>36</v>
      </c>
      <c r="E109" t="s">
        <v>44</v>
      </c>
      <c r="F109" t="s">
        <v>48</v>
      </c>
      <c r="G109" t="s">
        <v>45</v>
      </c>
      <c r="H109">
        <v>3</v>
      </c>
      <c r="I109">
        <v>0</v>
      </c>
      <c r="J109" t="s">
        <v>43</v>
      </c>
      <c r="K109" t="s">
        <v>42</v>
      </c>
      <c r="L109" t="s">
        <v>43</v>
      </c>
      <c r="M109" t="s">
        <v>42</v>
      </c>
      <c r="N109" t="s">
        <v>43</v>
      </c>
      <c r="O109">
        <v>5</v>
      </c>
      <c r="P109">
        <v>3</v>
      </c>
      <c r="Q109">
        <v>3</v>
      </c>
      <c r="R109" t="s">
        <v>61</v>
      </c>
      <c r="S109">
        <v>0</v>
      </c>
      <c r="T109" s="1">
        <v>17.333333333333332</v>
      </c>
      <c r="U109" t="s">
        <v>61</v>
      </c>
    </row>
    <row r="110" spans="1:21" x14ac:dyDescent="0.35">
      <c r="A110" t="s">
        <v>50</v>
      </c>
      <c r="B110">
        <v>15</v>
      </c>
      <c r="C110" t="s">
        <v>52</v>
      </c>
      <c r="D110" t="s">
        <v>36</v>
      </c>
      <c r="E110" t="s">
        <v>44</v>
      </c>
      <c r="F110" t="s">
        <v>45</v>
      </c>
      <c r="G110" t="s">
        <v>45</v>
      </c>
      <c r="H110">
        <v>4</v>
      </c>
      <c r="I110">
        <v>0</v>
      </c>
      <c r="J110" t="s">
        <v>43</v>
      </c>
      <c r="K110" t="s">
        <v>42</v>
      </c>
      <c r="L110" t="s">
        <v>42</v>
      </c>
      <c r="M110" t="s">
        <v>42</v>
      </c>
      <c r="N110" t="s">
        <v>42</v>
      </c>
      <c r="O110">
        <v>1</v>
      </c>
      <c r="P110">
        <v>3</v>
      </c>
      <c r="Q110">
        <v>5</v>
      </c>
      <c r="R110" t="s">
        <v>62</v>
      </c>
      <c r="S110">
        <v>0</v>
      </c>
      <c r="T110" s="1">
        <v>12</v>
      </c>
      <c r="U110" t="s">
        <v>63</v>
      </c>
    </row>
    <row r="111" spans="1:21" x14ac:dyDescent="0.35">
      <c r="A111" t="s">
        <v>34</v>
      </c>
      <c r="B111">
        <v>16</v>
      </c>
      <c r="C111" t="s">
        <v>35</v>
      </c>
      <c r="D111" t="s">
        <v>47</v>
      </c>
      <c r="E111" t="s">
        <v>44</v>
      </c>
      <c r="F111" t="s">
        <v>28</v>
      </c>
      <c r="G111" t="s">
        <v>28</v>
      </c>
      <c r="H111">
        <v>3</v>
      </c>
      <c r="I111">
        <v>0</v>
      </c>
      <c r="J111" t="s">
        <v>43</v>
      </c>
      <c r="K111" t="s">
        <v>42</v>
      </c>
      <c r="L111" t="s">
        <v>42</v>
      </c>
      <c r="M111" t="s">
        <v>42</v>
      </c>
      <c r="N111" t="s">
        <v>42</v>
      </c>
      <c r="O111">
        <v>5</v>
      </c>
      <c r="P111">
        <v>4</v>
      </c>
      <c r="Q111">
        <v>5</v>
      </c>
      <c r="R111" t="s">
        <v>61</v>
      </c>
      <c r="S111">
        <v>0</v>
      </c>
      <c r="T111" s="1">
        <v>15</v>
      </c>
      <c r="U111" t="s">
        <v>61</v>
      </c>
    </row>
    <row r="112" spans="1:21" x14ac:dyDescent="0.35">
      <c r="A112" t="s">
        <v>50</v>
      </c>
      <c r="B112">
        <v>15</v>
      </c>
      <c r="C112" t="s">
        <v>35</v>
      </c>
      <c r="D112" t="s">
        <v>47</v>
      </c>
      <c r="E112" t="s">
        <v>37</v>
      </c>
      <c r="F112" t="s">
        <v>39</v>
      </c>
      <c r="G112" t="s">
        <v>39</v>
      </c>
      <c r="H112">
        <v>1</v>
      </c>
      <c r="I112">
        <v>0</v>
      </c>
      <c r="J112" t="s">
        <v>43</v>
      </c>
      <c r="K112" t="s">
        <v>43</v>
      </c>
      <c r="L112" t="s">
        <v>43</v>
      </c>
      <c r="M112" t="s">
        <v>42</v>
      </c>
      <c r="N112" t="s">
        <v>43</v>
      </c>
      <c r="O112">
        <v>5</v>
      </c>
      <c r="P112">
        <v>5</v>
      </c>
      <c r="Q112">
        <v>3</v>
      </c>
      <c r="R112" t="s">
        <v>62</v>
      </c>
      <c r="S112">
        <v>0</v>
      </c>
      <c r="T112" s="1">
        <v>18.666666666666668</v>
      </c>
      <c r="U112" t="s">
        <v>61</v>
      </c>
    </row>
    <row r="113" spans="1:21" x14ac:dyDescent="0.35">
      <c r="A113" t="s">
        <v>34</v>
      </c>
      <c r="B113">
        <v>16</v>
      </c>
      <c r="C113" t="s">
        <v>52</v>
      </c>
      <c r="D113" t="s">
        <v>36</v>
      </c>
      <c r="E113" t="s">
        <v>44</v>
      </c>
      <c r="F113" t="s">
        <v>48</v>
      </c>
      <c r="G113" t="s">
        <v>45</v>
      </c>
      <c r="H113">
        <v>3</v>
      </c>
      <c r="I113">
        <v>1</v>
      </c>
      <c r="J113" t="s">
        <v>42</v>
      </c>
      <c r="K113" t="s">
        <v>42</v>
      </c>
      <c r="L113" t="s">
        <v>43</v>
      </c>
      <c r="M113" t="s">
        <v>42</v>
      </c>
      <c r="N113" t="s">
        <v>43</v>
      </c>
      <c r="O113">
        <v>4</v>
      </c>
      <c r="P113">
        <v>1</v>
      </c>
      <c r="Q113">
        <v>2</v>
      </c>
      <c r="R113" t="s">
        <v>61</v>
      </c>
      <c r="S113">
        <v>0</v>
      </c>
      <c r="T113" s="1">
        <v>9</v>
      </c>
      <c r="U113" t="s">
        <v>61</v>
      </c>
    </row>
    <row r="114" spans="1:21" x14ac:dyDescent="0.35">
      <c r="A114" t="s">
        <v>34</v>
      </c>
      <c r="B114">
        <v>16</v>
      </c>
      <c r="C114" t="s">
        <v>35</v>
      </c>
      <c r="D114" t="s">
        <v>36</v>
      </c>
      <c r="E114" t="s">
        <v>44</v>
      </c>
      <c r="F114" t="s">
        <v>38</v>
      </c>
      <c r="G114" t="s">
        <v>45</v>
      </c>
      <c r="H114">
        <v>2</v>
      </c>
      <c r="I114">
        <v>1</v>
      </c>
      <c r="J114" t="s">
        <v>42</v>
      </c>
      <c r="K114" t="s">
        <v>43</v>
      </c>
      <c r="L114" t="s">
        <v>43</v>
      </c>
      <c r="M114" t="s">
        <v>42</v>
      </c>
      <c r="N114" t="s">
        <v>43</v>
      </c>
      <c r="O114">
        <v>3</v>
      </c>
      <c r="P114">
        <v>1</v>
      </c>
      <c r="Q114">
        <v>2</v>
      </c>
      <c r="R114" t="s">
        <v>62</v>
      </c>
      <c r="S114">
        <v>0</v>
      </c>
      <c r="T114" s="1">
        <v>12</v>
      </c>
      <c r="U114" t="s">
        <v>61</v>
      </c>
    </row>
    <row r="115" spans="1:21" x14ac:dyDescent="0.35">
      <c r="A115" t="s">
        <v>50</v>
      </c>
      <c r="B115">
        <v>15</v>
      </c>
      <c r="C115" t="s">
        <v>35</v>
      </c>
      <c r="D115" t="s">
        <v>47</v>
      </c>
      <c r="E115" t="s">
        <v>44</v>
      </c>
      <c r="F115" t="s">
        <v>39</v>
      </c>
      <c r="G115" t="s">
        <v>45</v>
      </c>
      <c r="H115">
        <v>1</v>
      </c>
      <c r="I115">
        <v>0</v>
      </c>
      <c r="J115" t="s">
        <v>43</v>
      </c>
      <c r="K115" t="s">
        <v>43</v>
      </c>
      <c r="L115" t="s">
        <v>43</v>
      </c>
      <c r="M115" t="s">
        <v>43</v>
      </c>
      <c r="N115" t="s">
        <v>43</v>
      </c>
      <c r="O115">
        <v>3</v>
      </c>
      <c r="P115">
        <v>5</v>
      </c>
      <c r="Q115">
        <v>2</v>
      </c>
      <c r="R115" t="s">
        <v>63</v>
      </c>
      <c r="S115">
        <v>0</v>
      </c>
      <c r="T115" s="1">
        <v>18.666666666666668</v>
      </c>
      <c r="U115" t="s">
        <v>61</v>
      </c>
    </row>
    <row r="116" spans="1:21" x14ac:dyDescent="0.35">
      <c r="A116" t="s">
        <v>50</v>
      </c>
      <c r="B116">
        <v>15</v>
      </c>
      <c r="C116" t="s">
        <v>52</v>
      </c>
      <c r="D116" t="s">
        <v>36</v>
      </c>
      <c r="E116" t="s">
        <v>44</v>
      </c>
      <c r="F116" t="s">
        <v>28</v>
      </c>
      <c r="G116" t="s">
        <v>48</v>
      </c>
      <c r="H116">
        <v>2</v>
      </c>
      <c r="I116">
        <v>0</v>
      </c>
      <c r="J116" t="s">
        <v>43</v>
      </c>
      <c r="K116" t="s">
        <v>43</v>
      </c>
      <c r="L116" t="s">
        <v>43</v>
      </c>
      <c r="M116" t="s">
        <v>42</v>
      </c>
      <c r="N116" t="s">
        <v>42</v>
      </c>
      <c r="O116">
        <v>5</v>
      </c>
      <c r="P116">
        <v>4</v>
      </c>
      <c r="Q116">
        <v>2</v>
      </c>
      <c r="R116" t="s">
        <v>62</v>
      </c>
      <c r="S116">
        <v>0</v>
      </c>
      <c r="T116" s="1">
        <v>9</v>
      </c>
      <c r="U116" t="s">
        <v>61</v>
      </c>
    </row>
    <row r="117" spans="1:21" x14ac:dyDescent="0.35">
      <c r="A117" t="s">
        <v>50</v>
      </c>
      <c r="B117">
        <v>16</v>
      </c>
      <c r="C117" t="s">
        <v>35</v>
      </c>
      <c r="D117" t="s">
        <v>36</v>
      </c>
      <c r="E117" t="s">
        <v>44</v>
      </c>
      <c r="F117" t="s">
        <v>39</v>
      </c>
      <c r="G117" t="s">
        <v>39</v>
      </c>
      <c r="H117">
        <v>2</v>
      </c>
      <c r="I117">
        <v>0</v>
      </c>
      <c r="J117" t="s">
        <v>43</v>
      </c>
      <c r="K117" t="s">
        <v>42</v>
      </c>
      <c r="L117" t="s">
        <v>43</v>
      </c>
      <c r="M117" t="s">
        <v>42</v>
      </c>
      <c r="N117" t="s">
        <v>43</v>
      </c>
      <c r="O117">
        <v>5</v>
      </c>
      <c r="P117">
        <v>4</v>
      </c>
      <c r="Q117">
        <v>4</v>
      </c>
      <c r="R117" t="s">
        <v>61</v>
      </c>
      <c r="S117">
        <v>0</v>
      </c>
      <c r="T117" s="1">
        <v>15.333333333333334</v>
      </c>
      <c r="U117" t="s">
        <v>62</v>
      </c>
    </row>
    <row r="118" spans="1:21" x14ac:dyDescent="0.35">
      <c r="A118" t="s">
        <v>50</v>
      </c>
      <c r="B118">
        <v>15</v>
      </c>
      <c r="C118" t="s">
        <v>35</v>
      </c>
      <c r="D118" t="s">
        <v>36</v>
      </c>
      <c r="E118" t="s">
        <v>44</v>
      </c>
      <c r="F118" t="s">
        <v>45</v>
      </c>
      <c r="G118" t="s">
        <v>39</v>
      </c>
      <c r="H118">
        <v>2</v>
      </c>
      <c r="I118">
        <v>0</v>
      </c>
      <c r="J118" t="s">
        <v>43</v>
      </c>
      <c r="K118" t="s">
        <v>42</v>
      </c>
      <c r="L118" t="s">
        <v>43</v>
      </c>
      <c r="M118" t="s">
        <v>42</v>
      </c>
      <c r="N118" t="s">
        <v>43</v>
      </c>
      <c r="O118">
        <v>4</v>
      </c>
      <c r="P118">
        <v>4</v>
      </c>
      <c r="Q118">
        <v>3</v>
      </c>
      <c r="R118" t="s">
        <v>61</v>
      </c>
      <c r="S118">
        <v>0</v>
      </c>
      <c r="T118" s="1">
        <v>12.666666666666666</v>
      </c>
      <c r="U118" t="s">
        <v>61</v>
      </c>
    </row>
    <row r="119" spans="1:21" x14ac:dyDescent="0.35">
      <c r="A119" t="s">
        <v>50</v>
      </c>
      <c r="B119">
        <v>16</v>
      </c>
      <c r="C119" t="s">
        <v>35</v>
      </c>
      <c r="D119" t="s">
        <v>36</v>
      </c>
      <c r="E119" t="s">
        <v>44</v>
      </c>
      <c r="F119" t="s">
        <v>45</v>
      </c>
      <c r="G119" t="s">
        <v>48</v>
      </c>
      <c r="H119">
        <v>1</v>
      </c>
      <c r="I119">
        <v>0</v>
      </c>
      <c r="J119" t="s">
        <v>43</v>
      </c>
      <c r="K119" t="s">
        <v>43</v>
      </c>
      <c r="L119" t="s">
        <v>43</v>
      </c>
      <c r="M119" t="s">
        <v>42</v>
      </c>
      <c r="N119" t="s">
        <v>43</v>
      </c>
      <c r="O119">
        <v>5</v>
      </c>
      <c r="P119">
        <v>4</v>
      </c>
      <c r="Q119">
        <v>2</v>
      </c>
      <c r="R119" t="s">
        <v>61</v>
      </c>
      <c r="S119">
        <v>1</v>
      </c>
      <c r="T119" s="1">
        <v>13.333333333333334</v>
      </c>
      <c r="U119" t="s">
        <v>61</v>
      </c>
    </row>
    <row r="120" spans="1:21" x14ac:dyDescent="0.35">
      <c r="A120" t="s">
        <v>50</v>
      </c>
      <c r="B120">
        <v>17</v>
      </c>
      <c r="C120" t="s">
        <v>52</v>
      </c>
      <c r="D120" t="s">
        <v>36</v>
      </c>
      <c r="E120" t="s">
        <v>44</v>
      </c>
      <c r="F120" t="s">
        <v>45</v>
      </c>
      <c r="G120" t="s">
        <v>45</v>
      </c>
      <c r="H120">
        <v>2</v>
      </c>
      <c r="I120">
        <v>1</v>
      </c>
      <c r="J120" t="s">
        <v>43</v>
      </c>
      <c r="K120" t="s">
        <v>42</v>
      </c>
      <c r="L120" t="s">
        <v>43</v>
      </c>
      <c r="M120" t="s">
        <v>42</v>
      </c>
      <c r="N120" t="s">
        <v>43</v>
      </c>
      <c r="O120">
        <v>5</v>
      </c>
      <c r="P120">
        <v>2</v>
      </c>
      <c r="Q120">
        <v>4</v>
      </c>
      <c r="R120" t="s">
        <v>63</v>
      </c>
      <c r="S120">
        <v>1</v>
      </c>
      <c r="T120" s="1">
        <v>8</v>
      </c>
      <c r="U120" t="s">
        <v>63</v>
      </c>
    </row>
    <row r="121" spans="1:21" x14ac:dyDescent="0.35">
      <c r="A121" t="s">
        <v>50</v>
      </c>
      <c r="B121">
        <v>15</v>
      </c>
      <c r="C121" t="s">
        <v>35</v>
      </c>
      <c r="D121" t="s">
        <v>36</v>
      </c>
      <c r="E121" t="s">
        <v>44</v>
      </c>
      <c r="F121" t="s">
        <v>45</v>
      </c>
      <c r="G121" t="s">
        <v>45</v>
      </c>
      <c r="H121">
        <v>1</v>
      </c>
      <c r="I121">
        <v>0</v>
      </c>
      <c r="J121" t="s">
        <v>43</v>
      </c>
      <c r="K121" t="s">
        <v>43</v>
      </c>
      <c r="L121" t="s">
        <v>43</v>
      </c>
      <c r="M121" t="s">
        <v>43</v>
      </c>
      <c r="N121" t="s">
        <v>43</v>
      </c>
      <c r="O121">
        <v>3</v>
      </c>
      <c r="P121">
        <v>4</v>
      </c>
      <c r="Q121">
        <v>3</v>
      </c>
      <c r="R121" t="s">
        <v>62</v>
      </c>
      <c r="S121">
        <v>1</v>
      </c>
      <c r="T121" s="1">
        <v>13.333333333333334</v>
      </c>
      <c r="U121" t="s">
        <v>62</v>
      </c>
    </row>
    <row r="122" spans="1:21" x14ac:dyDescent="0.35">
      <c r="A122" t="s">
        <v>34</v>
      </c>
      <c r="B122">
        <v>15</v>
      </c>
      <c r="C122" t="s">
        <v>35</v>
      </c>
      <c r="D122" t="s">
        <v>36</v>
      </c>
      <c r="E122" t="s">
        <v>44</v>
      </c>
      <c r="F122" t="s">
        <v>38</v>
      </c>
      <c r="G122" t="s">
        <v>48</v>
      </c>
      <c r="H122">
        <v>2</v>
      </c>
      <c r="I122">
        <v>0</v>
      </c>
      <c r="J122" t="s">
        <v>43</v>
      </c>
      <c r="K122" t="s">
        <v>43</v>
      </c>
      <c r="L122" t="s">
        <v>43</v>
      </c>
      <c r="M122" t="s">
        <v>43</v>
      </c>
      <c r="N122" t="s">
        <v>43</v>
      </c>
      <c r="O122">
        <v>3</v>
      </c>
      <c r="P122">
        <v>2</v>
      </c>
      <c r="Q122">
        <v>3</v>
      </c>
      <c r="R122" t="s">
        <v>61</v>
      </c>
      <c r="S122">
        <v>1</v>
      </c>
      <c r="T122" s="1">
        <v>15.333333333333334</v>
      </c>
      <c r="U122" t="s">
        <v>62</v>
      </c>
    </row>
    <row r="123" spans="1:21" x14ac:dyDescent="0.35">
      <c r="A123" t="s">
        <v>50</v>
      </c>
      <c r="B123">
        <v>15</v>
      </c>
      <c r="C123" t="s">
        <v>35</v>
      </c>
      <c r="D123" t="s">
        <v>36</v>
      </c>
      <c r="E123" t="s">
        <v>44</v>
      </c>
      <c r="F123" t="s">
        <v>48</v>
      </c>
      <c r="G123" t="s">
        <v>48</v>
      </c>
      <c r="H123">
        <v>4</v>
      </c>
      <c r="I123">
        <v>0</v>
      </c>
      <c r="J123" t="s">
        <v>43</v>
      </c>
      <c r="K123" t="s">
        <v>42</v>
      </c>
      <c r="L123" t="s">
        <v>42</v>
      </c>
      <c r="M123" t="s">
        <v>42</v>
      </c>
      <c r="N123" t="s">
        <v>43</v>
      </c>
      <c r="O123">
        <v>5</v>
      </c>
      <c r="P123">
        <v>5</v>
      </c>
      <c r="Q123">
        <v>4</v>
      </c>
      <c r="R123" t="s">
        <v>62</v>
      </c>
      <c r="S123">
        <v>1</v>
      </c>
      <c r="T123" s="1">
        <v>15</v>
      </c>
      <c r="U123" t="s">
        <v>62</v>
      </c>
    </row>
    <row r="124" spans="1:21" x14ac:dyDescent="0.35">
      <c r="A124" t="s">
        <v>34</v>
      </c>
      <c r="B124">
        <v>16</v>
      </c>
      <c r="C124" t="s">
        <v>35</v>
      </c>
      <c r="D124" t="s">
        <v>47</v>
      </c>
      <c r="E124" t="s">
        <v>44</v>
      </c>
      <c r="F124" t="s">
        <v>45</v>
      </c>
      <c r="G124" t="s">
        <v>28</v>
      </c>
      <c r="H124">
        <v>2</v>
      </c>
      <c r="I124">
        <v>0</v>
      </c>
      <c r="J124" t="s">
        <v>43</v>
      </c>
      <c r="K124" t="s">
        <v>42</v>
      </c>
      <c r="L124" t="s">
        <v>42</v>
      </c>
      <c r="M124" t="s">
        <v>42</v>
      </c>
      <c r="N124" t="s">
        <v>42</v>
      </c>
      <c r="O124">
        <v>4</v>
      </c>
      <c r="P124">
        <v>2</v>
      </c>
      <c r="Q124">
        <v>2</v>
      </c>
      <c r="R124" t="s">
        <v>61</v>
      </c>
      <c r="S124">
        <v>0</v>
      </c>
      <c r="T124" s="1">
        <v>13</v>
      </c>
      <c r="U124" t="s">
        <v>62</v>
      </c>
    </row>
    <row r="125" spans="1:21" x14ac:dyDescent="0.35">
      <c r="A125" t="s">
        <v>50</v>
      </c>
      <c r="B125">
        <v>16</v>
      </c>
      <c r="C125" t="s">
        <v>35</v>
      </c>
      <c r="D125" t="s">
        <v>36</v>
      </c>
      <c r="E125" t="s">
        <v>44</v>
      </c>
      <c r="F125" t="s">
        <v>28</v>
      </c>
      <c r="G125" t="s">
        <v>45</v>
      </c>
      <c r="H125">
        <v>1</v>
      </c>
      <c r="I125">
        <v>0</v>
      </c>
      <c r="J125" t="s">
        <v>43</v>
      </c>
      <c r="K125" t="s">
        <v>42</v>
      </c>
      <c r="L125" t="s">
        <v>43</v>
      </c>
      <c r="M125" t="s">
        <v>42</v>
      </c>
      <c r="N125" t="s">
        <v>43</v>
      </c>
      <c r="O125">
        <v>3</v>
      </c>
      <c r="P125">
        <v>4</v>
      </c>
      <c r="Q125">
        <v>4</v>
      </c>
      <c r="R125" t="s">
        <v>63</v>
      </c>
      <c r="S125">
        <v>1</v>
      </c>
      <c r="T125" s="1">
        <v>12.666666666666666</v>
      </c>
      <c r="U125" t="s">
        <v>63</v>
      </c>
    </row>
    <row r="126" spans="1:21" x14ac:dyDescent="0.35">
      <c r="A126" t="s">
        <v>34</v>
      </c>
      <c r="B126">
        <v>16</v>
      </c>
      <c r="C126" t="s">
        <v>35</v>
      </c>
      <c r="D126" t="s">
        <v>36</v>
      </c>
      <c r="E126" t="s">
        <v>44</v>
      </c>
      <c r="F126" t="s">
        <v>45</v>
      </c>
      <c r="G126" t="s">
        <v>45</v>
      </c>
      <c r="H126">
        <v>2</v>
      </c>
      <c r="I126">
        <v>0</v>
      </c>
      <c r="J126" t="s">
        <v>43</v>
      </c>
      <c r="K126" t="s">
        <v>43</v>
      </c>
      <c r="L126" t="s">
        <v>42</v>
      </c>
      <c r="M126" t="s">
        <v>43</v>
      </c>
      <c r="N126" t="s">
        <v>42</v>
      </c>
      <c r="O126">
        <v>5</v>
      </c>
      <c r="P126">
        <v>4</v>
      </c>
      <c r="Q126">
        <v>4</v>
      </c>
      <c r="R126" t="s">
        <v>61</v>
      </c>
      <c r="S126">
        <v>1</v>
      </c>
      <c r="T126" s="1">
        <v>7.666666666666667</v>
      </c>
      <c r="U126" t="s">
        <v>61</v>
      </c>
    </row>
    <row r="127" spans="1:21" x14ac:dyDescent="0.35">
      <c r="A127" t="s">
        <v>50</v>
      </c>
      <c r="B127">
        <v>15</v>
      </c>
      <c r="C127" t="s">
        <v>35</v>
      </c>
      <c r="D127" t="s">
        <v>36</v>
      </c>
      <c r="E127" t="s">
        <v>44</v>
      </c>
      <c r="F127" t="s">
        <v>48</v>
      </c>
      <c r="G127" t="s">
        <v>48</v>
      </c>
      <c r="H127">
        <v>1</v>
      </c>
      <c r="I127">
        <v>0</v>
      </c>
      <c r="J127" t="s">
        <v>42</v>
      </c>
      <c r="K127" t="s">
        <v>43</v>
      </c>
      <c r="L127" t="s">
        <v>43</v>
      </c>
      <c r="M127" t="s">
        <v>43</v>
      </c>
      <c r="N127" t="s">
        <v>43</v>
      </c>
      <c r="O127">
        <v>5</v>
      </c>
      <c r="P127">
        <v>5</v>
      </c>
      <c r="Q127">
        <v>5</v>
      </c>
      <c r="R127" t="s">
        <v>61</v>
      </c>
      <c r="S127">
        <v>1</v>
      </c>
      <c r="T127" s="1">
        <v>12.666666666666666</v>
      </c>
      <c r="U127" t="s">
        <v>63</v>
      </c>
    </row>
    <row r="128" spans="1:21" x14ac:dyDescent="0.35">
      <c r="A128" t="s">
        <v>34</v>
      </c>
      <c r="B128">
        <v>15</v>
      </c>
      <c r="C128" t="s">
        <v>35</v>
      </c>
      <c r="D128" t="s">
        <v>47</v>
      </c>
      <c r="E128" t="s">
        <v>37</v>
      </c>
      <c r="F128" t="s">
        <v>45</v>
      </c>
      <c r="G128" t="s">
        <v>45</v>
      </c>
      <c r="H128">
        <v>2</v>
      </c>
      <c r="I128">
        <v>0</v>
      </c>
      <c r="J128" t="s">
        <v>42</v>
      </c>
      <c r="K128" t="s">
        <v>43</v>
      </c>
      <c r="L128" t="s">
        <v>43</v>
      </c>
      <c r="M128" t="s">
        <v>42</v>
      </c>
      <c r="N128" t="s">
        <v>42</v>
      </c>
      <c r="O128">
        <v>5</v>
      </c>
      <c r="P128">
        <v>3</v>
      </c>
      <c r="Q128">
        <v>2</v>
      </c>
      <c r="R128" t="s">
        <v>61</v>
      </c>
      <c r="S128">
        <v>0</v>
      </c>
      <c r="T128" s="1">
        <v>9.3333333333333339</v>
      </c>
      <c r="U128" t="s">
        <v>61</v>
      </c>
    </row>
    <row r="129" spans="1:21" x14ac:dyDescent="0.35">
      <c r="A129" t="s">
        <v>34</v>
      </c>
      <c r="B129">
        <v>19</v>
      </c>
      <c r="C129" t="s">
        <v>35</v>
      </c>
      <c r="D129" t="s">
        <v>36</v>
      </c>
      <c r="E129" t="s">
        <v>44</v>
      </c>
      <c r="F129" t="s">
        <v>38</v>
      </c>
      <c r="G129" t="s">
        <v>45</v>
      </c>
      <c r="H129">
        <v>2</v>
      </c>
      <c r="I129">
        <v>3</v>
      </c>
      <c r="J129" t="s">
        <v>43</v>
      </c>
      <c r="K129" t="s">
        <v>42</v>
      </c>
      <c r="L129" t="s">
        <v>43</v>
      </c>
      <c r="M129" t="s">
        <v>43</v>
      </c>
      <c r="N129" t="s">
        <v>43</v>
      </c>
      <c r="O129">
        <v>3</v>
      </c>
      <c r="P129">
        <v>4</v>
      </c>
      <c r="Q129">
        <v>2</v>
      </c>
      <c r="R129" t="s">
        <v>61</v>
      </c>
      <c r="S129">
        <v>0</v>
      </c>
      <c r="T129" s="1">
        <v>8</v>
      </c>
      <c r="U129" t="s">
        <v>61</v>
      </c>
    </row>
    <row r="130" spans="1:21" x14ac:dyDescent="0.35">
      <c r="A130" t="s">
        <v>50</v>
      </c>
      <c r="B130">
        <v>18</v>
      </c>
      <c r="C130" t="s">
        <v>52</v>
      </c>
      <c r="D130" t="s">
        <v>36</v>
      </c>
      <c r="E130" t="s">
        <v>44</v>
      </c>
      <c r="F130" t="s">
        <v>48</v>
      </c>
      <c r="G130" t="s">
        <v>45</v>
      </c>
      <c r="H130">
        <v>1</v>
      </c>
      <c r="I130">
        <v>2</v>
      </c>
      <c r="J130" t="s">
        <v>43</v>
      </c>
      <c r="K130" t="s">
        <v>42</v>
      </c>
      <c r="L130" t="s">
        <v>43</v>
      </c>
      <c r="M130" t="s">
        <v>42</v>
      </c>
      <c r="N130" t="s">
        <v>43</v>
      </c>
      <c r="O130">
        <v>3</v>
      </c>
      <c r="P130">
        <v>3</v>
      </c>
      <c r="Q130">
        <v>3</v>
      </c>
      <c r="R130" t="s">
        <v>61</v>
      </c>
      <c r="S130">
        <v>2</v>
      </c>
      <c r="T130" s="1">
        <v>3.6666666666666665</v>
      </c>
      <c r="U130" t="s">
        <v>62</v>
      </c>
    </row>
    <row r="131" spans="1:21" x14ac:dyDescent="0.35">
      <c r="A131" t="s">
        <v>50</v>
      </c>
      <c r="B131">
        <v>16</v>
      </c>
      <c r="C131" t="s">
        <v>52</v>
      </c>
      <c r="D131" t="s">
        <v>36</v>
      </c>
      <c r="E131" t="s">
        <v>44</v>
      </c>
      <c r="F131" t="s">
        <v>39</v>
      </c>
      <c r="G131" t="s">
        <v>39</v>
      </c>
      <c r="H131">
        <v>1</v>
      </c>
      <c r="I131">
        <v>0</v>
      </c>
      <c r="J131" t="s">
        <v>43</v>
      </c>
      <c r="K131" t="s">
        <v>43</v>
      </c>
      <c r="L131" t="s">
        <v>42</v>
      </c>
      <c r="M131" t="s">
        <v>42</v>
      </c>
      <c r="N131" t="s">
        <v>43</v>
      </c>
      <c r="O131">
        <v>3</v>
      </c>
      <c r="P131">
        <v>5</v>
      </c>
      <c r="Q131">
        <v>5</v>
      </c>
      <c r="R131" t="s">
        <v>62</v>
      </c>
      <c r="S131">
        <v>0</v>
      </c>
      <c r="T131" s="1">
        <v>18</v>
      </c>
      <c r="U131" t="s">
        <v>63</v>
      </c>
    </row>
    <row r="132" spans="1:21" x14ac:dyDescent="0.35">
      <c r="A132" t="s">
        <v>34</v>
      </c>
      <c r="B132">
        <v>15</v>
      </c>
      <c r="C132" t="s">
        <v>52</v>
      </c>
      <c r="D132" t="s">
        <v>36</v>
      </c>
      <c r="E132" t="s">
        <v>44</v>
      </c>
      <c r="F132" t="s">
        <v>48</v>
      </c>
      <c r="G132" t="s">
        <v>39</v>
      </c>
      <c r="H132">
        <v>3</v>
      </c>
      <c r="I132">
        <v>2</v>
      </c>
      <c r="J132" t="s">
        <v>43</v>
      </c>
      <c r="K132" t="s">
        <v>42</v>
      </c>
      <c r="L132" t="s">
        <v>43</v>
      </c>
      <c r="M132" t="s">
        <v>43</v>
      </c>
      <c r="N132" t="s">
        <v>42</v>
      </c>
      <c r="O132">
        <v>4</v>
      </c>
      <c r="P132">
        <v>2</v>
      </c>
      <c r="Q132">
        <v>2</v>
      </c>
      <c r="R132" t="s">
        <v>61</v>
      </c>
      <c r="S132">
        <v>1</v>
      </c>
      <c r="T132" s="1">
        <v>4</v>
      </c>
      <c r="U132" t="s">
        <v>62</v>
      </c>
    </row>
    <row r="133" spans="1:21" x14ac:dyDescent="0.35">
      <c r="A133" t="s">
        <v>34</v>
      </c>
      <c r="B133">
        <v>15</v>
      </c>
      <c r="C133" t="s">
        <v>35</v>
      </c>
      <c r="D133" t="s">
        <v>36</v>
      </c>
      <c r="E133" t="s">
        <v>44</v>
      </c>
      <c r="F133" t="s">
        <v>38</v>
      </c>
      <c r="G133" t="s">
        <v>45</v>
      </c>
      <c r="H133">
        <v>1</v>
      </c>
      <c r="I133">
        <v>0</v>
      </c>
      <c r="J133" t="s">
        <v>43</v>
      </c>
      <c r="K133" t="s">
        <v>42</v>
      </c>
      <c r="L133" t="s">
        <v>43</v>
      </c>
      <c r="M133" t="s">
        <v>42</v>
      </c>
      <c r="N133" t="s">
        <v>42</v>
      </c>
      <c r="O133">
        <v>4</v>
      </c>
      <c r="P133">
        <v>3</v>
      </c>
      <c r="Q133">
        <v>3</v>
      </c>
      <c r="R133" t="s">
        <v>61</v>
      </c>
      <c r="S133">
        <v>1</v>
      </c>
      <c r="T133" s="1">
        <v>2.6666666666666665</v>
      </c>
      <c r="U133" t="s">
        <v>62</v>
      </c>
    </row>
    <row r="134" spans="1:21" x14ac:dyDescent="0.35">
      <c r="A134" t="s">
        <v>34</v>
      </c>
      <c r="B134">
        <v>17</v>
      </c>
      <c r="C134" t="s">
        <v>35</v>
      </c>
      <c r="D134" t="s">
        <v>47</v>
      </c>
      <c r="E134" t="s">
        <v>44</v>
      </c>
      <c r="F134" t="s">
        <v>45</v>
      </c>
      <c r="G134" t="s">
        <v>45</v>
      </c>
      <c r="H134">
        <v>1</v>
      </c>
      <c r="I134">
        <v>0</v>
      </c>
      <c r="J134" t="s">
        <v>43</v>
      </c>
      <c r="K134" t="s">
        <v>42</v>
      </c>
      <c r="L134" t="s">
        <v>43</v>
      </c>
      <c r="M134" t="s">
        <v>43</v>
      </c>
      <c r="N134" t="s">
        <v>42</v>
      </c>
      <c r="O134">
        <v>3</v>
      </c>
      <c r="P134">
        <v>4</v>
      </c>
      <c r="Q134">
        <v>4</v>
      </c>
      <c r="R134" t="s">
        <v>63</v>
      </c>
      <c r="S134">
        <v>1</v>
      </c>
      <c r="T134" s="1">
        <v>11.666666666666666</v>
      </c>
      <c r="U134" t="s">
        <v>62</v>
      </c>
    </row>
    <row r="135" spans="1:21" x14ac:dyDescent="0.35">
      <c r="A135" t="s">
        <v>34</v>
      </c>
      <c r="B135">
        <v>16</v>
      </c>
      <c r="C135" t="s">
        <v>35</v>
      </c>
      <c r="D135" t="s">
        <v>36</v>
      </c>
      <c r="E135" t="s">
        <v>37</v>
      </c>
      <c r="F135" t="s">
        <v>48</v>
      </c>
      <c r="G135" t="s">
        <v>45</v>
      </c>
      <c r="H135">
        <v>1</v>
      </c>
      <c r="I135">
        <v>0</v>
      </c>
      <c r="J135" t="s">
        <v>43</v>
      </c>
      <c r="K135" t="s">
        <v>43</v>
      </c>
      <c r="L135" t="s">
        <v>43</v>
      </c>
      <c r="M135" t="s">
        <v>43</v>
      </c>
      <c r="N135" t="s">
        <v>43</v>
      </c>
      <c r="O135">
        <v>3</v>
      </c>
      <c r="P135">
        <v>2</v>
      </c>
      <c r="Q135">
        <v>1</v>
      </c>
      <c r="R135" t="s">
        <v>63</v>
      </c>
      <c r="S135">
        <v>1</v>
      </c>
      <c r="T135" s="1">
        <v>11.333333333333334</v>
      </c>
      <c r="U135" t="s">
        <v>63</v>
      </c>
    </row>
    <row r="136" spans="1:21" x14ac:dyDescent="0.35">
      <c r="A136" t="s">
        <v>50</v>
      </c>
      <c r="B136">
        <v>15</v>
      </c>
      <c r="C136" t="s">
        <v>52</v>
      </c>
      <c r="D136" t="s">
        <v>36</v>
      </c>
      <c r="E136" t="s">
        <v>44</v>
      </c>
      <c r="F136" t="s">
        <v>38</v>
      </c>
      <c r="G136" t="s">
        <v>39</v>
      </c>
      <c r="H136">
        <v>2</v>
      </c>
      <c r="I136">
        <v>0</v>
      </c>
      <c r="J136" t="s">
        <v>43</v>
      </c>
      <c r="K136" t="s">
        <v>42</v>
      </c>
      <c r="L136" t="s">
        <v>43</v>
      </c>
      <c r="M136" t="s">
        <v>43</v>
      </c>
      <c r="N136" t="s">
        <v>42</v>
      </c>
      <c r="O136">
        <v>5</v>
      </c>
      <c r="P136">
        <v>3</v>
      </c>
      <c r="Q136">
        <v>3</v>
      </c>
      <c r="R136" t="s">
        <v>61</v>
      </c>
      <c r="S136">
        <v>1</v>
      </c>
      <c r="T136" s="1">
        <v>3</v>
      </c>
      <c r="U136" t="s">
        <v>61</v>
      </c>
    </row>
    <row r="137" spans="1:21" x14ac:dyDescent="0.35">
      <c r="A137" t="s">
        <v>34</v>
      </c>
      <c r="B137">
        <v>15</v>
      </c>
      <c r="C137" t="s">
        <v>35</v>
      </c>
      <c r="D137" t="s">
        <v>36</v>
      </c>
      <c r="E137" t="s">
        <v>44</v>
      </c>
      <c r="F137" t="s">
        <v>48</v>
      </c>
      <c r="G137" t="s">
        <v>38</v>
      </c>
      <c r="H137">
        <v>3</v>
      </c>
      <c r="I137">
        <v>0</v>
      </c>
      <c r="J137" t="s">
        <v>43</v>
      </c>
      <c r="K137" t="s">
        <v>42</v>
      </c>
      <c r="L137" t="s">
        <v>43</v>
      </c>
      <c r="M137" t="s">
        <v>42</v>
      </c>
      <c r="N137" t="s">
        <v>42</v>
      </c>
      <c r="O137">
        <v>4</v>
      </c>
      <c r="P137">
        <v>3</v>
      </c>
      <c r="Q137">
        <v>3</v>
      </c>
      <c r="R137" t="s">
        <v>61</v>
      </c>
      <c r="S137">
        <v>1</v>
      </c>
      <c r="T137" s="1">
        <v>3.6666666666666665</v>
      </c>
      <c r="U137" t="s">
        <v>61</v>
      </c>
    </row>
    <row r="138" spans="1:21" x14ac:dyDescent="0.35">
      <c r="A138" t="s">
        <v>50</v>
      </c>
      <c r="B138">
        <v>17</v>
      </c>
      <c r="C138" t="s">
        <v>52</v>
      </c>
      <c r="D138" t="s">
        <v>36</v>
      </c>
      <c r="E138" t="s">
        <v>44</v>
      </c>
      <c r="F138" t="s">
        <v>38</v>
      </c>
      <c r="G138" t="s">
        <v>45</v>
      </c>
      <c r="H138">
        <v>2</v>
      </c>
      <c r="I138">
        <v>0</v>
      </c>
      <c r="J138" t="s">
        <v>43</v>
      </c>
      <c r="K138" t="s">
        <v>43</v>
      </c>
      <c r="L138" t="s">
        <v>43</v>
      </c>
      <c r="M138" t="s">
        <v>43</v>
      </c>
      <c r="N138" t="s">
        <v>43</v>
      </c>
      <c r="O138">
        <v>5</v>
      </c>
      <c r="P138">
        <v>4</v>
      </c>
      <c r="Q138">
        <v>5</v>
      </c>
      <c r="R138" t="s">
        <v>61</v>
      </c>
      <c r="S138">
        <v>1</v>
      </c>
      <c r="T138" s="1">
        <v>3.3333333333333335</v>
      </c>
      <c r="U138" t="s">
        <v>63</v>
      </c>
    </row>
    <row r="139" spans="1:21" x14ac:dyDescent="0.35">
      <c r="A139" t="s">
        <v>34</v>
      </c>
      <c r="B139">
        <v>16</v>
      </c>
      <c r="C139" t="s">
        <v>35</v>
      </c>
      <c r="D139" t="s">
        <v>36</v>
      </c>
      <c r="E139" t="s">
        <v>37</v>
      </c>
      <c r="F139" t="s">
        <v>45</v>
      </c>
      <c r="G139" t="s">
        <v>45</v>
      </c>
      <c r="H139">
        <v>1</v>
      </c>
      <c r="I139">
        <v>2</v>
      </c>
      <c r="J139" t="s">
        <v>43</v>
      </c>
      <c r="K139" t="s">
        <v>42</v>
      </c>
      <c r="L139" t="s">
        <v>43</v>
      </c>
      <c r="M139" t="s">
        <v>42</v>
      </c>
      <c r="N139" t="s">
        <v>42</v>
      </c>
      <c r="O139">
        <v>4</v>
      </c>
      <c r="P139">
        <v>3</v>
      </c>
      <c r="Q139">
        <v>2</v>
      </c>
      <c r="R139" t="s">
        <v>61</v>
      </c>
      <c r="S139">
        <v>1</v>
      </c>
      <c r="T139" s="1">
        <v>1.3333333333333333</v>
      </c>
      <c r="U139" t="s">
        <v>61</v>
      </c>
    </row>
    <row r="140" spans="1:21" x14ac:dyDescent="0.35">
      <c r="A140" t="s">
        <v>50</v>
      </c>
      <c r="B140">
        <v>16</v>
      </c>
      <c r="C140" t="s">
        <v>35</v>
      </c>
      <c r="D140" t="s">
        <v>47</v>
      </c>
      <c r="E140" t="s">
        <v>44</v>
      </c>
      <c r="F140" t="s">
        <v>48</v>
      </c>
      <c r="G140" t="s">
        <v>45</v>
      </c>
      <c r="H140">
        <v>2</v>
      </c>
      <c r="I140">
        <v>1</v>
      </c>
      <c r="J140" t="s">
        <v>43</v>
      </c>
      <c r="K140" t="s">
        <v>43</v>
      </c>
      <c r="L140" t="s">
        <v>43</v>
      </c>
      <c r="M140" t="s">
        <v>43</v>
      </c>
      <c r="N140" t="s">
        <v>42</v>
      </c>
      <c r="O140">
        <v>4</v>
      </c>
      <c r="P140">
        <v>4</v>
      </c>
      <c r="Q140">
        <v>4</v>
      </c>
      <c r="R140" t="s">
        <v>61</v>
      </c>
      <c r="S140">
        <v>1</v>
      </c>
      <c r="T140" s="1">
        <v>12.666666666666666</v>
      </c>
      <c r="U140" t="s">
        <v>62</v>
      </c>
    </row>
    <row r="141" spans="1:21" x14ac:dyDescent="0.35">
      <c r="A141" t="s">
        <v>34</v>
      </c>
      <c r="B141">
        <v>15</v>
      </c>
      <c r="C141" t="s">
        <v>35</v>
      </c>
      <c r="D141" t="s">
        <v>36</v>
      </c>
      <c r="E141" t="s">
        <v>44</v>
      </c>
      <c r="F141" t="s">
        <v>39</v>
      </c>
      <c r="G141" t="s">
        <v>39</v>
      </c>
      <c r="H141">
        <v>1</v>
      </c>
      <c r="I141">
        <v>0</v>
      </c>
      <c r="J141" t="s">
        <v>43</v>
      </c>
      <c r="K141" t="s">
        <v>43</v>
      </c>
      <c r="L141" t="s">
        <v>43</v>
      </c>
      <c r="M141" t="s">
        <v>42</v>
      </c>
      <c r="N141" t="s">
        <v>43</v>
      </c>
      <c r="O141">
        <v>4</v>
      </c>
      <c r="P141">
        <v>3</v>
      </c>
      <c r="Q141">
        <v>2</v>
      </c>
      <c r="R141" t="s">
        <v>61</v>
      </c>
      <c r="S141">
        <v>1</v>
      </c>
      <c r="T141" s="1">
        <v>15.666666666666666</v>
      </c>
      <c r="U141" t="s">
        <v>61</v>
      </c>
    </row>
    <row r="142" spans="1:21" x14ac:dyDescent="0.35">
      <c r="A142" t="s">
        <v>50</v>
      </c>
      <c r="B142">
        <v>15</v>
      </c>
      <c r="C142" t="s">
        <v>35</v>
      </c>
      <c r="D142" t="s">
        <v>36</v>
      </c>
      <c r="E142" t="s">
        <v>44</v>
      </c>
      <c r="F142" t="s">
        <v>39</v>
      </c>
      <c r="G142" t="s">
        <v>48</v>
      </c>
      <c r="H142">
        <v>4</v>
      </c>
      <c r="I142">
        <v>0</v>
      </c>
      <c r="J142" t="s">
        <v>42</v>
      </c>
      <c r="K142" t="s">
        <v>42</v>
      </c>
      <c r="L142" t="s">
        <v>43</v>
      </c>
      <c r="M142" t="s">
        <v>43</v>
      </c>
      <c r="N142" t="s">
        <v>43</v>
      </c>
      <c r="O142">
        <v>2</v>
      </c>
      <c r="P142">
        <v>2</v>
      </c>
      <c r="Q142">
        <v>2</v>
      </c>
      <c r="R142" t="s">
        <v>61</v>
      </c>
      <c r="S142">
        <v>1</v>
      </c>
      <c r="T142" s="1">
        <v>5.333333333333333</v>
      </c>
      <c r="U142" t="s">
        <v>61</v>
      </c>
    </row>
    <row r="143" spans="1:21" x14ac:dyDescent="0.35">
      <c r="A143" t="s">
        <v>50</v>
      </c>
      <c r="B143">
        <v>16</v>
      </c>
      <c r="C143" t="s">
        <v>35</v>
      </c>
      <c r="D143" t="s">
        <v>47</v>
      </c>
      <c r="E143" t="s">
        <v>44</v>
      </c>
      <c r="F143" t="s">
        <v>48</v>
      </c>
      <c r="G143" t="s">
        <v>48</v>
      </c>
      <c r="H143">
        <v>1</v>
      </c>
      <c r="I143">
        <v>2</v>
      </c>
      <c r="J143" t="s">
        <v>43</v>
      </c>
      <c r="K143" t="s">
        <v>42</v>
      </c>
      <c r="L143" t="s">
        <v>43</v>
      </c>
      <c r="M143" t="s">
        <v>42</v>
      </c>
      <c r="N143" t="s">
        <v>43</v>
      </c>
      <c r="O143">
        <v>2</v>
      </c>
      <c r="P143">
        <v>3</v>
      </c>
      <c r="Q143">
        <v>3</v>
      </c>
      <c r="R143" t="s">
        <v>62</v>
      </c>
      <c r="S143">
        <v>0</v>
      </c>
      <c r="T143" s="1">
        <v>9</v>
      </c>
      <c r="U143" t="s">
        <v>62</v>
      </c>
    </row>
    <row r="144" spans="1:21" x14ac:dyDescent="0.35">
      <c r="A144" t="s">
        <v>34</v>
      </c>
      <c r="B144">
        <v>15</v>
      </c>
      <c r="C144" t="s">
        <v>35</v>
      </c>
      <c r="D144" t="s">
        <v>36</v>
      </c>
      <c r="E144" t="s">
        <v>44</v>
      </c>
      <c r="F144" t="s">
        <v>39</v>
      </c>
      <c r="G144" t="s">
        <v>48</v>
      </c>
      <c r="H144">
        <v>3</v>
      </c>
      <c r="I144">
        <v>0</v>
      </c>
      <c r="J144" t="s">
        <v>43</v>
      </c>
      <c r="K144" t="s">
        <v>42</v>
      </c>
      <c r="L144" t="s">
        <v>42</v>
      </c>
      <c r="M144" t="s">
        <v>42</v>
      </c>
      <c r="N144" t="s">
        <v>43</v>
      </c>
      <c r="O144">
        <v>4</v>
      </c>
      <c r="P144">
        <v>2</v>
      </c>
      <c r="Q144">
        <v>2</v>
      </c>
      <c r="R144" t="s">
        <v>61</v>
      </c>
      <c r="S144">
        <v>0</v>
      </c>
      <c r="T144" s="1">
        <v>10.333333333333334</v>
      </c>
      <c r="U144" t="s">
        <v>61</v>
      </c>
    </row>
    <row r="145" spans="1:21" x14ac:dyDescent="0.35">
      <c r="A145" t="s">
        <v>34</v>
      </c>
      <c r="B145">
        <v>16</v>
      </c>
      <c r="C145" t="s">
        <v>35</v>
      </c>
      <c r="D145" t="s">
        <v>47</v>
      </c>
      <c r="E145" t="s">
        <v>44</v>
      </c>
      <c r="F145" t="s">
        <v>38</v>
      </c>
      <c r="G145" t="s">
        <v>38</v>
      </c>
      <c r="H145">
        <v>1</v>
      </c>
      <c r="I145">
        <v>0</v>
      </c>
      <c r="J145" t="s">
        <v>43</v>
      </c>
      <c r="K145" t="s">
        <v>43</v>
      </c>
      <c r="L145" t="s">
        <v>43</v>
      </c>
      <c r="M145" t="s">
        <v>43</v>
      </c>
      <c r="N145" t="s">
        <v>43</v>
      </c>
      <c r="O145">
        <v>3</v>
      </c>
      <c r="P145">
        <v>4</v>
      </c>
      <c r="Q145">
        <v>4</v>
      </c>
      <c r="R145" t="s">
        <v>61</v>
      </c>
      <c r="S145">
        <v>1</v>
      </c>
      <c r="T145" s="1">
        <v>13.666666666666666</v>
      </c>
      <c r="U145" t="s">
        <v>63</v>
      </c>
    </row>
    <row r="146" spans="1:21" x14ac:dyDescent="0.35">
      <c r="A146" t="s">
        <v>50</v>
      </c>
      <c r="B146">
        <v>17</v>
      </c>
      <c r="C146" t="s">
        <v>35</v>
      </c>
      <c r="D146" t="s">
        <v>36</v>
      </c>
      <c r="E146" t="s">
        <v>44</v>
      </c>
      <c r="F146" t="s">
        <v>45</v>
      </c>
      <c r="G146" t="s">
        <v>45</v>
      </c>
      <c r="H146">
        <v>1</v>
      </c>
      <c r="I146">
        <v>3</v>
      </c>
      <c r="J146" t="s">
        <v>43</v>
      </c>
      <c r="K146" t="s">
        <v>42</v>
      </c>
      <c r="L146" t="s">
        <v>43</v>
      </c>
      <c r="M146" t="s">
        <v>43</v>
      </c>
      <c r="N146" t="s">
        <v>43</v>
      </c>
      <c r="O146">
        <v>5</v>
      </c>
      <c r="P146">
        <v>4</v>
      </c>
      <c r="Q146">
        <v>5</v>
      </c>
      <c r="R146" t="s">
        <v>61</v>
      </c>
      <c r="S146">
        <v>1</v>
      </c>
      <c r="T146" s="1">
        <v>1.6666666666666667</v>
      </c>
      <c r="U146" t="s">
        <v>62</v>
      </c>
    </row>
    <row r="147" spans="1:21" x14ac:dyDescent="0.35">
      <c r="A147" t="s">
        <v>34</v>
      </c>
      <c r="B147">
        <v>15</v>
      </c>
      <c r="C147" t="s">
        <v>35</v>
      </c>
      <c r="D147" t="s">
        <v>36</v>
      </c>
      <c r="E147" t="s">
        <v>44</v>
      </c>
      <c r="F147" t="s">
        <v>45</v>
      </c>
      <c r="G147" t="s">
        <v>48</v>
      </c>
      <c r="H147">
        <v>2</v>
      </c>
      <c r="I147">
        <v>0</v>
      </c>
      <c r="J147" t="s">
        <v>43</v>
      </c>
      <c r="K147" t="s">
        <v>42</v>
      </c>
      <c r="L147" t="s">
        <v>42</v>
      </c>
      <c r="M147" t="s">
        <v>43</v>
      </c>
      <c r="N147" t="s">
        <v>43</v>
      </c>
      <c r="O147">
        <v>4</v>
      </c>
      <c r="P147">
        <v>4</v>
      </c>
      <c r="Q147">
        <v>2</v>
      </c>
      <c r="R147" t="s">
        <v>61</v>
      </c>
      <c r="S147">
        <v>0</v>
      </c>
      <c r="T147" s="1">
        <v>10</v>
      </c>
      <c r="U147" t="s">
        <v>62</v>
      </c>
    </row>
    <row r="148" spans="1:21" x14ac:dyDescent="0.35">
      <c r="A148" t="s">
        <v>34</v>
      </c>
      <c r="B148">
        <v>15</v>
      </c>
      <c r="C148" t="s">
        <v>35</v>
      </c>
      <c r="D148" t="s">
        <v>36</v>
      </c>
      <c r="E148" t="s">
        <v>44</v>
      </c>
      <c r="F148" t="s">
        <v>28</v>
      </c>
      <c r="G148" t="s">
        <v>48</v>
      </c>
      <c r="H148">
        <v>2</v>
      </c>
      <c r="I148">
        <v>3</v>
      </c>
      <c r="J148" t="s">
        <v>43</v>
      </c>
      <c r="K148" t="s">
        <v>42</v>
      </c>
      <c r="L148" t="s">
        <v>43</v>
      </c>
      <c r="M148" t="s">
        <v>43</v>
      </c>
      <c r="N148" t="s">
        <v>43</v>
      </c>
      <c r="O148">
        <v>3</v>
      </c>
      <c r="P148">
        <v>3</v>
      </c>
      <c r="Q148">
        <v>2</v>
      </c>
      <c r="R148" t="s">
        <v>61</v>
      </c>
      <c r="S148">
        <v>1</v>
      </c>
      <c r="T148" s="1">
        <v>4.333333333333333</v>
      </c>
      <c r="U148" t="s">
        <v>61</v>
      </c>
    </row>
    <row r="149" spans="1:21" x14ac:dyDescent="0.35">
      <c r="A149" t="s">
        <v>34</v>
      </c>
      <c r="B149">
        <v>15</v>
      </c>
      <c r="C149" t="s">
        <v>35</v>
      </c>
      <c r="D149" t="s">
        <v>36</v>
      </c>
      <c r="E149" t="s">
        <v>44</v>
      </c>
      <c r="F149" t="s">
        <v>38</v>
      </c>
      <c r="G149" t="s">
        <v>45</v>
      </c>
      <c r="H149">
        <v>2</v>
      </c>
      <c r="I149">
        <v>0</v>
      </c>
      <c r="J149" t="s">
        <v>43</v>
      </c>
      <c r="K149" t="s">
        <v>42</v>
      </c>
      <c r="L149" t="s">
        <v>42</v>
      </c>
      <c r="M149" t="s">
        <v>43</v>
      </c>
      <c r="N149" t="s">
        <v>43</v>
      </c>
      <c r="O149">
        <v>4</v>
      </c>
      <c r="P149">
        <v>3</v>
      </c>
      <c r="Q149">
        <v>2</v>
      </c>
      <c r="R149" t="s">
        <v>61</v>
      </c>
      <c r="S149">
        <v>0</v>
      </c>
      <c r="T149" s="1">
        <v>10.666666666666666</v>
      </c>
      <c r="U149" t="s">
        <v>61</v>
      </c>
    </row>
    <row r="150" spans="1:21" x14ac:dyDescent="0.35">
      <c r="A150" t="s">
        <v>50</v>
      </c>
      <c r="B150">
        <v>16</v>
      </c>
      <c r="C150" t="s">
        <v>35</v>
      </c>
      <c r="D150" t="s">
        <v>36</v>
      </c>
      <c r="E150" t="s">
        <v>44</v>
      </c>
      <c r="F150" t="s">
        <v>39</v>
      </c>
      <c r="G150" t="s">
        <v>39</v>
      </c>
      <c r="H150">
        <v>1</v>
      </c>
      <c r="I150">
        <v>0</v>
      </c>
      <c r="J150" t="s">
        <v>43</v>
      </c>
      <c r="K150" t="s">
        <v>42</v>
      </c>
      <c r="L150" t="s">
        <v>43</v>
      </c>
      <c r="M150" t="s">
        <v>43</v>
      </c>
      <c r="N150" t="s">
        <v>42</v>
      </c>
      <c r="O150">
        <v>3</v>
      </c>
      <c r="P150">
        <v>3</v>
      </c>
      <c r="Q150">
        <v>2</v>
      </c>
      <c r="R150" t="s">
        <v>61</v>
      </c>
      <c r="S150">
        <v>2</v>
      </c>
      <c r="T150" s="1">
        <v>4.333333333333333</v>
      </c>
      <c r="U150" t="s">
        <v>62</v>
      </c>
    </row>
    <row r="151" spans="1:21" x14ac:dyDescent="0.35">
      <c r="A151" t="s">
        <v>50</v>
      </c>
      <c r="B151">
        <v>15</v>
      </c>
      <c r="C151" t="s">
        <v>35</v>
      </c>
      <c r="D151" t="s">
        <v>47</v>
      </c>
      <c r="E151" t="s">
        <v>37</v>
      </c>
      <c r="F151" t="s">
        <v>48</v>
      </c>
      <c r="G151" t="s">
        <v>45</v>
      </c>
      <c r="H151">
        <v>1</v>
      </c>
      <c r="I151">
        <v>3</v>
      </c>
      <c r="J151" t="s">
        <v>43</v>
      </c>
      <c r="K151" t="s">
        <v>43</v>
      </c>
      <c r="L151" t="s">
        <v>43</v>
      </c>
      <c r="M151" t="s">
        <v>43</v>
      </c>
      <c r="N151" t="s">
        <v>43</v>
      </c>
      <c r="O151">
        <v>4</v>
      </c>
      <c r="P151">
        <v>5</v>
      </c>
      <c r="Q151">
        <v>5</v>
      </c>
      <c r="R151" t="s">
        <v>61</v>
      </c>
      <c r="S151">
        <v>0</v>
      </c>
      <c r="T151" s="1">
        <v>9</v>
      </c>
      <c r="U151" t="s">
        <v>63</v>
      </c>
    </row>
    <row r="152" spans="1:21" x14ac:dyDescent="0.35">
      <c r="A152" t="s">
        <v>50</v>
      </c>
      <c r="B152">
        <v>18</v>
      </c>
      <c r="C152" t="s">
        <v>35</v>
      </c>
      <c r="D152" t="s">
        <v>47</v>
      </c>
      <c r="E152" t="s">
        <v>44</v>
      </c>
      <c r="F152" t="s">
        <v>45</v>
      </c>
      <c r="G152" t="s">
        <v>45</v>
      </c>
      <c r="H152">
        <v>1</v>
      </c>
      <c r="I152">
        <v>3</v>
      </c>
      <c r="J152" t="s">
        <v>43</v>
      </c>
      <c r="K152" t="s">
        <v>43</v>
      </c>
      <c r="L152" t="s">
        <v>43</v>
      </c>
      <c r="M152" t="s">
        <v>43</v>
      </c>
      <c r="N152" t="s">
        <v>42</v>
      </c>
      <c r="O152">
        <v>2</v>
      </c>
      <c r="P152">
        <v>3</v>
      </c>
      <c r="Q152">
        <v>5</v>
      </c>
      <c r="R152" t="s">
        <v>61</v>
      </c>
      <c r="S152">
        <v>2</v>
      </c>
      <c r="T152" s="1">
        <v>3.6666666666666665</v>
      </c>
      <c r="U152" t="s">
        <v>63</v>
      </c>
    </row>
    <row r="153" spans="1:21" x14ac:dyDescent="0.35">
      <c r="A153" t="s">
        <v>50</v>
      </c>
      <c r="B153">
        <v>16</v>
      </c>
      <c r="C153" t="s">
        <v>35</v>
      </c>
      <c r="D153" t="s">
        <v>47</v>
      </c>
      <c r="E153" t="s">
        <v>44</v>
      </c>
      <c r="F153" t="s">
        <v>38</v>
      </c>
      <c r="G153" t="s">
        <v>45</v>
      </c>
      <c r="H153">
        <v>1</v>
      </c>
      <c r="I153">
        <v>1</v>
      </c>
      <c r="J153" t="s">
        <v>43</v>
      </c>
      <c r="K153" t="s">
        <v>43</v>
      </c>
      <c r="L153" t="s">
        <v>43</v>
      </c>
      <c r="M153" t="s">
        <v>42</v>
      </c>
      <c r="N153" t="s">
        <v>42</v>
      </c>
      <c r="O153">
        <v>4</v>
      </c>
      <c r="P153">
        <v>4</v>
      </c>
      <c r="Q153">
        <v>4</v>
      </c>
      <c r="R153" t="s">
        <v>62</v>
      </c>
      <c r="S153">
        <v>0</v>
      </c>
      <c r="T153" s="1">
        <v>13</v>
      </c>
      <c r="U153" t="s">
        <v>63</v>
      </c>
    </row>
    <row r="154" spans="1:21" x14ac:dyDescent="0.35">
      <c r="A154" t="s">
        <v>34</v>
      </c>
      <c r="B154">
        <v>15</v>
      </c>
      <c r="C154" t="s">
        <v>52</v>
      </c>
      <c r="D154" t="s">
        <v>36</v>
      </c>
      <c r="E154" t="s">
        <v>44</v>
      </c>
      <c r="F154" t="s">
        <v>48</v>
      </c>
      <c r="G154" t="s">
        <v>48</v>
      </c>
      <c r="H154">
        <v>3</v>
      </c>
      <c r="I154">
        <v>2</v>
      </c>
      <c r="J154" t="s">
        <v>43</v>
      </c>
      <c r="K154" t="s">
        <v>42</v>
      </c>
      <c r="L154" t="s">
        <v>42</v>
      </c>
      <c r="M154" t="s">
        <v>42</v>
      </c>
      <c r="N154" t="s">
        <v>42</v>
      </c>
      <c r="O154">
        <v>4</v>
      </c>
      <c r="P154">
        <v>2</v>
      </c>
      <c r="Q154">
        <v>1</v>
      </c>
      <c r="R154" t="s">
        <v>62</v>
      </c>
      <c r="S154">
        <v>0</v>
      </c>
      <c r="T154" s="1">
        <v>10</v>
      </c>
      <c r="U154" t="s">
        <v>63</v>
      </c>
    </row>
    <row r="155" spans="1:21" x14ac:dyDescent="0.35">
      <c r="A155" t="s">
        <v>50</v>
      </c>
      <c r="B155">
        <v>19</v>
      </c>
      <c r="C155" t="s">
        <v>35</v>
      </c>
      <c r="D155" t="s">
        <v>36</v>
      </c>
      <c r="E155" t="s">
        <v>44</v>
      </c>
      <c r="F155" t="s">
        <v>48</v>
      </c>
      <c r="G155" t="s">
        <v>38</v>
      </c>
      <c r="H155">
        <v>1</v>
      </c>
      <c r="I155">
        <v>3</v>
      </c>
      <c r="J155" t="s">
        <v>43</v>
      </c>
      <c r="K155" t="s">
        <v>42</v>
      </c>
      <c r="L155" t="s">
        <v>43</v>
      </c>
      <c r="M155" t="s">
        <v>43</v>
      </c>
      <c r="N155" t="s">
        <v>42</v>
      </c>
      <c r="O155">
        <v>4</v>
      </c>
      <c r="P155">
        <v>5</v>
      </c>
      <c r="Q155">
        <v>4</v>
      </c>
      <c r="R155" t="s">
        <v>61</v>
      </c>
      <c r="S155">
        <v>1</v>
      </c>
      <c r="T155" s="1">
        <v>1.6666666666666667</v>
      </c>
      <c r="U155" t="s">
        <v>61</v>
      </c>
    </row>
    <row r="156" spans="1:21" x14ac:dyDescent="0.35">
      <c r="A156" t="s">
        <v>34</v>
      </c>
      <c r="B156">
        <v>17</v>
      </c>
      <c r="C156" t="s">
        <v>35</v>
      </c>
      <c r="D156" t="s">
        <v>36</v>
      </c>
      <c r="E156" t="s">
        <v>44</v>
      </c>
      <c r="F156" t="s">
        <v>45</v>
      </c>
      <c r="G156" t="s">
        <v>39</v>
      </c>
      <c r="H156">
        <v>1</v>
      </c>
      <c r="I156">
        <v>0</v>
      </c>
      <c r="J156" t="s">
        <v>42</v>
      </c>
      <c r="K156" t="s">
        <v>42</v>
      </c>
      <c r="L156" t="s">
        <v>43</v>
      </c>
      <c r="M156" t="s">
        <v>43</v>
      </c>
      <c r="N156" t="s">
        <v>42</v>
      </c>
      <c r="O156">
        <v>4</v>
      </c>
      <c r="P156">
        <v>2</v>
      </c>
      <c r="Q156">
        <v>1</v>
      </c>
      <c r="R156" t="s">
        <v>61</v>
      </c>
      <c r="S156">
        <v>0</v>
      </c>
      <c r="T156" s="1">
        <v>11.333333333333334</v>
      </c>
      <c r="U156" t="s">
        <v>61</v>
      </c>
    </row>
    <row r="157" spans="1:21" x14ac:dyDescent="0.35">
      <c r="A157" t="s">
        <v>50</v>
      </c>
      <c r="B157">
        <v>15</v>
      </c>
      <c r="C157" t="s">
        <v>52</v>
      </c>
      <c r="D157" t="s">
        <v>36</v>
      </c>
      <c r="E157" t="s">
        <v>44</v>
      </c>
      <c r="F157" t="s">
        <v>38</v>
      </c>
      <c r="G157" t="s">
        <v>48</v>
      </c>
      <c r="H157">
        <v>2</v>
      </c>
      <c r="I157">
        <v>0</v>
      </c>
      <c r="J157" t="s">
        <v>42</v>
      </c>
      <c r="K157" t="s">
        <v>43</v>
      </c>
      <c r="L157" t="s">
        <v>42</v>
      </c>
      <c r="M157" t="s">
        <v>42</v>
      </c>
      <c r="N157" t="s">
        <v>43</v>
      </c>
      <c r="O157">
        <v>4</v>
      </c>
      <c r="P157">
        <v>4</v>
      </c>
      <c r="Q157">
        <v>4</v>
      </c>
      <c r="R157" t="s">
        <v>61</v>
      </c>
      <c r="S157">
        <v>1</v>
      </c>
      <c r="T157" s="1">
        <v>9</v>
      </c>
      <c r="U157" t="s">
        <v>61</v>
      </c>
    </row>
    <row r="158" spans="1:21" x14ac:dyDescent="0.35">
      <c r="A158" t="s">
        <v>50</v>
      </c>
      <c r="B158">
        <v>17</v>
      </c>
      <c r="C158" t="s">
        <v>52</v>
      </c>
      <c r="D158" t="s">
        <v>47</v>
      </c>
      <c r="E158" t="s">
        <v>44</v>
      </c>
      <c r="F158" t="s">
        <v>45</v>
      </c>
      <c r="G158" t="s">
        <v>45</v>
      </c>
      <c r="H158">
        <v>1</v>
      </c>
      <c r="I158">
        <v>0</v>
      </c>
      <c r="J158" t="s">
        <v>43</v>
      </c>
      <c r="K158" t="s">
        <v>43</v>
      </c>
      <c r="L158" t="s">
        <v>43</v>
      </c>
      <c r="M158" t="s">
        <v>43</v>
      </c>
      <c r="N158" t="s">
        <v>43</v>
      </c>
      <c r="O158">
        <v>2</v>
      </c>
      <c r="P158">
        <v>2</v>
      </c>
      <c r="Q158">
        <v>2</v>
      </c>
      <c r="R158" t="s">
        <v>62</v>
      </c>
      <c r="S158">
        <v>1</v>
      </c>
      <c r="T158" s="1">
        <v>13.666666666666666</v>
      </c>
      <c r="U158" t="s">
        <v>63</v>
      </c>
    </row>
    <row r="159" spans="1:21" x14ac:dyDescent="0.35">
      <c r="A159" t="s">
        <v>34</v>
      </c>
      <c r="B159">
        <v>18</v>
      </c>
      <c r="C159" t="s">
        <v>52</v>
      </c>
      <c r="D159" t="s">
        <v>36</v>
      </c>
      <c r="E159" t="s">
        <v>44</v>
      </c>
      <c r="F159" t="s">
        <v>38</v>
      </c>
      <c r="G159" t="s">
        <v>45</v>
      </c>
      <c r="H159">
        <v>1</v>
      </c>
      <c r="I159">
        <v>3</v>
      </c>
      <c r="J159" t="s">
        <v>43</v>
      </c>
      <c r="K159" t="s">
        <v>42</v>
      </c>
      <c r="L159" t="s">
        <v>43</v>
      </c>
      <c r="M159" t="s">
        <v>42</v>
      </c>
      <c r="N159" t="s">
        <v>43</v>
      </c>
      <c r="O159">
        <v>5</v>
      </c>
      <c r="P159">
        <v>2</v>
      </c>
      <c r="Q159">
        <v>5</v>
      </c>
      <c r="R159" t="s">
        <v>62</v>
      </c>
      <c r="S159">
        <v>1</v>
      </c>
      <c r="T159" s="1">
        <v>9</v>
      </c>
      <c r="U159" t="s">
        <v>63</v>
      </c>
    </row>
    <row r="160" spans="1:21" x14ac:dyDescent="0.35">
      <c r="A160" t="s">
        <v>50</v>
      </c>
      <c r="B160">
        <v>16</v>
      </c>
      <c r="C160" t="s">
        <v>52</v>
      </c>
      <c r="D160" t="s">
        <v>36</v>
      </c>
      <c r="E160" t="s">
        <v>44</v>
      </c>
      <c r="F160" t="s">
        <v>38</v>
      </c>
      <c r="G160" t="s">
        <v>45</v>
      </c>
      <c r="H160">
        <v>1</v>
      </c>
      <c r="I160">
        <v>0</v>
      </c>
      <c r="J160" t="s">
        <v>43</v>
      </c>
      <c r="K160" t="s">
        <v>43</v>
      </c>
      <c r="L160" t="s">
        <v>43</v>
      </c>
      <c r="M160" t="s">
        <v>43</v>
      </c>
      <c r="N160" t="s">
        <v>43</v>
      </c>
      <c r="O160">
        <v>4</v>
      </c>
      <c r="P160">
        <v>2</v>
      </c>
      <c r="Q160">
        <v>2</v>
      </c>
      <c r="R160" t="s">
        <v>61</v>
      </c>
      <c r="S160">
        <v>1</v>
      </c>
      <c r="T160" s="1">
        <v>15.666666666666666</v>
      </c>
      <c r="U160" t="s">
        <v>62</v>
      </c>
    </row>
    <row r="161" spans="1:21" x14ac:dyDescent="0.35">
      <c r="A161" t="s">
        <v>50</v>
      </c>
      <c r="B161">
        <v>16</v>
      </c>
      <c r="C161" t="s">
        <v>35</v>
      </c>
      <c r="D161" t="s">
        <v>36</v>
      </c>
      <c r="E161" t="s">
        <v>44</v>
      </c>
      <c r="F161" t="s">
        <v>45</v>
      </c>
      <c r="G161" t="s">
        <v>48</v>
      </c>
      <c r="H161">
        <v>2</v>
      </c>
      <c r="I161">
        <v>1</v>
      </c>
      <c r="J161" t="s">
        <v>43</v>
      </c>
      <c r="K161" t="s">
        <v>42</v>
      </c>
      <c r="L161" t="s">
        <v>42</v>
      </c>
      <c r="M161" t="s">
        <v>43</v>
      </c>
      <c r="N161" t="s">
        <v>42</v>
      </c>
      <c r="O161">
        <v>4</v>
      </c>
      <c r="P161">
        <v>5</v>
      </c>
      <c r="Q161">
        <v>5</v>
      </c>
      <c r="R161" t="s">
        <v>61</v>
      </c>
      <c r="S161">
        <v>0</v>
      </c>
      <c r="T161" s="1">
        <v>11.333333333333334</v>
      </c>
      <c r="U161" t="s">
        <v>63</v>
      </c>
    </row>
    <row r="162" spans="1:21" x14ac:dyDescent="0.35">
      <c r="A162" t="s">
        <v>50</v>
      </c>
      <c r="B162">
        <v>17</v>
      </c>
      <c r="C162" t="s">
        <v>52</v>
      </c>
      <c r="D162" t="s">
        <v>47</v>
      </c>
      <c r="E162" t="s">
        <v>44</v>
      </c>
      <c r="F162" t="s">
        <v>38</v>
      </c>
      <c r="G162" t="s">
        <v>45</v>
      </c>
      <c r="H162">
        <v>1</v>
      </c>
      <c r="I162">
        <v>2</v>
      </c>
      <c r="J162" t="s">
        <v>43</v>
      </c>
      <c r="K162" t="s">
        <v>43</v>
      </c>
      <c r="L162" t="s">
        <v>43</v>
      </c>
      <c r="M162" t="s">
        <v>42</v>
      </c>
      <c r="N162" t="s">
        <v>42</v>
      </c>
      <c r="O162">
        <v>3</v>
      </c>
      <c r="P162">
        <v>3</v>
      </c>
      <c r="Q162">
        <v>2</v>
      </c>
      <c r="R162" t="s">
        <v>61</v>
      </c>
      <c r="S162">
        <v>2</v>
      </c>
      <c r="T162" s="1">
        <v>4.333333333333333</v>
      </c>
      <c r="U162" t="s">
        <v>62</v>
      </c>
    </row>
    <row r="163" spans="1:21" x14ac:dyDescent="0.35">
      <c r="A163" t="s">
        <v>50</v>
      </c>
      <c r="B163">
        <v>15</v>
      </c>
      <c r="C163" t="s">
        <v>52</v>
      </c>
      <c r="D163" t="s">
        <v>36</v>
      </c>
      <c r="E163" t="s">
        <v>44</v>
      </c>
      <c r="F163" t="s">
        <v>45</v>
      </c>
      <c r="G163" t="s">
        <v>45</v>
      </c>
      <c r="H163">
        <v>2</v>
      </c>
      <c r="I163">
        <v>2</v>
      </c>
      <c r="J163" t="s">
        <v>42</v>
      </c>
      <c r="K163" t="s">
        <v>42</v>
      </c>
      <c r="L163" t="s">
        <v>43</v>
      </c>
      <c r="M163" t="s">
        <v>43</v>
      </c>
      <c r="N163" t="s">
        <v>42</v>
      </c>
      <c r="O163">
        <v>4</v>
      </c>
      <c r="P163">
        <v>4</v>
      </c>
      <c r="Q163">
        <v>4</v>
      </c>
      <c r="R163" t="s">
        <v>62</v>
      </c>
      <c r="S163">
        <v>1</v>
      </c>
      <c r="T163" s="1">
        <v>7</v>
      </c>
      <c r="U163" t="s">
        <v>63</v>
      </c>
    </row>
    <row r="164" spans="1:21" x14ac:dyDescent="0.35">
      <c r="A164" t="s">
        <v>50</v>
      </c>
      <c r="B164">
        <v>16</v>
      </c>
      <c r="C164" t="s">
        <v>35</v>
      </c>
      <c r="D164" t="s">
        <v>47</v>
      </c>
      <c r="E164" t="s">
        <v>44</v>
      </c>
      <c r="F164" t="s">
        <v>45</v>
      </c>
      <c r="G164" t="s">
        <v>45</v>
      </c>
      <c r="H164">
        <v>1</v>
      </c>
      <c r="I164">
        <v>1</v>
      </c>
      <c r="J164" t="s">
        <v>43</v>
      </c>
      <c r="K164" t="s">
        <v>43</v>
      </c>
      <c r="L164" t="s">
        <v>43</v>
      </c>
      <c r="M164" t="s">
        <v>42</v>
      </c>
      <c r="N164" t="s">
        <v>43</v>
      </c>
      <c r="O164">
        <v>4</v>
      </c>
      <c r="P164">
        <v>4</v>
      </c>
      <c r="Q164">
        <v>4</v>
      </c>
      <c r="R164" t="s">
        <v>61</v>
      </c>
      <c r="S164">
        <v>1</v>
      </c>
      <c r="T164" s="1">
        <v>2.3333333333333335</v>
      </c>
      <c r="U164" t="s">
        <v>63</v>
      </c>
    </row>
    <row r="165" spans="1:21" x14ac:dyDescent="0.35">
      <c r="A165" t="s">
        <v>50</v>
      </c>
      <c r="B165">
        <v>17</v>
      </c>
      <c r="C165" t="s">
        <v>35</v>
      </c>
      <c r="D165" t="s">
        <v>36</v>
      </c>
      <c r="E165" t="s">
        <v>44</v>
      </c>
      <c r="F165" t="s">
        <v>38</v>
      </c>
      <c r="G165" t="s">
        <v>48</v>
      </c>
      <c r="H165">
        <v>1</v>
      </c>
      <c r="I165">
        <v>0</v>
      </c>
      <c r="J165" t="s">
        <v>43</v>
      </c>
      <c r="K165" t="s">
        <v>43</v>
      </c>
      <c r="L165" t="s">
        <v>43</v>
      </c>
      <c r="M165" t="s">
        <v>43</v>
      </c>
      <c r="N165" t="s">
        <v>43</v>
      </c>
      <c r="O165">
        <v>5</v>
      </c>
      <c r="P165">
        <v>3</v>
      </c>
      <c r="Q165">
        <v>3</v>
      </c>
      <c r="R165" t="s">
        <v>61</v>
      </c>
      <c r="S165">
        <v>0</v>
      </c>
      <c r="T165" s="1">
        <v>10</v>
      </c>
      <c r="U165" t="s">
        <v>63</v>
      </c>
    </row>
    <row r="166" spans="1:21" x14ac:dyDescent="0.35">
      <c r="A166" t="s">
        <v>50</v>
      </c>
      <c r="B166">
        <v>17</v>
      </c>
      <c r="C166" t="s">
        <v>52</v>
      </c>
      <c r="D166" t="s">
        <v>47</v>
      </c>
      <c r="E166" t="s">
        <v>44</v>
      </c>
      <c r="F166" t="s">
        <v>45</v>
      </c>
      <c r="G166" t="s">
        <v>48</v>
      </c>
      <c r="H166">
        <v>2</v>
      </c>
      <c r="I166">
        <v>3</v>
      </c>
      <c r="J166" t="s">
        <v>43</v>
      </c>
      <c r="K166" t="s">
        <v>43</v>
      </c>
      <c r="L166" t="s">
        <v>43</v>
      </c>
      <c r="M166" t="s">
        <v>42</v>
      </c>
      <c r="N166" t="s">
        <v>42</v>
      </c>
      <c r="O166">
        <v>5</v>
      </c>
      <c r="P166">
        <v>3</v>
      </c>
      <c r="Q166">
        <v>5</v>
      </c>
      <c r="R166" t="s">
        <v>61</v>
      </c>
      <c r="S166">
        <v>1</v>
      </c>
      <c r="T166" s="1">
        <v>6.666666666666667</v>
      </c>
      <c r="U166" t="s">
        <v>63</v>
      </c>
    </row>
    <row r="167" spans="1:21" x14ac:dyDescent="0.35">
      <c r="A167" t="s">
        <v>50</v>
      </c>
      <c r="B167">
        <v>16</v>
      </c>
      <c r="C167" t="s">
        <v>35</v>
      </c>
      <c r="D167" t="s">
        <v>36</v>
      </c>
      <c r="E167" t="s">
        <v>44</v>
      </c>
      <c r="F167" t="s">
        <v>48</v>
      </c>
      <c r="G167" t="s">
        <v>48</v>
      </c>
      <c r="H167">
        <v>1</v>
      </c>
      <c r="I167">
        <v>1</v>
      </c>
      <c r="J167" t="s">
        <v>43</v>
      </c>
      <c r="K167" t="s">
        <v>42</v>
      </c>
      <c r="L167" t="s">
        <v>43</v>
      </c>
      <c r="M167" t="s">
        <v>42</v>
      </c>
      <c r="N167" t="s">
        <v>43</v>
      </c>
      <c r="O167">
        <v>4</v>
      </c>
      <c r="P167">
        <v>5</v>
      </c>
      <c r="Q167">
        <v>2</v>
      </c>
      <c r="R167" t="s">
        <v>63</v>
      </c>
      <c r="S167">
        <v>1</v>
      </c>
      <c r="T167" s="1">
        <v>11.666666666666666</v>
      </c>
      <c r="U167" t="s">
        <v>61</v>
      </c>
    </row>
    <row r="168" spans="1:21" x14ac:dyDescent="0.35">
      <c r="A168" t="s">
        <v>50</v>
      </c>
      <c r="B168">
        <v>16</v>
      </c>
      <c r="C168" t="s">
        <v>35</v>
      </c>
      <c r="D168" t="s">
        <v>36</v>
      </c>
      <c r="E168" t="s">
        <v>44</v>
      </c>
      <c r="F168" t="s">
        <v>45</v>
      </c>
      <c r="G168" t="s">
        <v>45</v>
      </c>
      <c r="H168">
        <v>2</v>
      </c>
      <c r="I168">
        <v>0</v>
      </c>
      <c r="J168" t="s">
        <v>43</v>
      </c>
      <c r="K168" t="s">
        <v>43</v>
      </c>
      <c r="L168" t="s">
        <v>43</v>
      </c>
      <c r="M168" t="s">
        <v>43</v>
      </c>
      <c r="N168" t="s">
        <v>43</v>
      </c>
      <c r="O168">
        <v>4</v>
      </c>
      <c r="P168">
        <v>3</v>
      </c>
      <c r="Q168">
        <v>5</v>
      </c>
      <c r="R168" t="s">
        <v>61</v>
      </c>
      <c r="S168">
        <v>0</v>
      </c>
      <c r="T168" s="1">
        <v>10</v>
      </c>
      <c r="U168" t="s">
        <v>63</v>
      </c>
    </row>
    <row r="169" spans="1:21" x14ac:dyDescent="0.35">
      <c r="A169" t="s">
        <v>34</v>
      </c>
      <c r="B169">
        <v>16</v>
      </c>
      <c r="C169" t="s">
        <v>35</v>
      </c>
      <c r="D169" t="s">
        <v>36</v>
      </c>
      <c r="E169" t="s">
        <v>44</v>
      </c>
      <c r="F169" t="s">
        <v>28</v>
      </c>
      <c r="G169" t="s">
        <v>48</v>
      </c>
      <c r="H169">
        <v>2</v>
      </c>
      <c r="I169">
        <v>0</v>
      </c>
      <c r="J169" t="s">
        <v>43</v>
      </c>
      <c r="K169" t="s">
        <v>43</v>
      </c>
      <c r="L169" t="s">
        <v>42</v>
      </c>
      <c r="M169" t="s">
        <v>43</v>
      </c>
      <c r="N169" t="s">
        <v>42</v>
      </c>
      <c r="O169">
        <v>4</v>
      </c>
      <c r="P169">
        <v>2</v>
      </c>
      <c r="Q169">
        <v>3</v>
      </c>
      <c r="R169" t="s">
        <v>61</v>
      </c>
      <c r="S169">
        <v>0</v>
      </c>
      <c r="T169" s="1">
        <v>15</v>
      </c>
      <c r="U169" t="s">
        <v>61</v>
      </c>
    </row>
    <row r="170" spans="1:21" x14ac:dyDescent="0.35">
      <c r="A170" t="s">
        <v>34</v>
      </c>
      <c r="B170">
        <v>16</v>
      </c>
      <c r="C170" t="s">
        <v>35</v>
      </c>
      <c r="D170" t="s">
        <v>36</v>
      </c>
      <c r="E170" t="s">
        <v>44</v>
      </c>
      <c r="F170" t="s">
        <v>45</v>
      </c>
      <c r="G170" t="s">
        <v>45</v>
      </c>
      <c r="H170">
        <v>2</v>
      </c>
      <c r="I170">
        <v>0</v>
      </c>
      <c r="J170" t="s">
        <v>43</v>
      </c>
      <c r="K170" t="s">
        <v>42</v>
      </c>
      <c r="L170" t="s">
        <v>42</v>
      </c>
      <c r="M170" t="s">
        <v>43</v>
      </c>
      <c r="N170" t="s">
        <v>43</v>
      </c>
      <c r="O170">
        <v>5</v>
      </c>
      <c r="P170">
        <v>1</v>
      </c>
      <c r="Q170">
        <v>5</v>
      </c>
      <c r="R170" t="s">
        <v>61</v>
      </c>
      <c r="S170">
        <v>1</v>
      </c>
      <c r="T170" s="1">
        <v>4.333333333333333</v>
      </c>
      <c r="U170" t="s">
        <v>61</v>
      </c>
    </row>
    <row r="171" spans="1:21" x14ac:dyDescent="0.35">
      <c r="A171" t="s">
        <v>34</v>
      </c>
      <c r="B171">
        <v>16</v>
      </c>
      <c r="C171" t="s">
        <v>35</v>
      </c>
      <c r="D171" t="s">
        <v>36</v>
      </c>
      <c r="E171" t="s">
        <v>44</v>
      </c>
      <c r="F171" t="s">
        <v>28</v>
      </c>
      <c r="G171" t="s">
        <v>28</v>
      </c>
      <c r="H171">
        <v>2</v>
      </c>
      <c r="I171">
        <v>0</v>
      </c>
      <c r="J171" t="s">
        <v>43</v>
      </c>
      <c r="K171" t="s">
        <v>42</v>
      </c>
      <c r="L171" t="s">
        <v>42</v>
      </c>
      <c r="M171" t="s">
        <v>43</v>
      </c>
      <c r="N171" t="s">
        <v>42</v>
      </c>
      <c r="O171">
        <v>4</v>
      </c>
      <c r="P171">
        <v>4</v>
      </c>
      <c r="Q171">
        <v>2</v>
      </c>
      <c r="R171" t="s">
        <v>61</v>
      </c>
      <c r="S171">
        <v>0</v>
      </c>
      <c r="T171" s="1">
        <v>14</v>
      </c>
      <c r="U171" t="s">
        <v>61</v>
      </c>
    </row>
    <row r="172" spans="1:21" x14ac:dyDescent="0.35">
      <c r="A172" t="s">
        <v>50</v>
      </c>
      <c r="B172">
        <v>16</v>
      </c>
      <c r="C172" t="s">
        <v>35</v>
      </c>
      <c r="D172" t="s">
        <v>36</v>
      </c>
      <c r="E172" t="s">
        <v>44</v>
      </c>
      <c r="F172" t="s">
        <v>45</v>
      </c>
      <c r="G172" t="s">
        <v>45</v>
      </c>
      <c r="H172">
        <v>1</v>
      </c>
      <c r="I172">
        <v>2</v>
      </c>
      <c r="J172" t="s">
        <v>43</v>
      </c>
      <c r="K172" t="s">
        <v>42</v>
      </c>
      <c r="L172" t="s">
        <v>43</v>
      </c>
      <c r="M172" t="s">
        <v>42</v>
      </c>
      <c r="N172" t="s">
        <v>43</v>
      </c>
      <c r="O172">
        <v>3</v>
      </c>
      <c r="P172">
        <v>4</v>
      </c>
      <c r="Q172">
        <v>5</v>
      </c>
      <c r="R172" t="s">
        <v>61</v>
      </c>
      <c r="S172">
        <v>2</v>
      </c>
      <c r="T172" s="1">
        <v>3.6666666666666665</v>
      </c>
      <c r="U172" t="s">
        <v>63</v>
      </c>
    </row>
    <row r="173" spans="1:21" x14ac:dyDescent="0.35">
      <c r="A173" t="s">
        <v>50</v>
      </c>
      <c r="B173">
        <v>16</v>
      </c>
      <c r="C173" t="s">
        <v>35</v>
      </c>
      <c r="D173" t="s">
        <v>36</v>
      </c>
      <c r="E173" t="s">
        <v>44</v>
      </c>
      <c r="F173" t="s">
        <v>45</v>
      </c>
      <c r="G173" t="s">
        <v>45</v>
      </c>
      <c r="H173">
        <v>2</v>
      </c>
      <c r="I173">
        <v>0</v>
      </c>
      <c r="J173" t="s">
        <v>43</v>
      </c>
      <c r="K173" t="s">
        <v>42</v>
      </c>
      <c r="L173" t="s">
        <v>42</v>
      </c>
      <c r="M173" t="s">
        <v>42</v>
      </c>
      <c r="N173" t="s">
        <v>42</v>
      </c>
      <c r="O173">
        <v>4</v>
      </c>
      <c r="P173">
        <v>3</v>
      </c>
      <c r="Q173">
        <v>2</v>
      </c>
      <c r="R173" t="s">
        <v>61</v>
      </c>
      <c r="S173">
        <v>0</v>
      </c>
      <c r="T173" s="1">
        <v>14.666666666666666</v>
      </c>
      <c r="U173" t="s">
        <v>61</v>
      </c>
    </row>
    <row r="174" spans="1:21" x14ac:dyDescent="0.35">
      <c r="A174" t="s">
        <v>50</v>
      </c>
      <c r="B174">
        <v>17</v>
      </c>
      <c r="C174" t="s">
        <v>35</v>
      </c>
      <c r="D174" t="s">
        <v>47</v>
      </c>
      <c r="E174" t="s">
        <v>44</v>
      </c>
      <c r="F174" t="s">
        <v>39</v>
      </c>
      <c r="G174" t="s">
        <v>45</v>
      </c>
      <c r="H174">
        <v>2</v>
      </c>
      <c r="I174">
        <v>0</v>
      </c>
      <c r="J174" t="s">
        <v>43</v>
      </c>
      <c r="K174" t="s">
        <v>42</v>
      </c>
      <c r="L174" t="s">
        <v>42</v>
      </c>
      <c r="M174" t="s">
        <v>42</v>
      </c>
      <c r="N174" t="s">
        <v>43</v>
      </c>
      <c r="O174">
        <v>4</v>
      </c>
      <c r="P174">
        <v>4</v>
      </c>
      <c r="Q174">
        <v>4</v>
      </c>
      <c r="R174" t="s">
        <v>61</v>
      </c>
      <c r="S174">
        <v>2</v>
      </c>
      <c r="T174" s="1">
        <v>11.333333333333334</v>
      </c>
      <c r="U174" t="s">
        <v>62</v>
      </c>
    </row>
    <row r="175" spans="1:21" x14ac:dyDescent="0.35">
      <c r="A175" t="s">
        <v>34</v>
      </c>
      <c r="B175">
        <v>16</v>
      </c>
      <c r="C175" t="s">
        <v>35</v>
      </c>
      <c r="D175" t="s">
        <v>36</v>
      </c>
      <c r="E175" t="s">
        <v>44</v>
      </c>
      <c r="F175" t="s">
        <v>38</v>
      </c>
      <c r="G175" t="s">
        <v>48</v>
      </c>
      <c r="H175">
        <v>2</v>
      </c>
      <c r="I175">
        <v>3</v>
      </c>
      <c r="J175" t="s">
        <v>43</v>
      </c>
      <c r="K175" t="s">
        <v>43</v>
      </c>
      <c r="L175" t="s">
        <v>43</v>
      </c>
      <c r="M175" t="s">
        <v>42</v>
      </c>
      <c r="N175" t="s">
        <v>42</v>
      </c>
      <c r="O175">
        <v>4</v>
      </c>
      <c r="P175">
        <v>3</v>
      </c>
      <c r="Q175">
        <v>5</v>
      </c>
      <c r="R175" t="s">
        <v>61</v>
      </c>
      <c r="S175">
        <v>2</v>
      </c>
      <c r="T175" s="1">
        <v>5</v>
      </c>
      <c r="U175" t="s">
        <v>61</v>
      </c>
    </row>
    <row r="176" spans="1:21" x14ac:dyDescent="0.35">
      <c r="A176" t="s">
        <v>34</v>
      </c>
      <c r="B176">
        <v>16</v>
      </c>
      <c r="C176" t="s">
        <v>35</v>
      </c>
      <c r="D176" t="s">
        <v>47</v>
      </c>
      <c r="E176" t="s">
        <v>44</v>
      </c>
      <c r="F176" t="s">
        <v>45</v>
      </c>
      <c r="G176" t="s">
        <v>45</v>
      </c>
      <c r="H176">
        <v>2</v>
      </c>
      <c r="I176">
        <v>0</v>
      </c>
      <c r="J176" t="s">
        <v>43</v>
      </c>
      <c r="K176" t="s">
        <v>42</v>
      </c>
      <c r="L176" t="s">
        <v>42</v>
      </c>
      <c r="M176" t="s">
        <v>42</v>
      </c>
      <c r="N176" t="s">
        <v>43</v>
      </c>
      <c r="O176">
        <v>4</v>
      </c>
      <c r="P176">
        <v>4</v>
      </c>
      <c r="Q176">
        <v>5</v>
      </c>
      <c r="R176" t="s">
        <v>61</v>
      </c>
      <c r="S176">
        <v>1</v>
      </c>
      <c r="T176" s="1">
        <v>10</v>
      </c>
      <c r="U176" t="s">
        <v>61</v>
      </c>
    </row>
    <row r="177" spans="1:21" x14ac:dyDescent="0.35">
      <c r="A177" t="s">
        <v>50</v>
      </c>
      <c r="B177">
        <v>17</v>
      </c>
      <c r="C177" t="s">
        <v>35</v>
      </c>
      <c r="D177" t="s">
        <v>47</v>
      </c>
      <c r="E177" t="s">
        <v>44</v>
      </c>
      <c r="F177" t="s">
        <v>39</v>
      </c>
      <c r="G177" t="s">
        <v>45</v>
      </c>
      <c r="H177">
        <v>2</v>
      </c>
      <c r="I177">
        <v>0</v>
      </c>
      <c r="J177" t="s">
        <v>43</v>
      </c>
      <c r="K177" t="s">
        <v>43</v>
      </c>
      <c r="L177" t="s">
        <v>42</v>
      </c>
      <c r="M177" t="s">
        <v>42</v>
      </c>
      <c r="N177" t="s">
        <v>43</v>
      </c>
      <c r="O177">
        <v>4</v>
      </c>
      <c r="P177">
        <v>4</v>
      </c>
      <c r="Q177">
        <v>4</v>
      </c>
      <c r="R177" t="s">
        <v>61</v>
      </c>
      <c r="S177">
        <v>1</v>
      </c>
      <c r="T177" s="1">
        <v>9.3333333333333339</v>
      </c>
      <c r="U177" t="s">
        <v>63</v>
      </c>
    </row>
    <row r="178" spans="1:21" x14ac:dyDescent="0.35">
      <c r="A178" t="s">
        <v>34</v>
      </c>
      <c r="B178">
        <v>16</v>
      </c>
      <c r="C178" t="s">
        <v>35</v>
      </c>
      <c r="D178" t="s">
        <v>36</v>
      </c>
      <c r="E178" t="s">
        <v>44</v>
      </c>
      <c r="F178" t="s">
        <v>48</v>
      </c>
      <c r="G178" t="s">
        <v>45</v>
      </c>
      <c r="H178">
        <v>2</v>
      </c>
      <c r="I178">
        <v>0</v>
      </c>
      <c r="J178" t="s">
        <v>43</v>
      </c>
      <c r="K178" t="s">
        <v>43</v>
      </c>
      <c r="L178" t="s">
        <v>42</v>
      </c>
      <c r="M178" t="s">
        <v>42</v>
      </c>
      <c r="N178" t="s">
        <v>43</v>
      </c>
      <c r="O178">
        <v>3</v>
      </c>
      <c r="P178">
        <v>4</v>
      </c>
      <c r="Q178">
        <v>4</v>
      </c>
      <c r="R178" t="s">
        <v>61</v>
      </c>
      <c r="S178">
        <v>1</v>
      </c>
      <c r="T178" s="1">
        <v>12.333333333333334</v>
      </c>
      <c r="U178" t="s">
        <v>63</v>
      </c>
    </row>
    <row r="179" spans="1:21" x14ac:dyDescent="0.35">
      <c r="A179" t="s">
        <v>50</v>
      </c>
      <c r="B179">
        <v>17</v>
      </c>
      <c r="C179" t="s">
        <v>35</v>
      </c>
      <c r="D179" t="s">
        <v>36</v>
      </c>
      <c r="E179" t="s">
        <v>44</v>
      </c>
      <c r="F179" t="s">
        <v>45</v>
      </c>
      <c r="G179" t="s">
        <v>45</v>
      </c>
      <c r="H179">
        <v>2</v>
      </c>
      <c r="I179">
        <v>0</v>
      </c>
      <c r="J179" t="s">
        <v>43</v>
      </c>
      <c r="K179" t="s">
        <v>43</v>
      </c>
      <c r="L179" t="s">
        <v>43</v>
      </c>
      <c r="M179" t="s">
        <v>42</v>
      </c>
      <c r="N179" t="s">
        <v>43</v>
      </c>
      <c r="O179">
        <v>4</v>
      </c>
      <c r="P179">
        <v>3</v>
      </c>
      <c r="Q179">
        <v>4</v>
      </c>
      <c r="R179" t="s">
        <v>61</v>
      </c>
      <c r="S179">
        <v>1</v>
      </c>
      <c r="T179" s="1">
        <v>5.666666666666667</v>
      </c>
      <c r="U179" t="s">
        <v>63</v>
      </c>
    </row>
    <row r="180" spans="1:21" x14ac:dyDescent="0.35">
      <c r="A180" t="s">
        <v>50</v>
      </c>
      <c r="B180">
        <v>16</v>
      </c>
      <c r="C180" t="s">
        <v>52</v>
      </c>
      <c r="D180" t="s">
        <v>36</v>
      </c>
      <c r="E180" t="s">
        <v>44</v>
      </c>
      <c r="F180" t="s">
        <v>39</v>
      </c>
      <c r="G180" t="s">
        <v>48</v>
      </c>
      <c r="H180">
        <v>1</v>
      </c>
      <c r="I180">
        <v>0</v>
      </c>
      <c r="J180" t="s">
        <v>43</v>
      </c>
      <c r="K180" t="s">
        <v>42</v>
      </c>
      <c r="L180" t="s">
        <v>43</v>
      </c>
      <c r="M180" t="s">
        <v>42</v>
      </c>
      <c r="N180" t="s">
        <v>42</v>
      </c>
      <c r="O180">
        <v>4</v>
      </c>
      <c r="P180">
        <v>3</v>
      </c>
      <c r="Q180">
        <v>3</v>
      </c>
      <c r="R180" t="s">
        <v>63</v>
      </c>
      <c r="S180">
        <v>1</v>
      </c>
      <c r="T180" s="1">
        <v>9</v>
      </c>
      <c r="U180" t="s">
        <v>63</v>
      </c>
    </row>
    <row r="181" spans="1:21" x14ac:dyDescent="0.35">
      <c r="A181" t="s">
        <v>50</v>
      </c>
      <c r="B181">
        <v>17</v>
      </c>
      <c r="C181" t="s">
        <v>35</v>
      </c>
      <c r="D181" t="s">
        <v>36</v>
      </c>
      <c r="E181" t="s">
        <v>44</v>
      </c>
      <c r="F181" t="s">
        <v>45</v>
      </c>
      <c r="G181" t="s">
        <v>45</v>
      </c>
      <c r="H181">
        <v>2</v>
      </c>
      <c r="I181">
        <v>0</v>
      </c>
      <c r="J181" t="s">
        <v>43</v>
      </c>
      <c r="K181" t="s">
        <v>42</v>
      </c>
      <c r="L181" t="s">
        <v>43</v>
      </c>
      <c r="M181" t="s">
        <v>42</v>
      </c>
      <c r="N181" t="s">
        <v>42</v>
      </c>
      <c r="O181">
        <v>5</v>
      </c>
      <c r="P181">
        <v>2</v>
      </c>
      <c r="Q181">
        <v>3</v>
      </c>
      <c r="R181" t="s">
        <v>61</v>
      </c>
      <c r="S181">
        <v>0</v>
      </c>
      <c r="T181" s="1">
        <v>10.333333333333334</v>
      </c>
      <c r="U181" t="s">
        <v>61</v>
      </c>
    </row>
    <row r="182" spans="1:21" x14ac:dyDescent="0.35">
      <c r="A182" t="s">
        <v>50</v>
      </c>
      <c r="B182">
        <v>16</v>
      </c>
      <c r="C182" t="s">
        <v>35</v>
      </c>
      <c r="D182" t="s">
        <v>36</v>
      </c>
      <c r="E182" t="s">
        <v>44</v>
      </c>
      <c r="F182" t="s">
        <v>39</v>
      </c>
      <c r="G182" t="s">
        <v>45</v>
      </c>
      <c r="H182">
        <v>2</v>
      </c>
      <c r="I182">
        <v>0</v>
      </c>
      <c r="J182" t="s">
        <v>43</v>
      </c>
      <c r="K182" t="s">
        <v>42</v>
      </c>
      <c r="L182" t="s">
        <v>42</v>
      </c>
      <c r="M182" t="s">
        <v>42</v>
      </c>
      <c r="N182" t="s">
        <v>43</v>
      </c>
      <c r="O182">
        <v>3</v>
      </c>
      <c r="P182">
        <v>4</v>
      </c>
      <c r="Q182">
        <v>3</v>
      </c>
      <c r="R182" t="s">
        <v>63</v>
      </c>
      <c r="S182">
        <v>1</v>
      </c>
      <c r="T182" s="1">
        <v>8.3333333333333339</v>
      </c>
      <c r="U182" t="s">
        <v>63</v>
      </c>
    </row>
    <row r="183" spans="1:21" x14ac:dyDescent="0.35">
      <c r="A183" t="s">
        <v>50</v>
      </c>
      <c r="B183">
        <v>16</v>
      </c>
      <c r="C183" t="s">
        <v>35</v>
      </c>
      <c r="D183" t="s">
        <v>36</v>
      </c>
      <c r="E183" t="s">
        <v>44</v>
      </c>
      <c r="F183" t="s">
        <v>48</v>
      </c>
      <c r="G183" t="s">
        <v>45</v>
      </c>
      <c r="H183">
        <v>2</v>
      </c>
      <c r="I183">
        <v>0</v>
      </c>
      <c r="J183" t="s">
        <v>43</v>
      </c>
      <c r="K183" t="s">
        <v>43</v>
      </c>
      <c r="L183" t="s">
        <v>42</v>
      </c>
      <c r="M183" t="s">
        <v>42</v>
      </c>
      <c r="N183" t="s">
        <v>42</v>
      </c>
      <c r="O183">
        <v>4</v>
      </c>
      <c r="P183">
        <v>2</v>
      </c>
      <c r="Q183">
        <v>3</v>
      </c>
      <c r="R183" t="s">
        <v>61</v>
      </c>
      <c r="S183">
        <v>1</v>
      </c>
      <c r="T183" s="1">
        <v>12.333333333333334</v>
      </c>
      <c r="U183" t="s">
        <v>62</v>
      </c>
    </row>
    <row r="184" spans="1:21" x14ac:dyDescent="0.35">
      <c r="A184" t="s">
        <v>34</v>
      </c>
      <c r="B184">
        <v>17</v>
      </c>
      <c r="C184" t="s">
        <v>35</v>
      </c>
      <c r="D184" t="s">
        <v>36</v>
      </c>
      <c r="E184" t="s">
        <v>44</v>
      </c>
      <c r="F184" t="s">
        <v>48</v>
      </c>
      <c r="G184" t="s">
        <v>48</v>
      </c>
      <c r="H184">
        <v>2</v>
      </c>
      <c r="I184">
        <v>0</v>
      </c>
      <c r="J184" t="s">
        <v>43</v>
      </c>
      <c r="K184" t="s">
        <v>42</v>
      </c>
      <c r="L184" t="s">
        <v>43</v>
      </c>
      <c r="M184" t="s">
        <v>42</v>
      </c>
      <c r="N184" t="s">
        <v>43</v>
      </c>
      <c r="O184">
        <v>5</v>
      </c>
      <c r="P184">
        <v>4</v>
      </c>
      <c r="Q184">
        <v>2</v>
      </c>
      <c r="R184" t="s">
        <v>61</v>
      </c>
      <c r="S184">
        <v>0</v>
      </c>
      <c r="T184" s="1">
        <v>16.666666666666668</v>
      </c>
      <c r="U184" t="s">
        <v>63</v>
      </c>
    </row>
    <row r="185" spans="1:21" x14ac:dyDescent="0.35">
      <c r="A185" t="s">
        <v>34</v>
      </c>
      <c r="B185">
        <v>17</v>
      </c>
      <c r="C185" t="s">
        <v>35</v>
      </c>
      <c r="D185" t="s">
        <v>47</v>
      </c>
      <c r="E185" t="s">
        <v>44</v>
      </c>
      <c r="F185" t="s">
        <v>45</v>
      </c>
      <c r="G185" t="s">
        <v>45</v>
      </c>
      <c r="H185">
        <v>2</v>
      </c>
      <c r="I185">
        <v>0</v>
      </c>
      <c r="J185" t="s">
        <v>43</v>
      </c>
      <c r="K185" t="s">
        <v>42</v>
      </c>
      <c r="L185" t="s">
        <v>43</v>
      </c>
      <c r="M185" t="s">
        <v>42</v>
      </c>
      <c r="N185" t="s">
        <v>42</v>
      </c>
      <c r="O185">
        <v>5</v>
      </c>
      <c r="P185">
        <v>3</v>
      </c>
      <c r="Q185">
        <v>3</v>
      </c>
      <c r="R185" t="s">
        <v>63</v>
      </c>
      <c r="S185">
        <v>1</v>
      </c>
      <c r="T185" s="1">
        <v>8.6666666666666661</v>
      </c>
      <c r="U185" t="s">
        <v>63</v>
      </c>
    </row>
    <row r="186" spans="1:21" x14ac:dyDescent="0.35">
      <c r="A186" t="s">
        <v>34</v>
      </c>
      <c r="B186">
        <v>16</v>
      </c>
      <c r="C186" t="s">
        <v>35</v>
      </c>
      <c r="D186" t="s">
        <v>36</v>
      </c>
      <c r="E186" t="s">
        <v>44</v>
      </c>
      <c r="F186" t="s">
        <v>45</v>
      </c>
      <c r="G186" t="s">
        <v>45</v>
      </c>
      <c r="H186">
        <v>2</v>
      </c>
      <c r="I186">
        <v>0</v>
      </c>
      <c r="J186" t="s">
        <v>43</v>
      </c>
      <c r="K186" t="s">
        <v>42</v>
      </c>
      <c r="L186" t="s">
        <v>42</v>
      </c>
      <c r="M186" t="s">
        <v>43</v>
      </c>
      <c r="N186" t="s">
        <v>43</v>
      </c>
      <c r="O186">
        <v>1</v>
      </c>
      <c r="P186">
        <v>2</v>
      </c>
      <c r="Q186">
        <v>2</v>
      </c>
      <c r="R186" t="s">
        <v>63</v>
      </c>
      <c r="S186">
        <v>1</v>
      </c>
      <c r="T186" s="1">
        <v>12.333333333333334</v>
      </c>
      <c r="U186" t="s">
        <v>62</v>
      </c>
    </row>
    <row r="187" spans="1:21" x14ac:dyDescent="0.35">
      <c r="A187" t="s">
        <v>50</v>
      </c>
      <c r="B187">
        <v>17</v>
      </c>
      <c r="C187" t="s">
        <v>35</v>
      </c>
      <c r="D187" t="s">
        <v>36</v>
      </c>
      <c r="E187" t="s">
        <v>44</v>
      </c>
      <c r="F187" t="s">
        <v>48</v>
      </c>
      <c r="G187" t="s">
        <v>48</v>
      </c>
      <c r="H187">
        <v>2</v>
      </c>
      <c r="I187">
        <v>0</v>
      </c>
      <c r="J187" t="s">
        <v>43</v>
      </c>
      <c r="K187" t="s">
        <v>42</v>
      </c>
      <c r="L187" t="s">
        <v>43</v>
      </c>
      <c r="M187" t="s">
        <v>42</v>
      </c>
      <c r="N187" t="s">
        <v>42</v>
      </c>
      <c r="O187">
        <v>4</v>
      </c>
      <c r="P187">
        <v>3</v>
      </c>
      <c r="Q187">
        <v>4</v>
      </c>
      <c r="R187" t="s">
        <v>63</v>
      </c>
      <c r="S187">
        <v>1</v>
      </c>
      <c r="T187" s="1">
        <v>11.666666666666666</v>
      </c>
      <c r="U187" t="s">
        <v>63</v>
      </c>
    </row>
    <row r="188" spans="1:21" x14ac:dyDescent="0.35">
      <c r="A188" t="s">
        <v>50</v>
      </c>
      <c r="B188">
        <v>16</v>
      </c>
      <c r="C188" t="s">
        <v>35</v>
      </c>
      <c r="D188" t="s">
        <v>36</v>
      </c>
      <c r="E188" t="s">
        <v>44</v>
      </c>
      <c r="F188" t="s">
        <v>48</v>
      </c>
      <c r="G188" t="s">
        <v>48</v>
      </c>
      <c r="H188">
        <v>1</v>
      </c>
      <c r="I188">
        <v>0</v>
      </c>
      <c r="J188" t="s">
        <v>43</v>
      </c>
      <c r="K188" t="s">
        <v>42</v>
      </c>
      <c r="L188" t="s">
        <v>42</v>
      </c>
      <c r="M188" t="s">
        <v>42</v>
      </c>
      <c r="N188" t="s">
        <v>42</v>
      </c>
      <c r="O188">
        <v>3</v>
      </c>
      <c r="P188">
        <v>3</v>
      </c>
      <c r="Q188">
        <v>3</v>
      </c>
      <c r="R188" t="s">
        <v>61</v>
      </c>
      <c r="S188">
        <v>1</v>
      </c>
      <c r="T188" s="1">
        <v>11.333333333333334</v>
      </c>
      <c r="U188" t="s">
        <v>62</v>
      </c>
    </row>
    <row r="189" spans="1:21" x14ac:dyDescent="0.35">
      <c r="A189" t="s">
        <v>50</v>
      </c>
      <c r="B189">
        <v>16</v>
      </c>
      <c r="C189" t="s">
        <v>35</v>
      </c>
      <c r="D189" t="s">
        <v>47</v>
      </c>
      <c r="E189" t="s">
        <v>44</v>
      </c>
      <c r="F189" t="s">
        <v>45</v>
      </c>
      <c r="G189" t="s">
        <v>45</v>
      </c>
      <c r="H189">
        <v>2</v>
      </c>
      <c r="I189">
        <v>0</v>
      </c>
      <c r="J189" t="s">
        <v>43</v>
      </c>
      <c r="K189" t="s">
        <v>43</v>
      </c>
      <c r="L189" t="s">
        <v>42</v>
      </c>
      <c r="M189" t="s">
        <v>42</v>
      </c>
      <c r="N189" t="s">
        <v>42</v>
      </c>
      <c r="O189">
        <v>4</v>
      </c>
      <c r="P189">
        <v>2</v>
      </c>
      <c r="Q189">
        <v>3</v>
      </c>
      <c r="R189" t="s">
        <v>61</v>
      </c>
      <c r="S189">
        <v>0</v>
      </c>
      <c r="T189" s="1">
        <v>15</v>
      </c>
      <c r="U189" t="s">
        <v>62</v>
      </c>
    </row>
    <row r="190" spans="1:21" x14ac:dyDescent="0.35">
      <c r="A190" t="s">
        <v>34</v>
      </c>
      <c r="B190">
        <v>17</v>
      </c>
      <c r="C190" t="s">
        <v>35</v>
      </c>
      <c r="D190" t="s">
        <v>36</v>
      </c>
      <c r="E190" t="s">
        <v>37</v>
      </c>
      <c r="F190" t="s">
        <v>28</v>
      </c>
      <c r="G190" t="s">
        <v>45</v>
      </c>
      <c r="H190">
        <v>2</v>
      </c>
      <c r="I190">
        <v>0</v>
      </c>
      <c r="J190" t="s">
        <v>43</v>
      </c>
      <c r="K190" t="s">
        <v>42</v>
      </c>
      <c r="L190" t="s">
        <v>43</v>
      </c>
      <c r="M190" t="s">
        <v>43</v>
      </c>
      <c r="N190" t="s">
        <v>42</v>
      </c>
      <c r="O190">
        <v>3</v>
      </c>
      <c r="P190">
        <v>3</v>
      </c>
      <c r="Q190">
        <v>3</v>
      </c>
      <c r="R190" t="s">
        <v>62</v>
      </c>
      <c r="S190">
        <v>1</v>
      </c>
      <c r="T190" s="1">
        <v>8</v>
      </c>
      <c r="U190" t="s">
        <v>62</v>
      </c>
    </row>
    <row r="191" spans="1:21" x14ac:dyDescent="0.35">
      <c r="A191" t="s">
        <v>50</v>
      </c>
      <c r="B191">
        <v>17</v>
      </c>
      <c r="C191" t="s">
        <v>52</v>
      </c>
      <c r="D191" t="s">
        <v>36</v>
      </c>
      <c r="E191" t="s">
        <v>44</v>
      </c>
      <c r="F191" t="s">
        <v>38</v>
      </c>
      <c r="G191" t="s">
        <v>45</v>
      </c>
      <c r="H191">
        <v>2</v>
      </c>
      <c r="I191">
        <v>0</v>
      </c>
      <c r="J191" t="s">
        <v>43</v>
      </c>
      <c r="K191" t="s">
        <v>43</v>
      </c>
      <c r="L191" t="s">
        <v>43</v>
      </c>
      <c r="M191" t="s">
        <v>43</v>
      </c>
      <c r="N191" t="s">
        <v>43</v>
      </c>
      <c r="O191">
        <v>3</v>
      </c>
      <c r="P191">
        <v>1</v>
      </c>
      <c r="Q191">
        <v>3</v>
      </c>
      <c r="R191" t="s">
        <v>61</v>
      </c>
      <c r="S191">
        <v>0</v>
      </c>
      <c r="T191" s="1">
        <v>9</v>
      </c>
      <c r="U191" t="s">
        <v>63</v>
      </c>
    </row>
    <row r="192" spans="1:21" x14ac:dyDescent="0.35">
      <c r="A192" t="s">
        <v>34</v>
      </c>
      <c r="B192">
        <v>16</v>
      </c>
      <c r="C192" t="s">
        <v>35</v>
      </c>
      <c r="D192" t="s">
        <v>36</v>
      </c>
      <c r="E192" t="s">
        <v>44</v>
      </c>
      <c r="F192" t="s">
        <v>48</v>
      </c>
      <c r="G192" t="s">
        <v>48</v>
      </c>
      <c r="H192">
        <v>2</v>
      </c>
      <c r="I192">
        <v>0</v>
      </c>
      <c r="J192" t="s">
        <v>43</v>
      </c>
      <c r="K192" t="s">
        <v>43</v>
      </c>
      <c r="L192" t="s">
        <v>43</v>
      </c>
      <c r="M192" t="s">
        <v>43</v>
      </c>
      <c r="N192" t="s">
        <v>43</v>
      </c>
      <c r="O192">
        <v>4</v>
      </c>
      <c r="P192">
        <v>3</v>
      </c>
      <c r="Q192">
        <v>3</v>
      </c>
      <c r="R192" t="s">
        <v>63</v>
      </c>
      <c r="S192">
        <v>0</v>
      </c>
      <c r="T192" s="1">
        <v>12</v>
      </c>
      <c r="U192" t="s">
        <v>61</v>
      </c>
    </row>
    <row r="193" spans="1:21" x14ac:dyDescent="0.35">
      <c r="A193" t="s">
        <v>34</v>
      </c>
      <c r="B193">
        <v>17</v>
      </c>
      <c r="C193" t="s">
        <v>35</v>
      </c>
      <c r="D193" t="s">
        <v>36</v>
      </c>
      <c r="E193" t="s">
        <v>44</v>
      </c>
      <c r="F193" t="s">
        <v>38</v>
      </c>
      <c r="G193" t="s">
        <v>48</v>
      </c>
      <c r="H193">
        <v>2</v>
      </c>
      <c r="I193">
        <v>0</v>
      </c>
      <c r="J193" t="s">
        <v>43</v>
      </c>
      <c r="K193" t="s">
        <v>43</v>
      </c>
      <c r="L193" t="s">
        <v>43</v>
      </c>
      <c r="M193" t="s">
        <v>42</v>
      </c>
      <c r="N193" t="s">
        <v>43</v>
      </c>
      <c r="O193">
        <v>5</v>
      </c>
      <c r="P193">
        <v>3</v>
      </c>
      <c r="Q193">
        <v>3</v>
      </c>
      <c r="R193" t="s">
        <v>61</v>
      </c>
      <c r="S193">
        <v>0</v>
      </c>
      <c r="T193" s="1">
        <v>8.3333333333333339</v>
      </c>
      <c r="U193" t="s">
        <v>61</v>
      </c>
    </row>
    <row r="194" spans="1:21" x14ac:dyDescent="0.35">
      <c r="A194" t="s">
        <v>50</v>
      </c>
      <c r="B194">
        <v>17</v>
      </c>
      <c r="C194" t="s">
        <v>35</v>
      </c>
      <c r="D194" t="s">
        <v>36</v>
      </c>
      <c r="E194" t="s">
        <v>44</v>
      </c>
      <c r="F194" t="s">
        <v>38</v>
      </c>
      <c r="G194" t="s">
        <v>48</v>
      </c>
      <c r="H194">
        <v>2</v>
      </c>
      <c r="I194">
        <v>0</v>
      </c>
      <c r="J194" t="s">
        <v>43</v>
      </c>
      <c r="K194" t="s">
        <v>43</v>
      </c>
      <c r="L194" t="s">
        <v>42</v>
      </c>
      <c r="M194" t="s">
        <v>42</v>
      </c>
      <c r="N194" t="s">
        <v>43</v>
      </c>
      <c r="O194">
        <v>4</v>
      </c>
      <c r="P194">
        <v>4</v>
      </c>
      <c r="Q194">
        <v>4</v>
      </c>
      <c r="R194" t="s">
        <v>63</v>
      </c>
      <c r="S194">
        <v>0</v>
      </c>
      <c r="T194" s="1">
        <v>7.666666666666667</v>
      </c>
      <c r="U194" t="s">
        <v>63</v>
      </c>
    </row>
    <row r="195" spans="1:21" x14ac:dyDescent="0.35">
      <c r="A195" t="s">
        <v>50</v>
      </c>
      <c r="B195">
        <v>16</v>
      </c>
      <c r="C195" t="s">
        <v>52</v>
      </c>
      <c r="D195" t="s">
        <v>36</v>
      </c>
      <c r="E195" t="s">
        <v>44</v>
      </c>
      <c r="F195" t="s">
        <v>48</v>
      </c>
      <c r="G195" t="s">
        <v>48</v>
      </c>
      <c r="H195">
        <v>1</v>
      </c>
      <c r="I195">
        <v>0</v>
      </c>
      <c r="J195" t="s">
        <v>43</v>
      </c>
      <c r="K195" t="s">
        <v>42</v>
      </c>
      <c r="L195" t="s">
        <v>43</v>
      </c>
      <c r="M195" t="s">
        <v>42</v>
      </c>
      <c r="N195" t="s">
        <v>43</v>
      </c>
      <c r="O195">
        <v>4</v>
      </c>
      <c r="P195">
        <v>3</v>
      </c>
      <c r="Q195">
        <v>2</v>
      </c>
      <c r="R195" t="s">
        <v>62</v>
      </c>
      <c r="S195">
        <v>0</v>
      </c>
      <c r="T195" s="1">
        <v>9</v>
      </c>
      <c r="U195" t="s">
        <v>63</v>
      </c>
    </row>
    <row r="196" spans="1:21" x14ac:dyDescent="0.35">
      <c r="A196" t="s">
        <v>50</v>
      </c>
      <c r="B196">
        <v>16</v>
      </c>
      <c r="C196" t="s">
        <v>35</v>
      </c>
      <c r="D196" t="s">
        <v>36</v>
      </c>
      <c r="E196" t="s">
        <v>44</v>
      </c>
      <c r="F196" t="s">
        <v>45</v>
      </c>
      <c r="G196" t="s">
        <v>45</v>
      </c>
      <c r="H196">
        <v>1</v>
      </c>
      <c r="I196">
        <v>0</v>
      </c>
      <c r="J196" t="s">
        <v>43</v>
      </c>
      <c r="K196" t="s">
        <v>43</v>
      </c>
      <c r="L196" t="s">
        <v>43</v>
      </c>
      <c r="M196" t="s">
        <v>43</v>
      </c>
      <c r="N196" t="s">
        <v>43</v>
      </c>
      <c r="O196">
        <v>5</v>
      </c>
      <c r="P196">
        <v>3</v>
      </c>
      <c r="Q196">
        <v>3</v>
      </c>
      <c r="R196" t="s">
        <v>61</v>
      </c>
      <c r="S196">
        <v>0</v>
      </c>
      <c r="T196" s="1">
        <v>13.666666666666666</v>
      </c>
      <c r="U196" t="s">
        <v>61</v>
      </c>
    </row>
    <row r="197" spans="1:21" x14ac:dyDescent="0.35">
      <c r="A197" t="s">
        <v>34</v>
      </c>
      <c r="B197">
        <v>17</v>
      </c>
      <c r="C197" t="s">
        <v>35</v>
      </c>
      <c r="D197" t="s">
        <v>47</v>
      </c>
      <c r="E197" t="s">
        <v>44</v>
      </c>
      <c r="F197" t="s">
        <v>48</v>
      </c>
      <c r="G197" t="s">
        <v>48</v>
      </c>
      <c r="H197">
        <v>2</v>
      </c>
      <c r="I197">
        <v>0</v>
      </c>
      <c r="J197" t="s">
        <v>43</v>
      </c>
      <c r="K197" t="s">
        <v>43</v>
      </c>
      <c r="L197" t="s">
        <v>43</v>
      </c>
      <c r="M197" t="s">
        <v>42</v>
      </c>
      <c r="N197" t="s">
        <v>42</v>
      </c>
      <c r="O197">
        <v>4</v>
      </c>
      <c r="P197">
        <v>3</v>
      </c>
      <c r="Q197">
        <v>2</v>
      </c>
      <c r="R197" t="s">
        <v>61</v>
      </c>
      <c r="S197">
        <v>0</v>
      </c>
      <c r="T197" s="1">
        <v>14.666666666666666</v>
      </c>
      <c r="U197" t="s">
        <v>61</v>
      </c>
    </row>
    <row r="198" spans="1:21" x14ac:dyDescent="0.35">
      <c r="A198" t="s">
        <v>50</v>
      </c>
      <c r="B198">
        <v>17</v>
      </c>
      <c r="C198" t="s">
        <v>35</v>
      </c>
      <c r="D198" t="s">
        <v>36</v>
      </c>
      <c r="E198" t="s">
        <v>44</v>
      </c>
      <c r="F198" t="s">
        <v>48</v>
      </c>
      <c r="G198" t="s">
        <v>39</v>
      </c>
      <c r="H198">
        <v>1</v>
      </c>
      <c r="I198">
        <v>0</v>
      </c>
      <c r="J198" t="s">
        <v>43</v>
      </c>
      <c r="K198" t="s">
        <v>43</v>
      </c>
      <c r="L198" t="s">
        <v>43</v>
      </c>
      <c r="M198" t="s">
        <v>43</v>
      </c>
      <c r="N198" t="s">
        <v>43</v>
      </c>
      <c r="O198">
        <v>5</v>
      </c>
      <c r="P198">
        <v>2</v>
      </c>
      <c r="Q198">
        <v>3</v>
      </c>
      <c r="R198" t="s">
        <v>61</v>
      </c>
      <c r="S198">
        <v>1</v>
      </c>
      <c r="T198" s="1">
        <v>16</v>
      </c>
      <c r="U198" t="s">
        <v>62</v>
      </c>
    </row>
    <row r="199" spans="1:21" x14ac:dyDescent="0.35">
      <c r="A199" t="s">
        <v>50</v>
      </c>
      <c r="B199">
        <v>16</v>
      </c>
      <c r="C199" t="s">
        <v>52</v>
      </c>
      <c r="D199" t="s">
        <v>47</v>
      </c>
      <c r="E199" t="s">
        <v>44</v>
      </c>
      <c r="F199" t="s">
        <v>39</v>
      </c>
      <c r="G199" t="s">
        <v>45</v>
      </c>
      <c r="H199">
        <v>1</v>
      </c>
      <c r="I199">
        <v>0</v>
      </c>
      <c r="J199" t="s">
        <v>43</v>
      </c>
      <c r="K199" t="s">
        <v>42</v>
      </c>
      <c r="L199" t="s">
        <v>42</v>
      </c>
      <c r="M199" t="s">
        <v>42</v>
      </c>
      <c r="N199" t="s">
        <v>43</v>
      </c>
      <c r="O199">
        <v>3</v>
      </c>
      <c r="P199">
        <v>3</v>
      </c>
      <c r="Q199">
        <v>4</v>
      </c>
      <c r="R199" t="s">
        <v>62</v>
      </c>
      <c r="S199">
        <v>0</v>
      </c>
      <c r="T199" s="1">
        <v>9.3333333333333339</v>
      </c>
      <c r="U199" t="s">
        <v>63</v>
      </c>
    </row>
    <row r="200" spans="1:21" x14ac:dyDescent="0.35">
      <c r="A200" t="s">
        <v>34</v>
      </c>
      <c r="B200">
        <v>17</v>
      </c>
      <c r="C200" t="s">
        <v>35</v>
      </c>
      <c r="D200" t="s">
        <v>36</v>
      </c>
      <c r="E200" t="s">
        <v>44</v>
      </c>
      <c r="F200" t="s">
        <v>48</v>
      </c>
      <c r="G200" t="s">
        <v>39</v>
      </c>
      <c r="H200">
        <v>1</v>
      </c>
      <c r="I200">
        <v>1</v>
      </c>
      <c r="J200" t="s">
        <v>43</v>
      </c>
      <c r="K200" t="s">
        <v>42</v>
      </c>
      <c r="L200" t="s">
        <v>43</v>
      </c>
      <c r="M200" t="s">
        <v>43</v>
      </c>
      <c r="N200" t="s">
        <v>43</v>
      </c>
      <c r="O200">
        <v>4</v>
      </c>
      <c r="P200">
        <v>2</v>
      </c>
      <c r="Q200">
        <v>4</v>
      </c>
      <c r="R200" t="s">
        <v>63</v>
      </c>
      <c r="S200">
        <v>0</v>
      </c>
      <c r="T200" s="1">
        <v>18</v>
      </c>
      <c r="U200" t="s">
        <v>63</v>
      </c>
    </row>
    <row r="201" spans="1:21" x14ac:dyDescent="0.35">
      <c r="A201" t="s">
        <v>34</v>
      </c>
      <c r="B201">
        <v>16</v>
      </c>
      <c r="C201" t="s">
        <v>35</v>
      </c>
      <c r="D201" t="s">
        <v>47</v>
      </c>
      <c r="E201" t="s">
        <v>44</v>
      </c>
      <c r="F201" t="s">
        <v>39</v>
      </c>
      <c r="G201" t="s">
        <v>39</v>
      </c>
      <c r="H201">
        <v>2</v>
      </c>
      <c r="I201">
        <v>0</v>
      </c>
      <c r="J201" t="s">
        <v>43</v>
      </c>
      <c r="K201" t="s">
        <v>42</v>
      </c>
      <c r="L201" t="s">
        <v>42</v>
      </c>
      <c r="M201" t="s">
        <v>43</v>
      </c>
      <c r="N201" t="s">
        <v>43</v>
      </c>
      <c r="O201">
        <v>4</v>
      </c>
      <c r="P201">
        <v>5</v>
      </c>
      <c r="Q201">
        <v>2</v>
      </c>
      <c r="R201" t="s">
        <v>61</v>
      </c>
      <c r="S201">
        <v>0</v>
      </c>
      <c r="T201" s="1">
        <v>9.3333333333333339</v>
      </c>
      <c r="U201" t="s">
        <v>62</v>
      </c>
    </row>
    <row r="202" spans="1:21" x14ac:dyDescent="0.35">
      <c r="A202" t="s">
        <v>34</v>
      </c>
      <c r="B202">
        <v>16</v>
      </c>
      <c r="C202" t="s">
        <v>35</v>
      </c>
      <c r="D202" t="s">
        <v>36</v>
      </c>
      <c r="E202" t="s">
        <v>44</v>
      </c>
      <c r="F202" t="s">
        <v>28</v>
      </c>
      <c r="G202" t="s">
        <v>45</v>
      </c>
      <c r="H202">
        <v>2</v>
      </c>
      <c r="I202">
        <v>0</v>
      </c>
      <c r="J202" t="s">
        <v>43</v>
      </c>
      <c r="K202" t="s">
        <v>42</v>
      </c>
      <c r="L202" t="s">
        <v>43</v>
      </c>
      <c r="M202" t="s">
        <v>42</v>
      </c>
      <c r="N202" t="s">
        <v>43</v>
      </c>
      <c r="O202">
        <v>4</v>
      </c>
      <c r="P202">
        <v>3</v>
      </c>
      <c r="Q202">
        <v>5</v>
      </c>
      <c r="R202" t="s">
        <v>61</v>
      </c>
      <c r="S202">
        <v>0</v>
      </c>
      <c r="T202" s="1">
        <v>16</v>
      </c>
      <c r="U202" t="s">
        <v>63</v>
      </c>
    </row>
    <row r="203" spans="1:21" x14ac:dyDescent="0.35">
      <c r="A203" t="s">
        <v>34</v>
      </c>
      <c r="B203">
        <v>16</v>
      </c>
      <c r="C203" t="s">
        <v>35</v>
      </c>
      <c r="D203" t="s">
        <v>36</v>
      </c>
      <c r="E203" t="s">
        <v>44</v>
      </c>
      <c r="F203" t="s">
        <v>45</v>
      </c>
      <c r="G203" t="s">
        <v>45</v>
      </c>
      <c r="H203">
        <v>2</v>
      </c>
      <c r="I203">
        <v>0</v>
      </c>
      <c r="J203" t="s">
        <v>42</v>
      </c>
      <c r="K203" t="s">
        <v>42</v>
      </c>
      <c r="L203" t="s">
        <v>42</v>
      </c>
      <c r="M203" t="s">
        <v>42</v>
      </c>
      <c r="N203" t="s">
        <v>43</v>
      </c>
      <c r="O203">
        <v>4</v>
      </c>
      <c r="P203">
        <v>4</v>
      </c>
      <c r="Q203">
        <v>3</v>
      </c>
      <c r="R203" t="s">
        <v>62</v>
      </c>
      <c r="S203">
        <v>0</v>
      </c>
      <c r="T203" s="1">
        <v>9.3333333333333339</v>
      </c>
      <c r="U203" t="s">
        <v>62</v>
      </c>
    </row>
    <row r="204" spans="1:21" x14ac:dyDescent="0.35">
      <c r="A204" t="s">
        <v>34</v>
      </c>
      <c r="B204">
        <v>17</v>
      </c>
      <c r="C204" t="s">
        <v>35</v>
      </c>
      <c r="D204" t="s">
        <v>36</v>
      </c>
      <c r="E204" t="s">
        <v>44</v>
      </c>
      <c r="F204" t="s">
        <v>45</v>
      </c>
      <c r="G204" t="s">
        <v>45</v>
      </c>
      <c r="H204">
        <v>2</v>
      </c>
      <c r="I204">
        <v>0</v>
      </c>
      <c r="J204" t="s">
        <v>43</v>
      </c>
      <c r="K204" t="s">
        <v>42</v>
      </c>
      <c r="L204" t="s">
        <v>42</v>
      </c>
      <c r="M204" t="s">
        <v>43</v>
      </c>
      <c r="N204" t="s">
        <v>43</v>
      </c>
      <c r="O204">
        <v>4</v>
      </c>
      <c r="P204">
        <v>4</v>
      </c>
      <c r="Q204">
        <v>4</v>
      </c>
      <c r="R204" t="s">
        <v>61</v>
      </c>
      <c r="S204">
        <v>0</v>
      </c>
      <c r="T204" s="1">
        <v>9.3333333333333339</v>
      </c>
      <c r="U204" t="s">
        <v>62</v>
      </c>
    </row>
    <row r="205" spans="1:21" x14ac:dyDescent="0.35">
      <c r="A205" t="s">
        <v>34</v>
      </c>
      <c r="B205">
        <v>17</v>
      </c>
      <c r="C205" t="s">
        <v>52</v>
      </c>
      <c r="D205" t="s">
        <v>36</v>
      </c>
      <c r="E205" t="s">
        <v>44</v>
      </c>
      <c r="F205" t="s">
        <v>45</v>
      </c>
      <c r="G205" t="s">
        <v>45</v>
      </c>
      <c r="H205">
        <v>1</v>
      </c>
      <c r="I205">
        <v>0</v>
      </c>
      <c r="J205" t="s">
        <v>43</v>
      </c>
      <c r="K205" t="s">
        <v>42</v>
      </c>
      <c r="L205" t="s">
        <v>43</v>
      </c>
      <c r="M205" t="s">
        <v>43</v>
      </c>
      <c r="N205" t="s">
        <v>43</v>
      </c>
      <c r="O205">
        <v>5</v>
      </c>
      <c r="P205">
        <v>3</v>
      </c>
      <c r="Q205">
        <v>2</v>
      </c>
      <c r="R205" t="s">
        <v>63</v>
      </c>
      <c r="S205">
        <v>1</v>
      </c>
      <c r="T205" s="1">
        <v>6.333333333333333</v>
      </c>
      <c r="U205" t="s">
        <v>62</v>
      </c>
    </row>
    <row r="206" spans="1:21" x14ac:dyDescent="0.35">
      <c r="A206" t="s">
        <v>34</v>
      </c>
      <c r="B206">
        <v>16</v>
      </c>
      <c r="C206" t="s">
        <v>52</v>
      </c>
      <c r="D206" t="s">
        <v>36</v>
      </c>
      <c r="E206" t="s">
        <v>44</v>
      </c>
      <c r="F206" t="s">
        <v>48</v>
      </c>
      <c r="G206" t="s">
        <v>48</v>
      </c>
      <c r="H206">
        <v>4</v>
      </c>
      <c r="I206">
        <v>0</v>
      </c>
      <c r="J206" t="s">
        <v>43</v>
      </c>
      <c r="K206" t="s">
        <v>42</v>
      </c>
      <c r="L206" t="s">
        <v>42</v>
      </c>
      <c r="M206" t="s">
        <v>42</v>
      </c>
      <c r="N206" t="s">
        <v>43</v>
      </c>
      <c r="O206">
        <v>5</v>
      </c>
      <c r="P206">
        <v>3</v>
      </c>
      <c r="Q206">
        <v>5</v>
      </c>
      <c r="R206" t="s">
        <v>62</v>
      </c>
      <c r="S206">
        <v>0</v>
      </c>
      <c r="T206" s="1">
        <v>10.333333333333334</v>
      </c>
      <c r="U206" t="s">
        <v>61</v>
      </c>
    </row>
    <row r="207" spans="1:21" x14ac:dyDescent="0.35">
      <c r="A207" t="s">
        <v>34</v>
      </c>
      <c r="B207">
        <v>17</v>
      </c>
      <c r="C207" t="s">
        <v>35</v>
      </c>
      <c r="D207" t="s">
        <v>36</v>
      </c>
      <c r="E207" t="s">
        <v>44</v>
      </c>
      <c r="F207" t="s">
        <v>38</v>
      </c>
      <c r="G207" t="s">
        <v>48</v>
      </c>
      <c r="H207">
        <v>3</v>
      </c>
      <c r="I207">
        <v>1</v>
      </c>
      <c r="J207" t="s">
        <v>43</v>
      </c>
      <c r="K207" t="s">
        <v>42</v>
      </c>
      <c r="L207" t="s">
        <v>42</v>
      </c>
      <c r="M207" t="s">
        <v>43</v>
      </c>
      <c r="N207" t="s">
        <v>42</v>
      </c>
      <c r="O207">
        <v>4</v>
      </c>
      <c r="P207">
        <v>4</v>
      </c>
      <c r="Q207">
        <v>3</v>
      </c>
      <c r="R207" t="s">
        <v>63</v>
      </c>
      <c r="S207">
        <v>1</v>
      </c>
      <c r="T207" s="1">
        <v>9.3333333333333339</v>
      </c>
      <c r="U207" t="s">
        <v>63</v>
      </c>
    </row>
    <row r="208" spans="1:21" x14ac:dyDescent="0.35">
      <c r="A208" t="s">
        <v>34</v>
      </c>
      <c r="B208">
        <v>16</v>
      </c>
      <c r="C208" t="s">
        <v>35</v>
      </c>
      <c r="D208" t="s">
        <v>36</v>
      </c>
      <c r="E208" t="s">
        <v>37</v>
      </c>
      <c r="F208" t="s">
        <v>48</v>
      </c>
      <c r="G208" t="s">
        <v>45</v>
      </c>
      <c r="H208">
        <v>2</v>
      </c>
      <c r="I208">
        <v>3</v>
      </c>
      <c r="J208" t="s">
        <v>43</v>
      </c>
      <c r="K208" t="s">
        <v>42</v>
      </c>
      <c r="L208" t="s">
        <v>42</v>
      </c>
      <c r="M208" t="s">
        <v>43</v>
      </c>
      <c r="N208" t="s">
        <v>43</v>
      </c>
      <c r="O208">
        <v>2</v>
      </c>
      <c r="P208">
        <v>3</v>
      </c>
      <c r="Q208">
        <v>3</v>
      </c>
      <c r="R208" t="s">
        <v>62</v>
      </c>
      <c r="S208">
        <v>0</v>
      </c>
      <c r="T208" s="1">
        <v>7</v>
      </c>
      <c r="U208" t="s">
        <v>62</v>
      </c>
    </row>
    <row r="209" spans="1:21" x14ac:dyDescent="0.35">
      <c r="A209" t="s">
        <v>34</v>
      </c>
      <c r="B209">
        <v>16</v>
      </c>
      <c r="C209" t="s">
        <v>35</v>
      </c>
      <c r="D209" t="s">
        <v>36</v>
      </c>
      <c r="E209" t="s">
        <v>44</v>
      </c>
      <c r="F209" t="s">
        <v>39</v>
      </c>
      <c r="G209" t="s">
        <v>45</v>
      </c>
      <c r="H209">
        <v>2</v>
      </c>
      <c r="I209">
        <v>0</v>
      </c>
      <c r="J209" t="s">
        <v>43</v>
      </c>
      <c r="K209" t="s">
        <v>43</v>
      </c>
      <c r="L209" t="s">
        <v>42</v>
      </c>
      <c r="M209" t="s">
        <v>42</v>
      </c>
      <c r="N209" t="s">
        <v>42</v>
      </c>
      <c r="O209">
        <v>1</v>
      </c>
      <c r="P209">
        <v>3</v>
      </c>
      <c r="Q209">
        <v>2</v>
      </c>
      <c r="R209" t="s">
        <v>63</v>
      </c>
      <c r="S209">
        <v>0</v>
      </c>
      <c r="T209" s="1">
        <v>12</v>
      </c>
      <c r="U209" t="s">
        <v>61</v>
      </c>
    </row>
    <row r="210" spans="1:21" x14ac:dyDescent="0.35">
      <c r="A210" t="s">
        <v>34</v>
      </c>
      <c r="B210">
        <v>16</v>
      </c>
      <c r="C210" t="s">
        <v>35</v>
      </c>
      <c r="D210" t="s">
        <v>36</v>
      </c>
      <c r="E210" t="s">
        <v>44</v>
      </c>
      <c r="F210" t="s">
        <v>38</v>
      </c>
      <c r="G210" t="s">
        <v>45</v>
      </c>
      <c r="H210">
        <v>1</v>
      </c>
      <c r="I210">
        <v>0</v>
      </c>
      <c r="J210" t="s">
        <v>43</v>
      </c>
      <c r="K210" t="s">
        <v>42</v>
      </c>
      <c r="L210" t="s">
        <v>42</v>
      </c>
      <c r="M210" t="s">
        <v>43</v>
      </c>
      <c r="N210" t="s">
        <v>43</v>
      </c>
      <c r="O210">
        <v>4</v>
      </c>
      <c r="P210">
        <v>3</v>
      </c>
      <c r="Q210">
        <v>2</v>
      </c>
      <c r="R210" t="s">
        <v>62</v>
      </c>
      <c r="S210">
        <v>0</v>
      </c>
      <c r="T210" s="1">
        <v>9.3333333333333339</v>
      </c>
      <c r="U210" t="s">
        <v>63</v>
      </c>
    </row>
    <row r="211" spans="1:21" x14ac:dyDescent="0.35">
      <c r="A211" t="s">
        <v>34</v>
      </c>
      <c r="B211">
        <v>17</v>
      </c>
      <c r="C211" t="s">
        <v>52</v>
      </c>
      <c r="D211" t="s">
        <v>36</v>
      </c>
      <c r="E211" t="s">
        <v>44</v>
      </c>
      <c r="F211" t="s">
        <v>39</v>
      </c>
      <c r="G211" t="s">
        <v>45</v>
      </c>
      <c r="H211">
        <v>3</v>
      </c>
      <c r="I211">
        <v>0</v>
      </c>
      <c r="J211" t="s">
        <v>43</v>
      </c>
      <c r="K211" t="s">
        <v>42</v>
      </c>
      <c r="L211" t="s">
        <v>42</v>
      </c>
      <c r="M211" t="s">
        <v>42</v>
      </c>
      <c r="N211" t="s">
        <v>42</v>
      </c>
      <c r="O211">
        <v>4</v>
      </c>
      <c r="P211">
        <v>4</v>
      </c>
      <c r="Q211">
        <v>2</v>
      </c>
      <c r="R211" t="s">
        <v>62</v>
      </c>
      <c r="S211">
        <v>0</v>
      </c>
      <c r="T211" s="1">
        <v>7</v>
      </c>
      <c r="U211" t="s">
        <v>61</v>
      </c>
    </row>
    <row r="212" spans="1:21" x14ac:dyDescent="0.35">
      <c r="A212" t="s">
        <v>34</v>
      </c>
      <c r="B212">
        <v>19</v>
      </c>
      <c r="C212" t="s">
        <v>35</v>
      </c>
      <c r="D212" t="s">
        <v>36</v>
      </c>
      <c r="E212" t="s">
        <v>44</v>
      </c>
      <c r="F212" t="s">
        <v>45</v>
      </c>
      <c r="G212" t="s">
        <v>45</v>
      </c>
      <c r="H212">
        <v>4</v>
      </c>
      <c r="I212">
        <v>0</v>
      </c>
      <c r="J212" t="s">
        <v>43</v>
      </c>
      <c r="K212" t="s">
        <v>42</v>
      </c>
      <c r="L212" t="s">
        <v>42</v>
      </c>
      <c r="M212" t="s">
        <v>42</v>
      </c>
      <c r="N212" t="s">
        <v>43</v>
      </c>
      <c r="O212">
        <v>4</v>
      </c>
      <c r="P212">
        <v>3</v>
      </c>
      <c r="Q212">
        <v>3</v>
      </c>
      <c r="R212" t="s">
        <v>63</v>
      </c>
      <c r="S212">
        <v>0</v>
      </c>
      <c r="T212" s="1">
        <v>8</v>
      </c>
      <c r="U212" t="s">
        <v>62</v>
      </c>
    </row>
    <row r="213" spans="1:21" x14ac:dyDescent="0.35">
      <c r="A213" t="s">
        <v>50</v>
      </c>
      <c r="B213">
        <v>17</v>
      </c>
      <c r="C213" t="s">
        <v>35</v>
      </c>
      <c r="D213" t="s">
        <v>47</v>
      </c>
      <c r="E213" t="s">
        <v>44</v>
      </c>
      <c r="F213" t="s">
        <v>48</v>
      </c>
      <c r="G213" t="s">
        <v>45</v>
      </c>
      <c r="H213">
        <v>2</v>
      </c>
      <c r="I213">
        <v>0</v>
      </c>
      <c r="J213" t="s">
        <v>43</v>
      </c>
      <c r="K213" t="s">
        <v>42</v>
      </c>
      <c r="L213" t="s">
        <v>42</v>
      </c>
      <c r="M213" t="s">
        <v>43</v>
      </c>
      <c r="N213" t="s">
        <v>42</v>
      </c>
      <c r="O213">
        <v>5</v>
      </c>
      <c r="P213">
        <v>3</v>
      </c>
      <c r="Q213">
        <v>5</v>
      </c>
      <c r="R213" t="s">
        <v>63</v>
      </c>
      <c r="S213">
        <v>0</v>
      </c>
      <c r="T213" s="1">
        <v>12.333333333333334</v>
      </c>
      <c r="U213" t="s">
        <v>63</v>
      </c>
    </row>
    <row r="214" spans="1:21" x14ac:dyDescent="0.35">
      <c r="A214" t="s">
        <v>34</v>
      </c>
      <c r="B214">
        <v>16</v>
      </c>
      <c r="C214" t="s">
        <v>35</v>
      </c>
      <c r="D214" t="s">
        <v>36</v>
      </c>
      <c r="E214" t="s">
        <v>37</v>
      </c>
      <c r="F214" t="s">
        <v>45</v>
      </c>
      <c r="G214" t="s">
        <v>45</v>
      </c>
      <c r="H214">
        <v>2</v>
      </c>
      <c r="I214">
        <v>0</v>
      </c>
      <c r="J214" t="s">
        <v>42</v>
      </c>
      <c r="K214" t="s">
        <v>42</v>
      </c>
      <c r="L214" t="s">
        <v>42</v>
      </c>
      <c r="M214" t="s">
        <v>43</v>
      </c>
      <c r="N214" t="s">
        <v>43</v>
      </c>
      <c r="O214">
        <v>3</v>
      </c>
      <c r="P214">
        <v>3</v>
      </c>
      <c r="Q214">
        <v>4</v>
      </c>
      <c r="R214" t="s">
        <v>61</v>
      </c>
      <c r="S214">
        <v>0</v>
      </c>
      <c r="T214" s="1">
        <v>13</v>
      </c>
      <c r="U214" t="s">
        <v>61</v>
      </c>
    </row>
    <row r="215" spans="1:21" x14ac:dyDescent="0.35">
      <c r="A215" t="s">
        <v>50</v>
      </c>
      <c r="B215">
        <v>18</v>
      </c>
      <c r="C215" t="s">
        <v>35</v>
      </c>
      <c r="D215" t="s">
        <v>36</v>
      </c>
      <c r="E215" t="s">
        <v>44</v>
      </c>
      <c r="F215" t="s">
        <v>48</v>
      </c>
      <c r="G215" t="s">
        <v>45</v>
      </c>
      <c r="H215">
        <v>2</v>
      </c>
      <c r="I215">
        <v>1</v>
      </c>
      <c r="J215" t="s">
        <v>43</v>
      </c>
      <c r="K215" t="s">
        <v>42</v>
      </c>
      <c r="L215" t="s">
        <v>42</v>
      </c>
      <c r="M215" t="s">
        <v>42</v>
      </c>
      <c r="N215" t="s">
        <v>43</v>
      </c>
      <c r="O215">
        <v>4</v>
      </c>
      <c r="P215">
        <v>4</v>
      </c>
      <c r="Q215">
        <v>4</v>
      </c>
      <c r="R215" t="s">
        <v>63</v>
      </c>
      <c r="S215">
        <v>0</v>
      </c>
      <c r="T215" s="1">
        <v>7</v>
      </c>
      <c r="U215" t="s">
        <v>63</v>
      </c>
    </row>
    <row r="216" spans="1:21" x14ac:dyDescent="0.35">
      <c r="A216" t="s">
        <v>34</v>
      </c>
      <c r="B216">
        <v>17</v>
      </c>
      <c r="C216" t="s">
        <v>52</v>
      </c>
      <c r="D216" t="s">
        <v>47</v>
      </c>
      <c r="E216" t="s">
        <v>44</v>
      </c>
      <c r="F216" t="s">
        <v>48</v>
      </c>
      <c r="G216" t="s">
        <v>45</v>
      </c>
      <c r="H216">
        <v>1</v>
      </c>
      <c r="I216">
        <v>0</v>
      </c>
      <c r="J216" t="s">
        <v>43</v>
      </c>
      <c r="K216" t="s">
        <v>42</v>
      </c>
      <c r="L216" t="s">
        <v>42</v>
      </c>
      <c r="M216" t="s">
        <v>43</v>
      </c>
      <c r="N216" t="s">
        <v>43</v>
      </c>
      <c r="O216">
        <v>5</v>
      </c>
      <c r="P216">
        <v>2</v>
      </c>
      <c r="Q216">
        <v>1</v>
      </c>
      <c r="R216" t="s">
        <v>63</v>
      </c>
      <c r="S216">
        <v>0</v>
      </c>
      <c r="T216" s="1">
        <v>9.3333333333333339</v>
      </c>
      <c r="U216" t="s">
        <v>62</v>
      </c>
    </row>
    <row r="217" spans="1:21" x14ac:dyDescent="0.35">
      <c r="A217" t="s">
        <v>34</v>
      </c>
      <c r="B217">
        <v>17</v>
      </c>
      <c r="C217" t="s">
        <v>35</v>
      </c>
      <c r="D217" t="s">
        <v>47</v>
      </c>
      <c r="E217" t="s">
        <v>44</v>
      </c>
      <c r="F217" t="s">
        <v>45</v>
      </c>
      <c r="G217" t="s">
        <v>45</v>
      </c>
      <c r="H217">
        <v>2</v>
      </c>
      <c r="I217">
        <v>0</v>
      </c>
      <c r="J217" t="s">
        <v>43</v>
      </c>
      <c r="K217" t="s">
        <v>43</v>
      </c>
      <c r="L217" t="s">
        <v>42</v>
      </c>
      <c r="M217" t="s">
        <v>43</v>
      </c>
      <c r="N217" t="s">
        <v>43</v>
      </c>
      <c r="O217">
        <v>4</v>
      </c>
      <c r="P217">
        <v>4</v>
      </c>
      <c r="Q217">
        <v>4</v>
      </c>
      <c r="R217" t="s">
        <v>61</v>
      </c>
      <c r="S217">
        <v>0</v>
      </c>
      <c r="T217" s="1">
        <v>14.666666666666666</v>
      </c>
      <c r="U217" t="s">
        <v>62</v>
      </c>
    </row>
    <row r="218" spans="1:21" x14ac:dyDescent="0.35">
      <c r="A218" t="s">
        <v>34</v>
      </c>
      <c r="B218">
        <v>17</v>
      </c>
      <c r="C218" t="s">
        <v>35</v>
      </c>
      <c r="D218" t="s">
        <v>36</v>
      </c>
      <c r="E218" t="s">
        <v>44</v>
      </c>
      <c r="F218" t="s">
        <v>45</v>
      </c>
      <c r="G218" t="s">
        <v>45</v>
      </c>
      <c r="H218">
        <v>2</v>
      </c>
      <c r="I218">
        <v>2</v>
      </c>
      <c r="J218" t="s">
        <v>43</v>
      </c>
      <c r="K218" t="s">
        <v>43</v>
      </c>
      <c r="L218" t="s">
        <v>42</v>
      </c>
      <c r="M218" t="s">
        <v>43</v>
      </c>
      <c r="N218" t="s">
        <v>42</v>
      </c>
      <c r="O218">
        <v>3</v>
      </c>
      <c r="P218">
        <v>4</v>
      </c>
      <c r="Q218">
        <v>5</v>
      </c>
      <c r="R218" t="s">
        <v>63</v>
      </c>
      <c r="S218">
        <v>1</v>
      </c>
      <c r="T218" s="1">
        <v>5.333333333333333</v>
      </c>
      <c r="U218" t="s">
        <v>63</v>
      </c>
    </row>
    <row r="219" spans="1:21" x14ac:dyDescent="0.35">
      <c r="A219" t="s">
        <v>50</v>
      </c>
      <c r="B219">
        <v>18</v>
      </c>
      <c r="C219" t="s">
        <v>35</v>
      </c>
      <c r="D219" t="s">
        <v>47</v>
      </c>
      <c r="E219" t="s">
        <v>44</v>
      </c>
      <c r="F219" t="s">
        <v>48</v>
      </c>
      <c r="G219" t="s">
        <v>28</v>
      </c>
      <c r="H219">
        <v>2</v>
      </c>
      <c r="I219">
        <v>1</v>
      </c>
      <c r="J219" t="s">
        <v>43</v>
      </c>
      <c r="K219" t="s">
        <v>42</v>
      </c>
      <c r="L219" t="s">
        <v>42</v>
      </c>
      <c r="M219" t="s">
        <v>43</v>
      </c>
      <c r="N219" t="s">
        <v>43</v>
      </c>
      <c r="O219">
        <v>3</v>
      </c>
      <c r="P219">
        <v>2</v>
      </c>
      <c r="Q219">
        <v>4</v>
      </c>
      <c r="R219" t="s">
        <v>63</v>
      </c>
      <c r="S219">
        <v>0</v>
      </c>
      <c r="T219" s="1">
        <v>6.666666666666667</v>
      </c>
      <c r="U219" t="s">
        <v>63</v>
      </c>
    </row>
    <row r="220" spans="1:21" x14ac:dyDescent="0.35">
      <c r="A220" t="s">
        <v>34</v>
      </c>
      <c r="B220">
        <v>17</v>
      </c>
      <c r="C220" t="s">
        <v>35</v>
      </c>
      <c r="D220" t="s">
        <v>36</v>
      </c>
      <c r="E220" t="s">
        <v>44</v>
      </c>
      <c r="F220" t="s">
        <v>38</v>
      </c>
      <c r="G220" t="s">
        <v>45</v>
      </c>
      <c r="H220">
        <v>1</v>
      </c>
      <c r="I220">
        <v>0</v>
      </c>
      <c r="J220" t="s">
        <v>43</v>
      </c>
      <c r="K220" t="s">
        <v>42</v>
      </c>
      <c r="L220" t="s">
        <v>42</v>
      </c>
      <c r="M220" t="s">
        <v>43</v>
      </c>
      <c r="N220" t="s">
        <v>43</v>
      </c>
      <c r="O220">
        <v>3</v>
      </c>
      <c r="P220">
        <v>3</v>
      </c>
      <c r="Q220">
        <v>3</v>
      </c>
      <c r="R220" t="s">
        <v>61</v>
      </c>
      <c r="S220">
        <v>0</v>
      </c>
      <c r="T220" s="1">
        <v>7.333333333333333</v>
      </c>
      <c r="U220" t="s">
        <v>63</v>
      </c>
    </row>
    <row r="221" spans="1:21" x14ac:dyDescent="0.35">
      <c r="A221" t="s">
        <v>34</v>
      </c>
      <c r="B221">
        <v>17</v>
      </c>
      <c r="C221" t="s">
        <v>35</v>
      </c>
      <c r="D221" t="s">
        <v>36</v>
      </c>
      <c r="E221" t="s">
        <v>44</v>
      </c>
      <c r="F221" t="s">
        <v>38</v>
      </c>
      <c r="G221" t="s">
        <v>38</v>
      </c>
      <c r="H221">
        <v>3</v>
      </c>
      <c r="I221">
        <v>0</v>
      </c>
      <c r="J221" t="s">
        <v>43</v>
      </c>
      <c r="K221" t="s">
        <v>42</v>
      </c>
      <c r="L221" t="s">
        <v>42</v>
      </c>
      <c r="M221" t="s">
        <v>42</v>
      </c>
      <c r="N221" t="s">
        <v>43</v>
      </c>
      <c r="O221">
        <v>4</v>
      </c>
      <c r="P221">
        <v>3</v>
      </c>
      <c r="Q221">
        <v>3</v>
      </c>
      <c r="R221" t="s">
        <v>61</v>
      </c>
      <c r="S221">
        <v>0</v>
      </c>
      <c r="T221" s="1">
        <v>9.6666666666666661</v>
      </c>
      <c r="U221" t="s">
        <v>61</v>
      </c>
    </row>
    <row r="222" spans="1:21" x14ac:dyDescent="0.35">
      <c r="A222" t="s">
        <v>34</v>
      </c>
      <c r="B222">
        <v>17</v>
      </c>
      <c r="C222" t="s">
        <v>52</v>
      </c>
      <c r="D222" t="s">
        <v>36</v>
      </c>
      <c r="E222" t="s">
        <v>44</v>
      </c>
      <c r="F222" t="s">
        <v>38</v>
      </c>
      <c r="G222" t="s">
        <v>48</v>
      </c>
      <c r="H222">
        <v>2</v>
      </c>
      <c r="I222">
        <v>0</v>
      </c>
      <c r="J222" t="s">
        <v>43</v>
      </c>
      <c r="K222" t="s">
        <v>42</v>
      </c>
      <c r="L222" t="s">
        <v>43</v>
      </c>
      <c r="M222" t="s">
        <v>42</v>
      </c>
      <c r="N222" t="s">
        <v>43</v>
      </c>
      <c r="O222">
        <v>4</v>
      </c>
      <c r="P222">
        <v>2</v>
      </c>
      <c r="Q222">
        <v>5</v>
      </c>
      <c r="R222" t="s">
        <v>61</v>
      </c>
      <c r="S222">
        <v>0</v>
      </c>
      <c r="T222" s="1">
        <v>6</v>
      </c>
      <c r="U222" t="s">
        <v>62</v>
      </c>
    </row>
    <row r="223" spans="1:21" x14ac:dyDescent="0.35">
      <c r="A223" t="s">
        <v>34</v>
      </c>
      <c r="B223">
        <v>17</v>
      </c>
      <c r="C223" t="s">
        <v>35</v>
      </c>
      <c r="D223" t="s">
        <v>36</v>
      </c>
      <c r="E223" t="s">
        <v>44</v>
      </c>
      <c r="F223" t="s">
        <v>38</v>
      </c>
      <c r="G223" t="s">
        <v>45</v>
      </c>
      <c r="H223">
        <v>3</v>
      </c>
      <c r="I223">
        <v>1</v>
      </c>
      <c r="J223" t="s">
        <v>43</v>
      </c>
      <c r="K223" t="s">
        <v>42</v>
      </c>
      <c r="L223" t="s">
        <v>43</v>
      </c>
      <c r="M223" t="s">
        <v>42</v>
      </c>
      <c r="N223" t="s">
        <v>42</v>
      </c>
      <c r="O223">
        <v>4</v>
      </c>
      <c r="P223">
        <v>3</v>
      </c>
      <c r="Q223">
        <v>4</v>
      </c>
      <c r="R223" t="s">
        <v>61</v>
      </c>
      <c r="S223">
        <v>2</v>
      </c>
      <c r="T223" s="1">
        <v>3.6666666666666665</v>
      </c>
      <c r="U223" t="s">
        <v>61</v>
      </c>
    </row>
    <row r="224" spans="1:21" x14ac:dyDescent="0.35">
      <c r="A224" t="s">
        <v>34</v>
      </c>
      <c r="B224">
        <v>16</v>
      </c>
      <c r="C224" t="s">
        <v>35</v>
      </c>
      <c r="D224" t="s">
        <v>36</v>
      </c>
      <c r="E224" t="s">
        <v>44</v>
      </c>
      <c r="F224" t="s">
        <v>48</v>
      </c>
      <c r="G224" t="s">
        <v>39</v>
      </c>
      <c r="H224">
        <v>2</v>
      </c>
      <c r="I224">
        <v>0</v>
      </c>
      <c r="J224" t="s">
        <v>42</v>
      </c>
      <c r="K224" t="s">
        <v>43</v>
      </c>
      <c r="L224" t="s">
        <v>43</v>
      </c>
      <c r="M224" t="s">
        <v>43</v>
      </c>
      <c r="N224" t="s">
        <v>43</v>
      </c>
      <c r="O224">
        <v>2</v>
      </c>
      <c r="P224">
        <v>3</v>
      </c>
      <c r="Q224">
        <v>1</v>
      </c>
      <c r="R224" t="s">
        <v>61</v>
      </c>
      <c r="S224">
        <v>0</v>
      </c>
      <c r="T224" s="1">
        <v>16.333333333333332</v>
      </c>
      <c r="U224" t="s">
        <v>61</v>
      </c>
    </row>
    <row r="225" spans="1:21" x14ac:dyDescent="0.35">
      <c r="A225" t="s">
        <v>50</v>
      </c>
      <c r="B225">
        <v>18</v>
      </c>
      <c r="C225" t="s">
        <v>35</v>
      </c>
      <c r="D225" t="s">
        <v>36</v>
      </c>
      <c r="E225" t="s">
        <v>44</v>
      </c>
      <c r="F225" t="s">
        <v>45</v>
      </c>
      <c r="G225" t="s">
        <v>45</v>
      </c>
      <c r="H225">
        <v>2</v>
      </c>
      <c r="I225">
        <v>0</v>
      </c>
      <c r="J225" t="s">
        <v>43</v>
      </c>
      <c r="K225" t="s">
        <v>42</v>
      </c>
      <c r="L225" t="s">
        <v>42</v>
      </c>
      <c r="M225" t="s">
        <v>43</v>
      </c>
      <c r="N225" t="s">
        <v>43</v>
      </c>
      <c r="O225">
        <v>3</v>
      </c>
      <c r="P225">
        <v>3</v>
      </c>
      <c r="Q225">
        <v>3</v>
      </c>
      <c r="R225" t="s">
        <v>61</v>
      </c>
      <c r="S225">
        <v>0</v>
      </c>
      <c r="T225" s="1">
        <v>12.666666666666666</v>
      </c>
      <c r="U225" t="s">
        <v>63</v>
      </c>
    </row>
    <row r="226" spans="1:21" x14ac:dyDescent="0.35">
      <c r="A226" t="s">
        <v>34</v>
      </c>
      <c r="B226">
        <v>16</v>
      </c>
      <c r="C226" t="s">
        <v>35</v>
      </c>
      <c r="D226" t="s">
        <v>36</v>
      </c>
      <c r="E226" t="s">
        <v>44</v>
      </c>
      <c r="F226" t="s">
        <v>39</v>
      </c>
      <c r="G226" t="s">
        <v>48</v>
      </c>
      <c r="H226">
        <v>3</v>
      </c>
      <c r="I226">
        <v>0</v>
      </c>
      <c r="J226" t="s">
        <v>43</v>
      </c>
      <c r="K226" t="s">
        <v>42</v>
      </c>
      <c r="L226" t="s">
        <v>43</v>
      </c>
      <c r="M226" t="s">
        <v>42</v>
      </c>
      <c r="N226" t="s">
        <v>43</v>
      </c>
      <c r="O226">
        <v>5</v>
      </c>
      <c r="P226">
        <v>3</v>
      </c>
      <c r="Q226">
        <v>2</v>
      </c>
      <c r="R226" t="s">
        <v>61</v>
      </c>
      <c r="S226">
        <v>0</v>
      </c>
      <c r="T226" s="1">
        <v>13.333333333333334</v>
      </c>
      <c r="U226" t="s">
        <v>61</v>
      </c>
    </row>
    <row r="227" spans="1:21" x14ac:dyDescent="0.35">
      <c r="A227" t="s">
        <v>34</v>
      </c>
      <c r="B227">
        <v>18</v>
      </c>
      <c r="C227" t="s">
        <v>52</v>
      </c>
      <c r="D227" t="s">
        <v>36</v>
      </c>
      <c r="E227" t="s">
        <v>44</v>
      </c>
      <c r="F227" t="s">
        <v>45</v>
      </c>
      <c r="G227" t="s">
        <v>45</v>
      </c>
      <c r="H227">
        <v>2</v>
      </c>
      <c r="I227">
        <v>1</v>
      </c>
      <c r="J227" t="s">
        <v>43</v>
      </c>
      <c r="K227" t="s">
        <v>43</v>
      </c>
      <c r="L227" t="s">
        <v>43</v>
      </c>
      <c r="M227" t="s">
        <v>42</v>
      </c>
      <c r="N227" t="s">
        <v>42</v>
      </c>
      <c r="O227">
        <v>5</v>
      </c>
      <c r="P227">
        <v>3</v>
      </c>
      <c r="Q227">
        <v>3</v>
      </c>
      <c r="R227" t="s">
        <v>63</v>
      </c>
      <c r="S227">
        <v>2</v>
      </c>
      <c r="T227" s="1">
        <v>8</v>
      </c>
      <c r="U227" t="s">
        <v>61</v>
      </c>
    </row>
    <row r="228" spans="1:21" x14ac:dyDescent="0.35">
      <c r="A228" t="s">
        <v>34</v>
      </c>
      <c r="B228">
        <v>17</v>
      </c>
      <c r="C228" t="s">
        <v>35</v>
      </c>
      <c r="D228" t="s">
        <v>36</v>
      </c>
      <c r="E228" t="s">
        <v>44</v>
      </c>
      <c r="F228" t="s">
        <v>45</v>
      </c>
      <c r="G228" t="s">
        <v>45</v>
      </c>
      <c r="H228">
        <v>2</v>
      </c>
      <c r="I228">
        <v>0</v>
      </c>
      <c r="J228" t="s">
        <v>43</v>
      </c>
      <c r="K228" t="s">
        <v>43</v>
      </c>
      <c r="L228" t="s">
        <v>43</v>
      </c>
      <c r="M228" t="s">
        <v>42</v>
      </c>
      <c r="N228" t="s">
        <v>43</v>
      </c>
      <c r="O228">
        <v>5</v>
      </c>
      <c r="P228">
        <v>3</v>
      </c>
      <c r="Q228">
        <v>4</v>
      </c>
      <c r="R228" t="s">
        <v>63</v>
      </c>
      <c r="S228">
        <v>1</v>
      </c>
      <c r="T228" s="1">
        <v>15.333333333333334</v>
      </c>
      <c r="U228" t="s">
        <v>62</v>
      </c>
    </row>
    <row r="229" spans="1:21" x14ac:dyDescent="0.35">
      <c r="A229" t="s">
        <v>50</v>
      </c>
      <c r="B229">
        <v>17</v>
      </c>
      <c r="C229" t="s">
        <v>35</v>
      </c>
      <c r="D229" t="s">
        <v>47</v>
      </c>
      <c r="E229" t="s">
        <v>44</v>
      </c>
      <c r="F229" t="s">
        <v>48</v>
      </c>
      <c r="G229" t="s">
        <v>48</v>
      </c>
      <c r="H229">
        <v>2</v>
      </c>
      <c r="I229">
        <v>0</v>
      </c>
      <c r="J229" t="s">
        <v>43</v>
      </c>
      <c r="K229" t="s">
        <v>42</v>
      </c>
      <c r="L229" t="s">
        <v>42</v>
      </c>
      <c r="M229" t="s">
        <v>43</v>
      </c>
      <c r="N229" t="s">
        <v>43</v>
      </c>
      <c r="O229">
        <v>5</v>
      </c>
      <c r="P229">
        <v>3</v>
      </c>
      <c r="Q229">
        <v>3</v>
      </c>
      <c r="R229" t="s">
        <v>61</v>
      </c>
      <c r="S229">
        <v>1</v>
      </c>
      <c r="T229" s="1">
        <v>11.666666666666666</v>
      </c>
      <c r="U229" t="s">
        <v>62</v>
      </c>
    </row>
    <row r="230" spans="1:21" x14ac:dyDescent="0.35">
      <c r="A230" t="s">
        <v>50</v>
      </c>
      <c r="B230">
        <v>18</v>
      </c>
      <c r="C230" t="s">
        <v>35</v>
      </c>
      <c r="D230" t="s">
        <v>47</v>
      </c>
      <c r="E230" t="s">
        <v>44</v>
      </c>
      <c r="F230" t="s">
        <v>38</v>
      </c>
      <c r="G230" t="s">
        <v>45</v>
      </c>
      <c r="H230">
        <v>2</v>
      </c>
      <c r="I230">
        <v>0</v>
      </c>
      <c r="J230" t="s">
        <v>42</v>
      </c>
      <c r="K230" t="s">
        <v>42</v>
      </c>
      <c r="L230" t="s">
        <v>42</v>
      </c>
      <c r="M230" t="s">
        <v>42</v>
      </c>
      <c r="N230" t="s">
        <v>42</v>
      </c>
      <c r="O230">
        <v>4</v>
      </c>
      <c r="P230">
        <v>3</v>
      </c>
      <c r="Q230">
        <v>2</v>
      </c>
      <c r="R230" t="s">
        <v>63</v>
      </c>
      <c r="S230">
        <v>1</v>
      </c>
      <c r="T230" s="1">
        <v>9</v>
      </c>
      <c r="U230" t="s">
        <v>63</v>
      </c>
    </row>
    <row r="231" spans="1:21" x14ac:dyDescent="0.35">
      <c r="A231" t="s">
        <v>34</v>
      </c>
      <c r="B231">
        <v>17</v>
      </c>
      <c r="C231" t="s">
        <v>35</v>
      </c>
      <c r="D231" t="s">
        <v>36</v>
      </c>
      <c r="E231" t="s">
        <v>37</v>
      </c>
      <c r="F231" t="s">
        <v>45</v>
      </c>
      <c r="G231" t="s">
        <v>45</v>
      </c>
      <c r="H231">
        <v>3</v>
      </c>
      <c r="I231">
        <v>0</v>
      </c>
      <c r="J231" t="s">
        <v>43</v>
      </c>
      <c r="K231" t="s">
        <v>43</v>
      </c>
      <c r="L231" t="s">
        <v>43</v>
      </c>
      <c r="M231" t="s">
        <v>42</v>
      </c>
      <c r="N231" t="s">
        <v>42</v>
      </c>
      <c r="O231">
        <v>3</v>
      </c>
      <c r="P231">
        <v>2</v>
      </c>
      <c r="Q231">
        <v>3</v>
      </c>
      <c r="R231" t="s">
        <v>63</v>
      </c>
      <c r="S231">
        <v>1</v>
      </c>
      <c r="T231" s="1">
        <v>11.333333333333334</v>
      </c>
      <c r="U231" t="s">
        <v>62</v>
      </c>
    </row>
    <row r="232" spans="1:21" x14ac:dyDescent="0.35">
      <c r="A232" t="s">
        <v>34</v>
      </c>
      <c r="B232">
        <v>17</v>
      </c>
      <c r="C232" t="s">
        <v>35</v>
      </c>
      <c r="D232" t="s">
        <v>47</v>
      </c>
      <c r="E232" t="s">
        <v>44</v>
      </c>
      <c r="F232" t="s">
        <v>28</v>
      </c>
      <c r="G232" t="s">
        <v>45</v>
      </c>
      <c r="H232">
        <v>2</v>
      </c>
      <c r="I232">
        <v>0</v>
      </c>
      <c r="J232" t="s">
        <v>43</v>
      </c>
      <c r="K232" t="s">
        <v>43</v>
      </c>
      <c r="L232" t="s">
        <v>43</v>
      </c>
      <c r="M232" t="s">
        <v>42</v>
      </c>
      <c r="N232" t="s">
        <v>42</v>
      </c>
      <c r="O232">
        <v>3</v>
      </c>
      <c r="P232">
        <v>2</v>
      </c>
      <c r="Q232">
        <v>3</v>
      </c>
      <c r="R232" t="s">
        <v>63</v>
      </c>
      <c r="S232">
        <v>0</v>
      </c>
      <c r="T232" s="1">
        <v>13.333333333333334</v>
      </c>
      <c r="U232" t="s">
        <v>62</v>
      </c>
    </row>
    <row r="233" spans="1:21" x14ac:dyDescent="0.35">
      <c r="A233" t="s">
        <v>50</v>
      </c>
      <c r="B233">
        <v>17</v>
      </c>
      <c r="C233" t="s">
        <v>52</v>
      </c>
      <c r="D233" t="s">
        <v>36</v>
      </c>
      <c r="E233" t="s">
        <v>44</v>
      </c>
      <c r="F233" t="s">
        <v>45</v>
      </c>
      <c r="G233" t="s">
        <v>45</v>
      </c>
      <c r="H233">
        <v>2</v>
      </c>
      <c r="I233">
        <v>0</v>
      </c>
      <c r="J233" t="s">
        <v>43</v>
      </c>
      <c r="K233" t="s">
        <v>42</v>
      </c>
      <c r="L233" t="s">
        <v>42</v>
      </c>
      <c r="M233" t="s">
        <v>42</v>
      </c>
      <c r="N233" t="s">
        <v>43</v>
      </c>
      <c r="O233">
        <v>4</v>
      </c>
      <c r="P233">
        <v>5</v>
      </c>
      <c r="Q233">
        <v>2</v>
      </c>
      <c r="R233" t="s">
        <v>61</v>
      </c>
      <c r="S233">
        <v>0</v>
      </c>
      <c r="T233" s="1">
        <v>11</v>
      </c>
      <c r="U233" t="s">
        <v>61</v>
      </c>
    </row>
    <row r="234" spans="1:21" x14ac:dyDescent="0.35">
      <c r="A234" t="s">
        <v>50</v>
      </c>
      <c r="B234">
        <v>17</v>
      </c>
      <c r="C234" t="s">
        <v>35</v>
      </c>
      <c r="D234" t="s">
        <v>36</v>
      </c>
      <c r="E234" t="s">
        <v>44</v>
      </c>
      <c r="F234" t="s">
        <v>39</v>
      </c>
      <c r="G234" t="s">
        <v>39</v>
      </c>
      <c r="H234">
        <v>2</v>
      </c>
      <c r="I234">
        <v>0</v>
      </c>
      <c r="J234" t="s">
        <v>42</v>
      </c>
      <c r="K234" t="s">
        <v>42</v>
      </c>
      <c r="L234" t="s">
        <v>43</v>
      </c>
      <c r="M234" t="s">
        <v>42</v>
      </c>
      <c r="N234" t="s">
        <v>42</v>
      </c>
      <c r="O234">
        <v>4</v>
      </c>
      <c r="P234">
        <v>5</v>
      </c>
      <c r="Q234">
        <v>5</v>
      </c>
      <c r="R234" t="s">
        <v>63</v>
      </c>
      <c r="S234">
        <v>1</v>
      </c>
      <c r="T234" s="1">
        <v>9.6666666666666661</v>
      </c>
      <c r="U234" t="s">
        <v>62</v>
      </c>
    </row>
    <row r="235" spans="1:21" x14ac:dyDescent="0.35">
      <c r="A235" t="s">
        <v>50</v>
      </c>
      <c r="B235">
        <v>16</v>
      </c>
      <c r="C235" t="s">
        <v>35</v>
      </c>
      <c r="D235" t="s">
        <v>36</v>
      </c>
      <c r="E235" t="s">
        <v>44</v>
      </c>
      <c r="F235" t="s">
        <v>28</v>
      </c>
      <c r="G235" t="s">
        <v>45</v>
      </c>
      <c r="H235">
        <v>2</v>
      </c>
      <c r="I235">
        <v>0</v>
      </c>
      <c r="J235" t="s">
        <v>43</v>
      </c>
      <c r="K235" t="s">
        <v>42</v>
      </c>
      <c r="L235" t="s">
        <v>42</v>
      </c>
      <c r="M235" t="s">
        <v>42</v>
      </c>
      <c r="N235" t="s">
        <v>43</v>
      </c>
      <c r="O235">
        <v>4</v>
      </c>
      <c r="P235">
        <v>2</v>
      </c>
      <c r="Q235">
        <v>4</v>
      </c>
      <c r="R235" t="s">
        <v>61</v>
      </c>
      <c r="S235">
        <v>1</v>
      </c>
      <c r="T235" s="1">
        <v>13.333333333333334</v>
      </c>
      <c r="U235" t="s">
        <v>63</v>
      </c>
    </row>
    <row r="236" spans="1:21" x14ac:dyDescent="0.35">
      <c r="A236" t="s">
        <v>50</v>
      </c>
      <c r="B236">
        <v>16</v>
      </c>
      <c r="C236" t="s">
        <v>35</v>
      </c>
      <c r="D236" t="s">
        <v>47</v>
      </c>
      <c r="E236" t="s">
        <v>44</v>
      </c>
      <c r="F236" t="s">
        <v>45</v>
      </c>
      <c r="G236" t="s">
        <v>45</v>
      </c>
      <c r="H236">
        <v>2</v>
      </c>
      <c r="I236">
        <v>0</v>
      </c>
      <c r="J236" t="s">
        <v>43</v>
      </c>
      <c r="K236" t="s">
        <v>42</v>
      </c>
      <c r="L236" t="s">
        <v>42</v>
      </c>
      <c r="M236" t="s">
        <v>43</v>
      </c>
      <c r="N236" t="s">
        <v>43</v>
      </c>
      <c r="O236">
        <v>3</v>
      </c>
      <c r="P236">
        <v>4</v>
      </c>
      <c r="Q236">
        <v>2</v>
      </c>
      <c r="R236" t="s">
        <v>63</v>
      </c>
      <c r="S236">
        <v>2</v>
      </c>
      <c r="T236" s="1">
        <v>7.333333333333333</v>
      </c>
      <c r="U236" t="s">
        <v>61</v>
      </c>
    </row>
    <row r="237" spans="1:21" x14ac:dyDescent="0.35">
      <c r="A237" t="s">
        <v>50</v>
      </c>
      <c r="B237">
        <v>16</v>
      </c>
      <c r="C237" t="s">
        <v>35</v>
      </c>
      <c r="D237" t="s">
        <v>36</v>
      </c>
      <c r="E237" t="s">
        <v>44</v>
      </c>
      <c r="F237" t="s">
        <v>38</v>
      </c>
      <c r="G237" t="s">
        <v>45</v>
      </c>
      <c r="H237">
        <v>3</v>
      </c>
      <c r="I237">
        <v>0</v>
      </c>
      <c r="J237" t="s">
        <v>43</v>
      </c>
      <c r="K237" t="s">
        <v>43</v>
      </c>
      <c r="L237" t="s">
        <v>43</v>
      </c>
      <c r="M237" t="s">
        <v>42</v>
      </c>
      <c r="N237" t="s">
        <v>42</v>
      </c>
      <c r="O237">
        <v>5</v>
      </c>
      <c r="P237">
        <v>3</v>
      </c>
      <c r="Q237">
        <v>3</v>
      </c>
      <c r="R237" t="s">
        <v>63</v>
      </c>
      <c r="S237">
        <v>1</v>
      </c>
      <c r="T237" s="1">
        <v>10</v>
      </c>
      <c r="U237" t="s">
        <v>62</v>
      </c>
    </row>
    <row r="238" spans="1:21" x14ac:dyDescent="0.35">
      <c r="A238" t="s">
        <v>50</v>
      </c>
      <c r="B238">
        <v>17</v>
      </c>
      <c r="C238" t="s">
        <v>35</v>
      </c>
      <c r="D238" t="s">
        <v>47</v>
      </c>
      <c r="E238" t="s">
        <v>44</v>
      </c>
      <c r="F238" t="s">
        <v>45</v>
      </c>
      <c r="G238" t="s">
        <v>45</v>
      </c>
      <c r="H238">
        <v>2</v>
      </c>
      <c r="I238">
        <v>0</v>
      </c>
      <c r="J238" t="s">
        <v>43</v>
      </c>
      <c r="K238" t="s">
        <v>43</v>
      </c>
      <c r="L238" t="s">
        <v>42</v>
      </c>
      <c r="M238" t="s">
        <v>42</v>
      </c>
      <c r="N238" t="s">
        <v>42</v>
      </c>
      <c r="O238">
        <v>4</v>
      </c>
      <c r="P238">
        <v>4</v>
      </c>
      <c r="Q238">
        <v>2</v>
      </c>
      <c r="R238" t="s">
        <v>61</v>
      </c>
      <c r="S238">
        <v>1</v>
      </c>
      <c r="T238" s="1">
        <v>13.333333333333334</v>
      </c>
      <c r="U238" t="s">
        <v>63</v>
      </c>
    </row>
    <row r="239" spans="1:21" x14ac:dyDescent="0.35">
      <c r="A239" t="s">
        <v>34</v>
      </c>
      <c r="B239">
        <v>16</v>
      </c>
      <c r="C239" t="s">
        <v>35</v>
      </c>
      <c r="D239" t="s">
        <v>36</v>
      </c>
      <c r="E239" t="s">
        <v>44</v>
      </c>
      <c r="F239" t="s">
        <v>45</v>
      </c>
      <c r="G239" t="s">
        <v>45</v>
      </c>
      <c r="H239">
        <v>1</v>
      </c>
      <c r="I239">
        <v>0</v>
      </c>
      <c r="J239" t="s">
        <v>43</v>
      </c>
      <c r="K239" t="s">
        <v>43</v>
      </c>
      <c r="L239" t="s">
        <v>43</v>
      </c>
      <c r="M239" t="s">
        <v>43</v>
      </c>
      <c r="N239" t="s">
        <v>42</v>
      </c>
      <c r="O239">
        <v>4</v>
      </c>
      <c r="P239">
        <v>5</v>
      </c>
      <c r="Q239">
        <v>2</v>
      </c>
      <c r="R239" t="s">
        <v>63</v>
      </c>
      <c r="S239">
        <v>1</v>
      </c>
      <c r="T239" s="1">
        <v>12.333333333333334</v>
      </c>
      <c r="U239" t="s">
        <v>61</v>
      </c>
    </row>
    <row r="240" spans="1:21" x14ac:dyDescent="0.35">
      <c r="A240" t="s">
        <v>34</v>
      </c>
      <c r="B240">
        <v>17</v>
      </c>
      <c r="C240" t="s">
        <v>52</v>
      </c>
      <c r="D240" t="s">
        <v>36</v>
      </c>
      <c r="E240" t="s">
        <v>44</v>
      </c>
      <c r="F240" t="s">
        <v>38</v>
      </c>
      <c r="G240" t="s">
        <v>48</v>
      </c>
      <c r="H240">
        <v>2</v>
      </c>
      <c r="I240">
        <v>0</v>
      </c>
      <c r="J240" t="s">
        <v>43</v>
      </c>
      <c r="K240" t="s">
        <v>43</v>
      </c>
      <c r="L240" t="s">
        <v>43</v>
      </c>
      <c r="M240" t="s">
        <v>42</v>
      </c>
      <c r="N240" t="s">
        <v>43</v>
      </c>
      <c r="O240">
        <v>2</v>
      </c>
      <c r="P240">
        <v>1</v>
      </c>
      <c r="Q240">
        <v>1</v>
      </c>
      <c r="R240" t="s">
        <v>61</v>
      </c>
      <c r="S240">
        <v>1</v>
      </c>
      <c r="T240" s="1">
        <v>11.666666666666666</v>
      </c>
      <c r="U240" t="s">
        <v>61</v>
      </c>
    </row>
    <row r="241" spans="1:21" x14ac:dyDescent="0.35">
      <c r="A241" t="s">
        <v>50</v>
      </c>
      <c r="B241">
        <v>18</v>
      </c>
      <c r="C241" t="s">
        <v>35</v>
      </c>
      <c r="D241" t="s">
        <v>36</v>
      </c>
      <c r="E241" t="s">
        <v>44</v>
      </c>
      <c r="F241" t="s">
        <v>45</v>
      </c>
      <c r="G241" t="s">
        <v>48</v>
      </c>
      <c r="H241">
        <v>2</v>
      </c>
      <c r="I241">
        <v>1</v>
      </c>
      <c r="J241" t="s">
        <v>43</v>
      </c>
      <c r="K241" t="s">
        <v>43</v>
      </c>
      <c r="L241" t="s">
        <v>43</v>
      </c>
      <c r="M241" t="s">
        <v>43</v>
      </c>
      <c r="N241" t="s">
        <v>43</v>
      </c>
      <c r="O241">
        <v>5</v>
      </c>
      <c r="P241">
        <v>5</v>
      </c>
      <c r="Q241">
        <v>4</v>
      </c>
      <c r="R241" t="s">
        <v>61</v>
      </c>
      <c r="S241">
        <v>1</v>
      </c>
      <c r="T241" s="1">
        <v>4.666666666666667</v>
      </c>
      <c r="U241" t="s">
        <v>63</v>
      </c>
    </row>
    <row r="242" spans="1:21" x14ac:dyDescent="0.35">
      <c r="A242" t="s">
        <v>50</v>
      </c>
      <c r="B242">
        <v>17</v>
      </c>
      <c r="C242" t="s">
        <v>35</v>
      </c>
      <c r="D242" t="s">
        <v>47</v>
      </c>
      <c r="E242" t="s">
        <v>44</v>
      </c>
      <c r="F242" t="s">
        <v>28</v>
      </c>
      <c r="G242" t="s">
        <v>45</v>
      </c>
      <c r="H242">
        <v>2</v>
      </c>
      <c r="I242">
        <v>0</v>
      </c>
      <c r="J242" t="s">
        <v>43</v>
      </c>
      <c r="K242" t="s">
        <v>43</v>
      </c>
      <c r="L242" t="s">
        <v>43</v>
      </c>
      <c r="M242" t="s">
        <v>42</v>
      </c>
      <c r="N242" t="s">
        <v>42</v>
      </c>
      <c r="O242">
        <v>2</v>
      </c>
      <c r="P242">
        <v>5</v>
      </c>
      <c r="Q242">
        <v>5</v>
      </c>
      <c r="R242" t="s">
        <v>63</v>
      </c>
      <c r="S242">
        <v>0</v>
      </c>
      <c r="T242" s="1">
        <v>12</v>
      </c>
      <c r="U242" t="s">
        <v>63</v>
      </c>
    </row>
    <row r="243" spans="1:21" x14ac:dyDescent="0.35">
      <c r="A243" t="s">
        <v>50</v>
      </c>
      <c r="B243">
        <v>17</v>
      </c>
      <c r="C243" t="s">
        <v>52</v>
      </c>
      <c r="D243" t="s">
        <v>47</v>
      </c>
      <c r="E243" t="s">
        <v>37</v>
      </c>
      <c r="F243" t="s">
        <v>39</v>
      </c>
      <c r="G243" t="s">
        <v>45</v>
      </c>
      <c r="H243">
        <v>2</v>
      </c>
      <c r="I243">
        <v>0</v>
      </c>
      <c r="J243" t="s">
        <v>43</v>
      </c>
      <c r="K243" t="s">
        <v>42</v>
      </c>
      <c r="L243" t="s">
        <v>42</v>
      </c>
      <c r="M243" t="s">
        <v>43</v>
      </c>
      <c r="N243" t="s">
        <v>43</v>
      </c>
      <c r="O243">
        <v>3</v>
      </c>
      <c r="P243">
        <v>3</v>
      </c>
      <c r="Q243">
        <v>3</v>
      </c>
      <c r="R243" t="s">
        <v>61</v>
      </c>
      <c r="S243">
        <v>0</v>
      </c>
      <c r="T243" s="1">
        <v>11</v>
      </c>
      <c r="U243" t="s">
        <v>63</v>
      </c>
    </row>
    <row r="244" spans="1:21" x14ac:dyDescent="0.35">
      <c r="A244" t="s">
        <v>50</v>
      </c>
      <c r="B244">
        <v>16</v>
      </c>
      <c r="C244" t="s">
        <v>35</v>
      </c>
      <c r="D244" t="s">
        <v>47</v>
      </c>
      <c r="E244" t="s">
        <v>44</v>
      </c>
      <c r="F244" t="s">
        <v>39</v>
      </c>
      <c r="G244" t="s">
        <v>45</v>
      </c>
      <c r="H244">
        <v>1</v>
      </c>
      <c r="I244">
        <v>0</v>
      </c>
      <c r="J244" t="s">
        <v>43</v>
      </c>
      <c r="K244" t="s">
        <v>43</v>
      </c>
      <c r="L244" t="s">
        <v>43</v>
      </c>
      <c r="M244" t="s">
        <v>42</v>
      </c>
      <c r="N244" t="s">
        <v>43</v>
      </c>
      <c r="O244">
        <v>5</v>
      </c>
      <c r="P244">
        <v>4</v>
      </c>
      <c r="Q244">
        <v>5</v>
      </c>
      <c r="R244" t="s">
        <v>61</v>
      </c>
      <c r="S244">
        <v>1</v>
      </c>
      <c r="T244" s="1">
        <v>2</v>
      </c>
      <c r="U244" t="s">
        <v>61</v>
      </c>
    </row>
    <row r="245" spans="1:21" x14ac:dyDescent="0.35">
      <c r="A245" t="s">
        <v>50</v>
      </c>
      <c r="B245">
        <v>16</v>
      </c>
      <c r="C245" t="s">
        <v>35</v>
      </c>
      <c r="D245" t="s">
        <v>36</v>
      </c>
      <c r="E245" t="s">
        <v>44</v>
      </c>
      <c r="F245" t="s">
        <v>48</v>
      </c>
      <c r="G245" t="s">
        <v>48</v>
      </c>
      <c r="H245">
        <v>1</v>
      </c>
      <c r="I245">
        <v>0</v>
      </c>
      <c r="J245" t="s">
        <v>43</v>
      </c>
      <c r="K245" t="s">
        <v>43</v>
      </c>
      <c r="L245" t="s">
        <v>43</v>
      </c>
      <c r="M245" t="s">
        <v>42</v>
      </c>
      <c r="N245" t="s">
        <v>43</v>
      </c>
      <c r="O245">
        <v>5</v>
      </c>
      <c r="P245">
        <v>3</v>
      </c>
      <c r="Q245">
        <v>2</v>
      </c>
      <c r="R245" t="s">
        <v>61</v>
      </c>
      <c r="S245">
        <v>1</v>
      </c>
      <c r="T245" s="1">
        <v>12.333333333333334</v>
      </c>
      <c r="U245" t="s">
        <v>62</v>
      </c>
    </row>
    <row r="246" spans="1:21" x14ac:dyDescent="0.35">
      <c r="A246" t="s">
        <v>34</v>
      </c>
      <c r="B246">
        <v>18</v>
      </c>
      <c r="C246" t="s">
        <v>35</v>
      </c>
      <c r="D246" t="s">
        <v>36</v>
      </c>
      <c r="E246" t="s">
        <v>44</v>
      </c>
      <c r="F246" t="s">
        <v>45</v>
      </c>
      <c r="G246" t="s">
        <v>45</v>
      </c>
      <c r="H246">
        <v>3</v>
      </c>
      <c r="I246">
        <v>0</v>
      </c>
      <c r="J246" t="s">
        <v>43</v>
      </c>
      <c r="K246" t="s">
        <v>42</v>
      </c>
      <c r="L246" t="s">
        <v>42</v>
      </c>
      <c r="M246" t="s">
        <v>43</v>
      </c>
      <c r="N246" t="s">
        <v>42</v>
      </c>
      <c r="O246">
        <v>4</v>
      </c>
      <c r="P246">
        <v>4</v>
      </c>
      <c r="Q246">
        <v>4</v>
      </c>
      <c r="R246" t="s">
        <v>61</v>
      </c>
      <c r="S246">
        <v>1</v>
      </c>
      <c r="T246" s="1">
        <v>2.3333333333333335</v>
      </c>
      <c r="U246" t="s">
        <v>61</v>
      </c>
    </row>
    <row r="247" spans="1:21" x14ac:dyDescent="0.35">
      <c r="A247" t="s">
        <v>50</v>
      </c>
      <c r="B247">
        <v>16</v>
      </c>
      <c r="C247" t="s">
        <v>35</v>
      </c>
      <c r="D247" t="s">
        <v>36</v>
      </c>
      <c r="E247" t="s">
        <v>44</v>
      </c>
      <c r="F247" t="s">
        <v>45</v>
      </c>
      <c r="G247" t="s">
        <v>45</v>
      </c>
      <c r="H247">
        <v>1</v>
      </c>
      <c r="I247">
        <v>0</v>
      </c>
      <c r="J247" t="s">
        <v>43</v>
      </c>
      <c r="K247" t="s">
        <v>43</v>
      </c>
      <c r="L247" t="s">
        <v>43</v>
      </c>
      <c r="M247" t="s">
        <v>43</v>
      </c>
      <c r="N247" t="s">
        <v>43</v>
      </c>
      <c r="O247">
        <v>4</v>
      </c>
      <c r="P247">
        <v>3</v>
      </c>
      <c r="Q247">
        <v>3</v>
      </c>
      <c r="R247" t="s">
        <v>62</v>
      </c>
      <c r="S247">
        <v>0</v>
      </c>
      <c r="T247" s="1">
        <v>18</v>
      </c>
      <c r="U247" t="s">
        <v>61</v>
      </c>
    </row>
    <row r="248" spans="1:21" x14ac:dyDescent="0.35">
      <c r="A248" t="s">
        <v>50</v>
      </c>
      <c r="B248">
        <v>17</v>
      </c>
      <c r="C248" t="s">
        <v>35</v>
      </c>
      <c r="D248" t="s">
        <v>36</v>
      </c>
      <c r="E248" t="s">
        <v>44</v>
      </c>
      <c r="F248" t="s">
        <v>45</v>
      </c>
      <c r="G248" t="s">
        <v>45</v>
      </c>
      <c r="H248">
        <v>1</v>
      </c>
      <c r="I248">
        <v>0</v>
      </c>
      <c r="J248" t="s">
        <v>43</v>
      </c>
      <c r="K248" t="s">
        <v>43</v>
      </c>
      <c r="L248" t="s">
        <v>43</v>
      </c>
      <c r="M248" t="s">
        <v>43</v>
      </c>
      <c r="N248" t="s">
        <v>43</v>
      </c>
      <c r="O248">
        <v>5</v>
      </c>
      <c r="P248">
        <v>2</v>
      </c>
      <c r="Q248">
        <v>2</v>
      </c>
      <c r="R248" t="s">
        <v>61</v>
      </c>
      <c r="S248">
        <v>0</v>
      </c>
      <c r="T248" s="1">
        <v>12.333333333333334</v>
      </c>
      <c r="U248" t="s">
        <v>61</v>
      </c>
    </row>
    <row r="249" spans="1:21" x14ac:dyDescent="0.35">
      <c r="A249" t="s">
        <v>50</v>
      </c>
      <c r="B249">
        <v>22</v>
      </c>
      <c r="C249" t="s">
        <v>35</v>
      </c>
      <c r="D249" t="s">
        <v>36</v>
      </c>
      <c r="E249" t="s">
        <v>44</v>
      </c>
      <c r="F249" t="s">
        <v>48</v>
      </c>
      <c r="G249" t="s">
        <v>48</v>
      </c>
      <c r="H249">
        <v>1</v>
      </c>
      <c r="I249">
        <v>3</v>
      </c>
      <c r="J249" t="s">
        <v>43</v>
      </c>
      <c r="K249" t="s">
        <v>43</v>
      </c>
      <c r="L249" t="s">
        <v>43</v>
      </c>
      <c r="M249" t="s">
        <v>43</v>
      </c>
      <c r="N249" t="s">
        <v>42</v>
      </c>
      <c r="O249">
        <v>5</v>
      </c>
      <c r="P249">
        <v>4</v>
      </c>
      <c r="Q249">
        <v>5</v>
      </c>
      <c r="R249" t="s">
        <v>63</v>
      </c>
      <c r="S249">
        <v>0</v>
      </c>
      <c r="T249" s="1">
        <v>7.333333333333333</v>
      </c>
      <c r="U249" t="s">
        <v>63</v>
      </c>
    </row>
    <row r="250" spans="1:21" x14ac:dyDescent="0.35">
      <c r="A250" t="s">
        <v>50</v>
      </c>
      <c r="B250">
        <v>18</v>
      </c>
      <c r="C250" t="s">
        <v>52</v>
      </c>
      <c r="D250" t="s">
        <v>47</v>
      </c>
      <c r="E250" t="s">
        <v>44</v>
      </c>
      <c r="F250" t="s">
        <v>45</v>
      </c>
      <c r="G250" t="s">
        <v>48</v>
      </c>
      <c r="H250">
        <v>2</v>
      </c>
      <c r="I250">
        <v>1</v>
      </c>
      <c r="J250" t="s">
        <v>43</v>
      </c>
      <c r="K250" t="s">
        <v>42</v>
      </c>
      <c r="L250" t="s">
        <v>43</v>
      </c>
      <c r="M250" t="s">
        <v>43</v>
      </c>
      <c r="N250" t="s">
        <v>42</v>
      </c>
      <c r="O250">
        <v>4</v>
      </c>
      <c r="P250">
        <v>3</v>
      </c>
      <c r="Q250">
        <v>3</v>
      </c>
      <c r="R250" t="s">
        <v>62</v>
      </c>
      <c r="S250">
        <v>0</v>
      </c>
      <c r="T250" s="1">
        <v>4.333333333333333</v>
      </c>
      <c r="U250" t="s">
        <v>62</v>
      </c>
    </row>
    <row r="251" spans="1:21" x14ac:dyDescent="0.35">
      <c r="A251" t="s">
        <v>50</v>
      </c>
      <c r="B251">
        <v>16</v>
      </c>
      <c r="C251" t="s">
        <v>35</v>
      </c>
      <c r="D251" t="s">
        <v>36</v>
      </c>
      <c r="E251" t="s">
        <v>44</v>
      </c>
      <c r="F251" t="s">
        <v>45</v>
      </c>
      <c r="G251" t="s">
        <v>45</v>
      </c>
      <c r="H251">
        <v>1</v>
      </c>
      <c r="I251">
        <v>0</v>
      </c>
      <c r="J251" t="s">
        <v>43</v>
      </c>
      <c r="K251" t="s">
        <v>43</v>
      </c>
      <c r="L251" t="s">
        <v>42</v>
      </c>
      <c r="M251" t="s">
        <v>43</v>
      </c>
      <c r="N251" t="s">
        <v>43</v>
      </c>
      <c r="O251">
        <v>4</v>
      </c>
      <c r="P251">
        <v>3</v>
      </c>
      <c r="Q251">
        <v>2</v>
      </c>
      <c r="R251" t="s">
        <v>61</v>
      </c>
      <c r="S251">
        <v>0</v>
      </c>
      <c r="T251" s="1">
        <v>14.333333333333334</v>
      </c>
      <c r="U251" t="s">
        <v>63</v>
      </c>
    </row>
    <row r="252" spans="1:21" x14ac:dyDescent="0.35">
      <c r="A252" t="s">
        <v>50</v>
      </c>
      <c r="B252">
        <v>18</v>
      </c>
      <c r="C252" t="s">
        <v>35</v>
      </c>
      <c r="D252" t="s">
        <v>36</v>
      </c>
      <c r="E252" t="s">
        <v>44</v>
      </c>
      <c r="F252" t="s">
        <v>48</v>
      </c>
      <c r="G252" t="s">
        <v>45</v>
      </c>
      <c r="H252">
        <v>1</v>
      </c>
      <c r="I252">
        <v>1</v>
      </c>
      <c r="J252" t="s">
        <v>43</v>
      </c>
      <c r="K252" t="s">
        <v>43</v>
      </c>
      <c r="L252" t="s">
        <v>43</v>
      </c>
      <c r="M252" t="s">
        <v>43</v>
      </c>
      <c r="N252" t="s">
        <v>43</v>
      </c>
      <c r="O252">
        <v>4</v>
      </c>
      <c r="P252">
        <v>4</v>
      </c>
      <c r="Q252">
        <v>5</v>
      </c>
      <c r="R252" t="s">
        <v>61</v>
      </c>
      <c r="S252">
        <v>0</v>
      </c>
      <c r="T252" s="1">
        <v>7.333333333333333</v>
      </c>
      <c r="U252" t="s">
        <v>63</v>
      </c>
    </row>
    <row r="253" spans="1:21" x14ac:dyDescent="0.35">
      <c r="A253" t="s">
        <v>50</v>
      </c>
      <c r="B253">
        <v>16</v>
      </c>
      <c r="C253" t="s">
        <v>35</v>
      </c>
      <c r="D253" t="s">
        <v>36</v>
      </c>
      <c r="E253" t="s">
        <v>44</v>
      </c>
      <c r="F253" t="s">
        <v>38</v>
      </c>
      <c r="G253" t="s">
        <v>45</v>
      </c>
      <c r="H253">
        <v>2</v>
      </c>
      <c r="I253">
        <v>0</v>
      </c>
      <c r="J253" t="s">
        <v>42</v>
      </c>
      <c r="K253" t="s">
        <v>42</v>
      </c>
      <c r="L253" t="s">
        <v>43</v>
      </c>
      <c r="M253" t="s">
        <v>43</v>
      </c>
      <c r="N253" t="s">
        <v>43</v>
      </c>
      <c r="O253">
        <v>5</v>
      </c>
      <c r="P253">
        <v>3</v>
      </c>
      <c r="Q253">
        <v>3</v>
      </c>
      <c r="R253" t="s">
        <v>62</v>
      </c>
      <c r="S253">
        <v>0</v>
      </c>
      <c r="T253" s="1">
        <v>9</v>
      </c>
      <c r="U253" t="s">
        <v>62</v>
      </c>
    </row>
    <row r="254" spans="1:21" x14ac:dyDescent="0.35">
      <c r="A254" t="s">
        <v>50</v>
      </c>
      <c r="B254">
        <v>18</v>
      </c>
      <c r="C254" t="s">
        <v>35</v>
      </c>
      <c r="D254" t="s">
        <v>36</v>
      </c>
      <c r="E254" t="s">
        <v>44</v>
      </c>
      <c r="F254" t="s">
        <v>48</v>
      </c>
      <c r="G254" t="s">
        <v>48</v>
      </c>
      <c r="H254">
        <v>1</v>
      </c>
      <c r="I254">
        <v>1</v>
      </c>
      <c r="J254" t="s">
        <v>43</v>
      </c>
      <c r="K254" t="s">
        <v>43</v>
      </c>
      <c r="L254" t="s">
        <v>43</v>
      </c>
      <c r="M254" t="s">
        <v>43</v>
      </c>
      <c r="N254" t="s">
        <v>43</v>
      </c>
      <c r="O254">
        <v>3</v>
      </c>
      <c r="P254">
        <v>2</v>
      </c>
      <c r="Q254">
        <v>5</v>
      </c>
      <c r="R254" t="s">
        <v>61</v>
      </c>
      <c r="S254">
        <v>1</v>
      </c>
      <c r="T254" s="1">
        <v>7.666666666666667</v>
      </c>
      <c r="U254" t="s">
        <v>63</v>
      </c>
    </row>
    <row r="255" spans="1:21" x14ac:dyDescent="0.35">
      <c r="A255" t="s">
        <v>50</v>
      </c>
      <c r="B255">
        <v>16</v>
      </c>
      <c r="C255" t="s">
        <v>52</v>
      </c>
      <c r="D255" t="s">
        <v>36</v>
      </c>
      <c r="E255" t="s">
        <v>44</v>
      </c>
      <c r="F255" t="s">
        <v>45</v>
      </c>
      <c r="G255" t="s">
        <v>45</v>
      </c>
      <c r="H255">
        <v>1</v>
      </c>
      <c r="I255">
        <v>0</v>
      </c>
      <c r="J255" t="s">
        <v>43</v>
      </c>
      <c r="K255" t="s">
        <v>43</v>
      </c>
      <c r="L255" t="s">
        <v>43</v>
      </c>
      <c r="M255" t="s">
        <v>42</v>
      </c>
      <c r="N255" t="s">
        <v>43</v>
      </c>
      <c r="O255">
        <v>3</v>
      </c>
      <c r="P255">
        <v>3</v>
      </c>
      <c r="Q255">
        <v>2</v>
      </c>
      <c r="R255" t="s">
        <v>61</v>
      </c>
      <c r="S255">
        <v>1</v>
      </c>
      <c r="T255" s="1">
        <v>8.3333333333333339</v>
      </c>
      <c r="U255" t="s">
        <v>62</v>
      </c>
    </row>
    <row r="256" spans="1:21" x14ac:dyDescent="0.35">
      <c r="A256" t="s">
        <v>50</v>
      </c>
      <c r="B256">
        <v>17</v>
      </c>
      <c r="C256" t="s">
        <v>52</v>
      </c>
      <c r="D256" t="s">
        <v>36</v>
      </c>
      <c r="E256" t="s">
        <v>44</v>
      </c>
      <c r="F256" t="s">
        <v>45</v>
      </c>
      <c r="G256" t="s">
        <v>45</v>
      </c>
      <c r="H256">
        <v>1</v>
      </c>
      <c r="I256">
        <v>0</v>
      </c>
      <c r="J256" t="s">
        <v>43</v>
      </c>
      <c r="K256" t="s">
        <v>43</v>
      </c>
      <c r="L256" t="s">
        <v>43</v>
      </c>
      <c r="M256" t="s">
        <v>43</v>
      </c>
      <c r="N256" t="s">
        <v>43</v>
      </c>
      <c r="O256">
        <v>4</v>
      </c>
      <c r="P256">
        <v>4</v>
      </c>
      <c r="Q256">
        <v>2</v>
      </c>
      <c r="R256" t="s">
        <v>61</v>
      </c>
      <c r="S256">
        <v>0</v>
      </c>
      <c r="T256" s="1">
        <v>10.666666666666666</v>
      </c>
      <c r="U256" t="s">
        <v>63</v>
      </c>
    </row>
    <row r="257" spans="1:21" x14ac:dyDescent="0.35">
      <c r="A257" t="s">
        <v>50</v>
      </c>
      <c r="B257">
        <v>17</v>
      </c>
      <c r="C257" t="s">
        <v>35</v>
      </c>
      <c r="D257" t="s">
        <v>47</v>
      </c>
      <c r="E257" t="s">
        <v>44</v>
      </c>
      <c r="F257" t="s">
        <v>28</v>
      </c>
      <c r="G257" t="s">
        <v>45</v>
      </c>
      <c r="H257">
        <v>1</v>
      </c>
      <c r="I257">
        <v>1</v>
      </c>
      <c r="J257" t="s">
        <v>43</v>
      </c>
      <c r="K257" t="s">
        <v>42</v>
      </c>
      <c r="L257" t="s">
        <v>43</v>
      </c>
      <c r="M257" t="s">
        <v>42</v>
      </c>
      <c r="N257" t="s">
        <v>43</v>
      </c>
      <c r="O257">
        <v>4</v>
      </c>
      <c r="P257">
        <v>4</v>
      </c>
      <c r="Q257">
        <v>4</v>
      </c>
      <c r="R257" t="s">
        <v>61</v>
      </c>
      <c r="S257">
        <v>1</v>
      </c>
      <c r="T257" s="1">
        <v>8</v>
      </c>
      <c r="U257" t="s">
        <v>62</v>
      </c>
    </row>
    <row r="258" spans="1:21" x14ac:dyDescent="0.35">
      <c r="A258" t="s">
        <v>34</v>
      </c>
      <c r="B258">
        <v>17</v>
      </c>
      <c r="C258" t="s">
        <v>35</v>
      </c>
      <c r="D258" t="s">
        <v>47</v>
      </c>
      <c r="E258" t="s">
        <v>44</v>
      </c>
      <c r="F258" t="s">
        <v>39</v>
      </c>
      <c r="G258" t="s">
        <v>48</v>
      </c>
      <c r="H258">
        <v>4</v>
      </c>
      <c r="I258">
        <v>0</v>
      </c>
      <c r="J258" t="s">
        <v>43</v>
      </c>
      <c r="K258" t="s">
        <v>42</v>
      </c>
      <c r="L258" t="s">
        <v>42</v>
      </c>
      <c r="M258" t="s">
        <v>42</v>
      </c>
      <c r="N258" t="s">
        <v>43</v>
      </c>
      <c r="O258">
        <v>4</v>
      </c>
      <c r="P258">
        <v>2</v>
      </c>
      <c r="Q258">
        <v>3</v>
      </c>
      <c r="R258" t="s">
        <v>62</v>
      </c>
      <c r="S258">
        <v>1</v>
      </c>
      <c r="T258" s="1">
        <v>13</v>
      </c>
      <c r="U258" t="s">
        <v>61</v>
      </c>
    </row>
    <row r="259" spans="1:21" x14ac:dyDescent="0.35">
      <c r="A259" t="s">
        <v>50</v>
      </c>
      <c r="B259">
        <v>19</v>
      </c>
      <c r="C259" t="s">
        <v>35</v>
      </c>
      <c r="D259" t="s">
        <v>47</v>
      </c>
      <c r="E259" t="s">
        <v>37</v>
      </c>
      <c r="F259" t="s">
        <v>48</v>
      </c>
      <c r="G259" t="s">
        <v>38</v>
      </c>
      <c r="H259">
        <v>2</v>
      </c>
      <c r="I259">
        <v>0</v>
      </c>
      <c r="J259" t="s">
        <v>43</v>
      </c>
      <c r="K259" t="s">
        <v>42</v>
      </c>
      <c r="L259" t="s">
        <v>43</v>
      </c>
      <c r="M259" t="s">
        <v>43</v>
      </c>
      <c r="N259" t="s">
        <v>43</v>
      </c>
      <c r="O259">
        <v>4</v>
      </c>
      <c r="P259">
        <v>3</v>
      </c>
      <c r="Q259">
        <v>1</v>
      </c>
      <c r="R259" t="s">
        <v>63</v>
      </c>
      <c r="S259">
        <v>0</v>
      </c>
      <c r="T259" s="1">
        <v>11</v>
      </c>
      <c r="U259" t="s">
        <v>61</v>
      </c>
    </row>
    <row r="260" spans="1:21" x14ac:dyDescent="0.35">
      <c r="A260" t="s">
        <v>50</v>
      </c>
      <c r="B260">
        <v>18</v>
      </c>
      <c r="C260" t="s">
        <v>35</v>
      </c>
      <c r="D260" t="s">
        <v>36</v>
      </c>
      <c r="E260" t="s">
        <v>44</v>
      </c>
      <c r="F260" t="s">
        <v>45</v>
      </c>
      <c r="G260" t="s">
        <v>45</v>
      </c>
      <c r="H260">
        <v>2</v>
      </c>
      <c r="I260">
        <v>0</v>
      </c>
      <c r="J260" t="s">
        <v>43</v>
      </c>
      <c r="K260" t="s">
        <v>43</v>
      </c>
      <c r="L260" t="s">
        <v>43</v>
      </c>
      <c r="M260" t="s">
        <v>42</v>
      </c>
      <c r="N260" t="s">
        <v>43</v>
      </c>
      <c r="O260">
        <v>5</v>
      </c>
      <c r="P260">
        <v>2</v>
      </c>
      <c r="Q260">
        <v>4</v>
      </c>
      <c r="R260" t="s">
        <v>62</v>
      </c>
      <c r="S260">
        <v>1</v>
      </c>
      <c r="T260" s="1">
        <v>14.333333333333334</v>
      </c>
      <c r="U260" t="s">
        <v>62</v>
      </c>
    </row>
    <row r="261" spans="1:21" x14ac:dyDescent="0.35">
      <c r="A261" t="s">
        <v>34</v>
      </c>
      <c r="B261">
        <v>17</v>
      </c>
      <c r="C261" t="s">
        <v>35</v>
      </c>
      <c r="D261" t="s">
        <v>47</v>
      </c>
      <c r="E261" t="s">
        <v>44</v>
      </c>
      <c r="F261" t="s">
        <v>48</v>
      </c>
      <c r="G261" t="s">
        <v>48</v>
      </c>
      <c r="H261">
        <v>4</v>
      </c>
      <c r="I261">
        <v>0</v>
      </c>
      <c r="J261" t="s">
        <v>43</v>
      </c>
      <c r="K261" t="s">
        <v>43</v>
      </c>
      <c r="L261" t="s">
        <v>42</v>
      </c>
      <c r="M261" t="s">
        <v>42</v>
      </c>
      <c r="N261" t="s">
        <v>42</v>
      </c>
      <c r="O261">
        <v>3</v>
      </c>
      <c r="P261">
        <v>4</v>
      </c>
      <c r="Q261">
        <v>1</v>
      </c>
      <c r="R261" t="s">
        <v>61</v>
      </c>
      <c r="S261">
        <v>2</v>
      </c>
      <c r="T261" s="1">
        <v>6.333333333333333</v>
      </c>
      <c r="U261" t="s">
        <v>61</v>
      </c>
    </row>
    <row r="262" spans="1:21" x14ac:dyDescent="0.35">
      <c r="A262" t="s">
        <v>34</v>
      </c>
      <c r="B262">
        <v>18</v>
      </c>
      <c r="C262" t="s">
        <v>35</v>
      </c>
      <c r="D262" t="s">
        <v>36</v>
      </c>
      <c r="E262" t="s">
        <v>44</v>
      </c>
      <c r="F262" t="s">
        <v>48</v>
      </c>
      <c r="G262" t="s">
        <v>45</v>
      </c>
      <c r="H262">
        <v>2</v>
      </c>
      <c r="I262">
        <v>0</v>
      </c>
      <c r="J262" t="s">
        <v>43</v>
      </c>
      <c r="K262" t="s">
        <v>42</v>
      </c>
      <c r="L262" t="s">
        <v>42</v>
      </c>
      <c r="M262" t="s">
        <v>43</v>
      </c>
      <c r="N262" t="s">
        <v>42</v>
      </c>
      <c r="O262">
        <v>3</v>
      </c>
      <c r="P262">
        <v>1</v>
      </c>
      <c r="Q262">
        <v>2</v>
      </c>
      <c r="R262" t="s">
        <v>63</v>
      </c>
      <c r="S262">
        <v>0</v>
      </c>
      <c r="T262" s="1">
        <v>17.666666666666668</v>
      </c>
      <c r="U262" t="s">
        <v>62</v>
      </c>
    </row>
    <row r="263" spans="1:21" x14ac:dyDescent="0.35">
      <c r="A263" t="s">
        <v>50</v>
      </c>
      <c r="B263">
        <v>18</v>
      </c>
      <c r="C263" t="s">
        <v>35</v>
      </c>
      <c r="D263" t="s">
        <v>36</v>
      </c>
      <c r="E263" t="s">
        <v>44</v>
      </c>
      <c r="F263" t="s">
        <v>39</v>
      </c>
      <c r="G263" t="s">
        <v>45</v>
      </c>
      <c r="H263">
        <v>2</v>
      </c>
      <c r="I263">
        <v>0</v>
      </c>
      <c r="J263" t="s">
        <v>43</v>
      </c>
      <c r="K263" t="s">
        <v>42</v>
      </c>
      <c r="L263" t="s">
        <v>42</v>
      </c>
      <c r="M263" t="s">
        <v>43</v>
      </c>
      <c r="N263" t="s">
        <v>43</v>
      </c>
      <c r="O263">
        <v>4</v>
      </c>
      <c r="P263">
        <v>3</v>
      </c>
      <c r="Q263">
        <v>2</v>
      </c>
      <c r="R263" t="s">
        <v>61</v>
      </c>
      <c r="S263">
        <v>0</v>
      </c>
      <c r="T263" s="1">
        <v>8</v>
      </c>
      <c r="U263" t="s">
        <v>61</v>
      </c>
    </row>
    <row r="264" spans="1:21" x14ac:dyDescent="0.35">
      <c r="A264" t="s">
        <v>50</v>
      </c>
      <c r="B264">
        <v>18</v>
      </c>
      <c r="C264" t="s">
        <v>52</v>
      </c>
      <c r="D264" t="s">
        <v>36</v>
      </c>
      <c r="E264" t="s">
        <v>44</v>
      </c>
      <c r="F264" t="s">
        <v>45</v>
      </c>
      <c r="G264" t="s">
        <v>45</v>
      </c>
      <c r="H264">
        <v>3</v>
      </c>
      <c r="I264">
        <v>0</v>
      </c>
      <c r="J264" t="s">
        <v>43</v>
      </c>
      <c r="K264" t="s">
        <v>43</v>
      </c>
      <c r="L264" t="s">
        <v>43</v>
      </c>
      <c r="M264" t="s">
        <v>42</v>
      </c>
      <c r="N264" t="s">
        <v>43</v>
      </c>
      <c r="O264">
        <v>5</v>
      </c>
      <c r="P264">
        <v>3</v>
      </c>
      <c r="Q264">
        <v>2</v>
      </c>
      <c r="R264" t="s">
        <v>61</v>
      </c>
      <c r="S264">
        <v>1</v>
      </c>
      <c r="T264" s="1">
        <v>12.333333333333334</v>
      </c>
      <c r="U264" t="s">
        <v>61</v>
      </c>
    </row>
    <row r="265" spans="1:21" x14ac:dyDescent="0.35">
      <c r="A265" t="s">
        <v>34</v>
      </c>
      <c r="B265">
        <v>17</v>
      </c>
      <c r="C265" t="s">
        <v>35</v>
      </c>
      <c r="D265" t="s">
        <v>36</v>
      </c>
      <c r="E265" t="s">
        <v>44</v>
      </c>
      <c r="F265" t="s">
        <v>45</v>
      </c>
      <c r="G265" t="s">
        <v>45</v>
      </c>
      <c r="H265">
        <v>3</v>
      </c>
      <c r="I265">
        <v>0</v>
      </c>
      <c r="J265" t="s">
        <v>43</v>
      </c>
      <c r="K265" t="s">
        <v>43</v>
      </c>
      <c r="L265" t="s">
        <v>43</v>
      </c>
      <c r="M265" t="s">
        <v>42</v>
      </c>
      <c r="N265" t="s">
        <v>43</v>
      </c>
      <c r="O265">
        <v>3</v>
      </c>
      <c r="P265">
        <v>2</v>
      </c>
      <c r="Q265">
        <v>3</v>
      </c>
      <c r="R265" t="s">
        <v>61</v>
      </c>
      <c r="S265">
        <v>1</v>
      </c>
      <c r="T265" s="1">
        <v>9.3333333333333339</v>
      </c>
      <c r="U265" t="s">
        <v>61</v>
      </c>
    </row>
    <row r="266" spans="1:21" x14ac:dyDescent="0.35">
      <c r="A266" t="s">
        <v>34</v>
      </c>
      <c r="B266">
        <v>18</v>
      </c>
      <c r="C266" t="s">
        <v>35</v>
      </c>
      <c r="D266" t="s">
        <v>36</v>
      </c>
      <c r="E266" t="s">
        <v>44</v>
      </c>
      <c r="F266" t="s">
        <v>38</v>
      </c>
      <c r="G266" t="s">
        <v>48</v>
      </c>
      <c r="H266">
        <v>3</v>
      </c>
      <c r="I266">
        <v>0</v>
      </c>
      <c r="J266" t="s">
        <v>43</v>
      </c>
      <c r="K266" t="s">
        <v>42</v>
      </c>
      <c r="L266" t="s">
        <v>42</v>
      </c>
      <c r="M266" t="s">
        <v>42</v>
      </c>
      <c r="N266" t="s">
        <v>42</v>
      </c>
      <c r="O266">
        <v>4</v>
      </c>
      <c r="P266">
        <v>3</v>
      </c>
      <c r="Q266">
        <v>3</v>
      </c>
      <c r="R266" t="s">
        <v>61</v>
      </c>
      <c r="S266">
        <v>1</v>
      </c>
      <c r="T266" s="1">
        <v>6.333333333333333</v>
      </c>
      <c r="U266" t="s">
        <v>61</v>
      </c>
    </row>
    <row r="267" spans="1:21" x14ac:dyDescent="0.35">
      <c r="A267" t="s">
        <v>50</v>
      </c>
      <c r="B267">
        <v>18</v>
      </c>
      <c r="C267" t="s">
        <v>52</v>
      </c>
      <c r="D267" t="s">
        <v>47</v>
      </c>
      <c r="E267" t="s">
        <v>37</v>
      </c>
      <c r="F267" t="s">
        <v>45</v>
      </c>
      <c r="G267" t="s">
        <v>45</v>
      </c>
      <c r="H267">
        <v>2</v>
      </c>
      <c r="I267">
        <v>0</v>
      </c>
      <c r="J267" t="s">
        <v>43</v>
      </c>
      <c r="K267" t="s">
        <v>42</v>
      </c>
      <c r="L267" t="s">
        <v>42</v>
      </c>
      <c r="M267" t="s">
        <v>42</v>
      </c>
      <c r="N267" t="s">
        <v>43</v>
      </c>
      <c r="O267">
        <v>4</v>
      </c>
      <c r="P267">
        <v>2</v>
      </c>
      <c r="Q267">
        <v>5</v>
      </c>
      <c r="R267" t="s">
        <v>63</v>
      </c>
      <c r="S267">
        <v>0</v>
      </c>
      <c r="T267" s="1">
        <v>17</v>
      </c>
      <c r="U267" t="s">
        <v>63</v>
      </c>
    </row>
    <row r="268" spans="1:21" x14ac:dyDescent="0.35">
      <c r="A268" t="s">
        <v>50</v>
      </c>
      <c r="B268">
        <v>17</v>
      </c>
      <c r="C268" t="s">
        <v>35</v>
      </c>
      <c r="D268" t="s">
        <v>36</v>
      </c>
      <c r="E268" t="s">
        <v>44</v>
      </c>
      <c r="F268" t="s">
        <v>48</v>
      </c>
      <c r="G268" t="s">
        <v>45</v>
      </c>
      <c r="H268">
        <v>2</v>
      </c>
      <c r="I268">
        <v>0</v>
      </c>
      <c r="J268" t="s">
        <v>43</v>
      </c>
      <c r="K268" t="s">
        <v>43</v>
      </c>
      <c r="L268" t="s">
        <v>42</v>
      </c>
      <c r="M268" t="s">
        <v>42</v>
      </c>
      <c r="N268" t="s">
        <v>42</v>
      </c>
      <c r="O268">
        <v>5</v>
      </c>
      <c r="P268">
        <v>4</v>
      </c>
      <c r="Q268">
        <v>4</v>
      </c>
      <c r="R268" t="s">
        <v>61</v>
      </c>
      <c r="S268">
        <v>0</v>
      </c>
      <c r="T268" s="1">
        <v>9.3333333333333339</v>
      </c>
      <c r="U268" t="s">
        <v>63</v>
      </c>
    </row>
    <row r="269" spans="1:21" x14ac:dyDescent="0.35">
      <c r="A269" t="s">
        <v>34</v>
      </c>
      <c r="B269">
        <v>18</v>
      </c>
      <c r="C269" t="s">
        <v>52</v>
      </c>
      <c r="D269" t="s">
        <v>36</v>
      </c>
      <c r="E269" t="s">
        <v>44</v>
      </c>
      <c r="F269" t="s">
        <v>39</v>
      </c>
      <c r="G269" t="s">
        <v>45</v>
      </c>
      <c r="H269">
        <v>2</v>
      </c>
      <c r="I269">
        <v>0</v>
      </c>
      <c r="J269" t="s">
        <v>43</v>
      </c>
      <c r="K269" t="s">
        <v>43</v>
      </c>
      <c r="L269" t="s">
        <v>42</v>
      </c>
      <c r="M269" t="s">
        <v>42</v>
      </c>
      <c r="N269" t="s">
        <v>43</v>
      </c>
      <c r="O269">
        <v>4</v>
      </c>
      <c r="P269">
        <v>3</v>
      </c>
      <c r="Q269">
        <v>4</v>
      </c>
      <c r="R269" t="s">
        <v>62</v>
      </c>
      <c r="S269">
        <v>1</v>
      </c>
      <c r="T269" s="1">
        <v>11</v>
      </c>
      <c r="U269" t="s">
        <v>62</v>
      </c>
    </row>
    <row r="270" spans="1:21" x14ac:dyDescent="0.35">
      <c r="A270" t="s">
        <v>50</v>
      </c>
      <c r="B270">
        <v>18</v>
      </c>
      <c r="C270" t="s">
        <v>35</v>
      </c>
      <c r="D270" t="s">
        <v>36</v>
      </c>
      <c r="E270" t="s">
        <v>44</v>
      </c>
      <c r="F270" t="s">
        <v>28</v>
      </c>
      <c r="G270" t="s">
        <v>45</v>
      </c>
      <c r="H270">
        <v>2</v>
      </c>
      <c r="I270">
        <v>0</v>
      </c>
      <c r="J270" t="s">
        <v>43</v>
      </c>
      <c r="K270" t="s">
        <v>42</v>
      </c>
      <c r="L270" t="s">
        <v>42</v>
      </c>
      <c r="M270" t="s">
        <v>42</v>
      </c>
      <c r="N270" t="s">
        <v>42</v>
      </c>
      <c r="O270">
        <v>5</v>
      </c>
      <c r="P270">
        <v>4</v>
      </c>
      <c r="Q270">
        <v>5</v>
      </c>
      <c r="R270" t="s">
        <v>63</v>
      </c>
      <c r="S270">
        <v>1</v>
      </c>
      <c r="T270" s="1">
        <v>9.6666666666666661</v>
      </c>
      <c r="U270" t="s">
        <v>62</v>
      </c>
    </row>
    <row r="271" spans="1:21" x14ac:dyDescent="0.35">
      <c r="A271" t="s">
        <v>34</v>
      </c>
      <c r="B271">
        <v>18</v>
      </c>
      <c r="C271" t="s">
        <v>52</v>
      </c>
      <c r="D271" t="s">
        <v>36</v>
      </c>
      <c r="E271" t="s">
        <v>44</v>
      </c>
      <c r="F271" t="s">
        <v>45</v>
      </c>
      <c r="G271" t="s">
        <v>45</v>
      </c>
      <c r="H271">
        <v>2</v>
      </c>
      <c r="I271">
        <v>0</v>
      </c>
      <c r="J271" t="s">
        <v>43</v>
      </c>
      <c r="K271" t="s">
        <v>42</v>
      </c>
      <c r="L271" t="s">
        <v>43</v>
      </c>
      <c r="M271" t="s">
        <v>43</v>
      </c>
      <c r="N271" t="s">
        <v>42</v>
      </c>
      <c r="O271">
        <v>4</v>
      </c>
      <c r="P271">
        <v>3</v>
      </c>
      <c r="Q271">
        <v>5</v>
      </c>
      <c r="R271" t="s">
        <v>61</v>
      </c>
      <c r="S271">
        <v>1</v>
      </c>
      <c r="T271" s="1">
        <v>2</v>
      </c>
      <c r="U271" t="s">
        <v>62</v>
      </c>
    </row>
    <row r="272" spans="1:21" x14ac:dyDescent="0.35">
      <c r="A272" t="s">
        <v>34</v>
      </c>
      <c r="B272">
        <v>19</v>
      </c>
      <c r="C272" t="s">
        <v>35</v>
      </c>
      <c r="D272" t="s">
        <v>36</v>
      </c>
      <c r="E272" t="s">
        <v>44</v>
      </c>
      <c r="F272" t="s">
        <v>45</v>
      </c>
      <c r="G272" t="s">
        <v>48</v>
      </c>
      <c r="H272">
        <v>2</v>
      </c>
      <c r="I272">
        <v>2</v>
      </c>
      <c r="J272" t="s">
        <v>43</v>
      </c>
      <c r="K272" t="s">
        <v>42</v>
      </c>
      <c r="L272" t="s">
        <v>42</v>
      </c>
      <c r="M272" t="s">
        <v>42</v>
      </c>
      <c r="N272" t="s">
        <v>43</v>
      </c>
      <c r="O272">
        <v>4</v>
      </c>
      <c r="P272">
        <v>3</v>
      </c>
      <c r="Q272">
        <v>5</v>
      </c>
      <c r="R272" t="s">
        <v>63</v>
      </c>
      <c r="S272">
        <v>0</v>
      </c>
      <c r="T272" s="1">
        <v>9</v>
      </c>
      <c r="U272" t="s">
        <v>63</v>
      </c>
    </row>
    <row r="273" spans="1:21" x14ac:dyDescent="0.35">
      <c r="A273" t="s">
        <v>34</v>
      </c>
      <c r="B273">
        <v>18</v>
      </c>
      <c r="C273" t="s">
        <v>35</v>
      </c>
      <c r="D273" t="s">
        <v>36</v>
      </c>
      <c r="E273" t="s">
        <v>44</v>
      </c>
      <c r="F273" t="s">
        <v>45</v>
      </c>
      <c r="G273" t="s">
        <v>48</v>
      </c>
      <c r="H273">
        <v>4</v>
      </c>
      <c r="I273">
        <v>0</v>
      </c>
      <c r="J273" t="s">
        <v>43</v>
      </c>
      <c r="K273" t="s">
        <v>42</v>
      </c>
      <c r="L273" t="s">
        <v>42</v>
      </c>
      <c r="M273" t="s">
        <v>42</v>
      </c>
      <c r="N273" t="s">
        <v>42</v>
      </c>
      <c r="O273">
        <v>4</v>
      </c>
      <c r="P273">
        <v>5</v>
      </c>
      <c r="Q273">
        <v>5</v>
      </c>
      <c r="R273" t="s">
        <v>61</v>
      </c>
      <c r="S273">
        <v>1</v>
      </c>
      <c r="T273" s="1">
        <v>14.333333333333334</v>
      </c>
      <c r="U273" t="s">
        <v>62</v>
      </c>
    </row>
    <row r="274" spans="1:21" x14ac:dyDescent="0.35">
      <c r="A274" t="s">
        <v>34</v>
      </c>
      <c r="B274">
        <v>18</v>
      </c>
      <c r="C274" t="s">
        <v>35</v>
      </c>
      <c r="D274" t="s">
        <v>47</v>
      </c>
      <c r="E274" t="s">
        <v>44</v>
      </c>
      <c r="F274" t="s">
        <v>45</v>
      </c>
      <c r="G274" t="s">
        <v>45</v>
      </c>
      <c r="H274">
        <v>2</v>
      </c>
      <c r="I274">
        <v>0</v>
      </c>
      <c r="J274" t="s">
        <v>43</v>
      </c>
      <c r="K274" t="s">
        <v>42</v>
      </c>
      <c r="L274" t="s">
        <v>42</v>
      </c>
      <c r="M274" t="s">
        <v>43</v>
      </c>
      <c r="N274" t="s">
        <v>43</v>
      </c>
      <c r="O274">
        <v>4</v>
      </c>
      <c r="P274">
        <v>4</v>
      </c>
      <c r="Q274">
        <v>3</v>
      </c>
      <c r="R274" t="s">
        <v>61</v>
      </c>
      <c r="S274">
        <v>0</v>
      </c>
      <c r="T274" s="1">
        <v>11</v>
      </c>
      <c r="U274" t="s">
        <v>61</v>
      </c>
    </row>
    <row r="275" spans="1:21" x14ac:dyDescent="0.35">
      <c r="A275" t="s">
        <v>50</v>
      </c>
      <c r="B275">
        <v>17</v>
      </c>
      <c r="C275" t="s">
        <v>52</v>
      </c>
      <c r="D275" t="s">
        <v>36</v>
      </c>
      <c r="E275" t="s">
        <v>44</v>
      </c>
      <c r="F275" t="s">
        <v>38</v>
      </c>
      <c r="G275" t="s">
        <v>38</v>
      </c>
      <c r="H275">
        <v>2</v>
      </c>
      <c r="I275">
        <v>0</v>
      </c>
      <c r="J275" t="s">
        <v>43</v>
      </c>
      <c r="K275" t="s">
        <v>42</v>
      </c>
      <c r="L275" t="s">
        <v>42</v>
      </c>
      <c r="M275" t="s">
        <v>42</v>
      </c>
      <c r="N275" t="s">
        <v>42</v>
      </c>
      <c r="O275">
        <v>3</v>
      </c>
      <c r="P275">
        <v>5</v>
      </c>
      <c r="Q275">
        <v>2</v>
      </c>
      <c r="R275" t="s">
        <v>61</v>
      </c>
      <c r="S275">
        <v>1</v>
      </c>
      <c r="T275" s="1">
        <v>14.333333333333334</v>
      </c>
      <c r="U275" t="s">
        <v>62</v>
      </c>
    </row>
    <row r="276" spans="1:21" x14ac:dyDescent="0.35">
      <c r="A276" t="s">
        <v>34</v>
      </c>
      <c r="B276">
        <v>17</v>
      </c>
      <c r="C276" t="s">
        <v>35</v>
      </c>
      <c r="D276" t="s">
        <v>36</v>
      </c>
      <c r="E276" t="s">
        <v>44</v>
      </c>
      <c r="F276" t="s">
        <v>38</v>
      </c>
      <c r="G276" t="s">
        <v>28</v>
      </c>
      <c r="H276">
        <v>2</v>
      </c>
      <c r="I276">
        <v>0</v>
      </c>
      <c r="J276" t="s">
        <v>43</v>
      </c>
      <c r="K276" t="s">
        <v>42</v>
      </c>
      <c r="L276" t="s">
        <v>42</v>
      </c>
      <c r="M276" t="s">
        <v>43</v>
      </c>
      <c r="N276" t="s">
        <v>42</v>
      </c>
      <c r="O276">
        <v>4</v>
      </c>
      <c r="P276">
        <v>3</v>
      </c>
      <c r="Q276">
        <v>3</v>
      </c>
      <c r="R276" t="s">
        <v>61</v>
      </c>
      <c r="S276">
        <v>0</v>
      </c>
      <c r="T276" s="1">
        <v>10</v>
      </c>
      <c r="U276" t="s">
        <v>61</v>
      </c>
    </row>
    <row r="277" spans="1:21" x14ac:dyDescent="0.35">
      <c r="A277" t="s">
        <v>34</v>
      </c>
      <c r="B277">
        <v>17</v>
      </c>
      <c r="C277" t="s">
        <v>35</v>
      </c>
      <c r="D277" t="s">
        <v>47</v>
      </c>
      <c r="E277" t="s">
        <v>44</v>
      </c>
      <c r="F277" t="s">
        <v>48</v>
      </c>
      <c r="G277" t="s">
        <v>45</v>
      </c>
      <c r="H277">
        <v>2</v>
      </c>
      <c r="I277">
        <v>0</v>
      </c>
      <c r="J277" t="s">
        <v>42</v>
      </c>
      <c r="K277" t="s">
        <v>42</v>
      </c>
      <c r="L277" t="s">
        <v>42</v>
      </c>
      <c r="M277" t="s">
        <v>43</v>
      </c>
      <c r="N277" t="s">
        <v>42</v>
      </c>
      <c r="O277">
        <v>4</v>
      </c>
      <c r="P277">
        <v>4</v>
      </c>
      <c r="Q277">
        <v>4</v>
      </c>
      <c r="R277" t="s">
        <v>62</v>
      </c>
      <c r="S277">
        <v>0</v>
      </c>
      <c r="T277" s="1">
        <v>12</v>
      </c>
      <c r="U277" t="s">
        <v>63</v>
      </c>
    </row>
    <row r="278" spans="1:21" x14ac:dyDescent="0.35">
      <c r="A278" t="s">
        <v>34</v>
      </c>
      <c r="B278">
        <v>18</v>
      </c>
      <c r="C278" t="s">
        <v>52</v>
      </c>
      <c r="D278" t="s">
        <v>36</v>
      </c>
      <c r="E278" t="s">
        <v>37</v>
      </c>
      <c r="F278" t="s">
        <v>45</v>
      </c>
      <c r="G278" t="s">
        <v>48</v>
      </c>
      <c r="H278">
        <v>2</v>
      </c>
      <c r="I278">
        <v>0</v>
      </c>
      <c r="J278" t="s">
        <v>43</v>
      </c>
      <c r="K278" t="s">
        <v>43</v>
      </c>
      <c r="L278" t="s">
        <v>43</v>
      </c>
      <c r="M278" t="s">
        <v>43</v>
      </c>
      <c r="N278" t="s">
        <v>42</v>
      </c>
      <c r="O278">
        <v>4</v>
      </c>
      <c r="P278">
        <v>1</v>
      </c>
      <c r="Q278">
        <v>1</v>
      </c>
      <c r="R278" t="s">
        <v>63</v>
      </c>
      <c r="S278">
        <v>1</v>
      </c>
      <c r="T278" s="1">
        <v>9.3333333333333339</v>
      </c>
      <c r="U278" t="s">
        <v>61</v>
      </c>
    </row>
    <row r="279" spans="1:21" x14ac:dyDescent="0.35">
      <c r="A279" t="s">
        <v>50</v>
      </c>
      <c r="B279">
        <v>18</v>
      </c>
      <c r="C279" t="s">
        <v>35</v>
      </c>
      <c r="D279" t="s">
        <v>36</v>
      </c>
      <c r="E279" t="s">
        <v>44</v>
      </c>
      <c r="F279" t="s">
        <v>39</v>
      </c>
      <c r="G279" t="s">
        <v>48</v>
      </c>
      <c r="H279">
        <v>1</v>
      </c>
      <c r="I279">
        <v>0</v>
      </c>
      <c r="J279" t="s">
        <v>43</v>
      </c>
      <c r="K279" t="s">
        <v>43</v>
      </c>
      <c r="L279" t="s">
        <v>42</v>
      </c>
      <c r="M279" t="s">
        <v>42</v>
      </c>
      <c r="N279" t="s">
        <v>43</v>
      </c>
      <c r="O279">
        <v>3</v>
      </c>
      <c r="P279">
        <v>2</v>
      </c>
      <c r="Q279">
        <v>4</v>
      </c>
      <c r="R279" t="s">
        <v>63</v>
      </c>
      <c r="S279">
        <v>0</v>
      </c>
      <c r="T279" s="1">
        <v>9</v>
      </c>
      <c r="U279" t="s">
        <v>63</v>
      </c>
    </row>
    <row r="280" spans="1:21" x14ac:dyDescent="0.35">
      <c r="A280" t="s">
        <v>34</v>
      </c>
      <c r="B280">
        <v>18</v>
      </c>
      <c r="C280" t="s">
        <v>35</v>
      </c>
      <c r="D280" t="s">
        <v>36</v>
      </c>
      <c r="E280" t="s">
        <v>44</v>
      </c>
      <c r="F280" t="s">
        <v>28</v>
      </c>
      <c r="G280" t="s">
        <v>28</v>
      </c>
      <c r="H280">
        <v>2</v>
      </c>
      <c r="I280">
        <v>1</v>
      </c>
      <c r="J280" t="s">
        <v>42</v>
      </c>
      <c r="K280" t="s">
        <v>42</v>
      </c>
      <c r="L280" t="s">
        <v>43</v>
      </c>
      <c r="M280" t="s">
        <v>42</v>
      </c>
      <c r="N280" t="s">
        <v>42</v>
      </c>
      <c r="O280">
        <v>2</v>
      </c>
      <c r="P280">
        <v>4</v>
      </c>
      <c r="Q280">
        <v>4</v>
      </c>
      <c r="R280" t="s">
        <v>63</v>
      </c>
      <c r="S280">
        <v>1</v>
      </c>
      <c r="T280" s="1">
        <v>8.3333333333333339</v>
      </c>
      <c r="U280" t="s">
        <v>61</v>
      </c>
    </row>
    <row r="281" spans="1:21" x14ac:dyDescent="0.35">
      <c r="A281" t="s">
        <v>50</v>
      </c>
      <c r="B281">
        <v>18</v>
      </c>
      <c r="C281" t="s">
        <v>35</v>
      </c>
      <c r="D281" t="s">
        <v>47</v>
      </c>
      <c r="E281" t="s">
        <v>44</v>
      </c>
      <c r="F281" t="s">
        <v>39</v>
      </c>
      <c r="G281" t="s">
        <v>48</v>
      </c>
      <c r="H281">
        <v>1</v>
      </c>
      <c r="I281">
        <v>0</v>
      </c>
      <c r="J281" t="s">
        <v>43</v>
      </c>
      <c r="K281" t="s">
        <v>43</v>
      </c>
      <c r="L281" t="s">
        <v>42</v>
      </c>
      <c r="M281" t="s">
        <v>42</v>
      </c>
      <c r="N281" t="s">
        <v>43</v>
      </c>
      <c r="O281">
        <v>4</v>
      </c>
      <c r="P281">
        <v>2</v>
      </c>
      <c r="Q281">
        <v>3</v>
      </c>
      <c r="R281" t="s">
        <v>62</v>
      </c>
      <c r="S281">
        <v>1</v>
      </c>
      <c r="T281" s="1">
        <v>10.333333333333334</v>
      </c>
      <c r="U281" t="s">
        <v>62</v>
      </c>
    </row>
    <row r="282" spans="1:21" x14ac:dyDescent="0.35">
      <c r="A282" t="s">
        <v>50</v>
      </c>
      <c r="B282">
        <v>17</v>
      </c>
      <c r="C282" t="s">
        <v>35</v>
      </c>
      <c r="D282" t="s">
        <v>47</v>
      </c>
      <c r="E282" t="s">
        <v>37</v>
      </c>
      <c r="F282" t="s">
        <v>48</v>
      </c>
      <c r="G282" t="s">
        <v>45</v>
      </c>
      <c r="H282">
        <v>1</v>
      </c>
      <c r="I282">
        <v>0</v>
      </c>
      <c r="J282" t="s">
        <v>43</v>
      </c>
      <c r="K282" t="s">
        <v>43</v>
      </c>
      <c r="L282" t="s">
        <v>42</v>
      </c>
      <c r="M282" t="s">
        <v>42</v>
      </c>
      <c r="N282" t="s">
        <v>42</v>
      </c>
      <c r="O282">
        <v>4</v>
      </c>
      <c r="P282">
        <v>5</v>
      </c>
      <c r="Q282">
        <v>4</v>
      </c>
      <c r="R282" t="s">
        <v>63</v>
      </c>
      <c r="S282">
        <v>0</v>
      </c>
      <c r="T282" s="1">
        <v>8</v>
      </c>
      <c r="U282" t="s">
        <v>63</v>
      </c>
    </row>
    <row r="283" spans="1:21" x14ac:dyDescent="0.35">
      <c r="A283" t="s">
        <v>50</v>
      </c>
      <c r="B283">
        <v>17</v>
      </c>
      <c r="C283" t="s">
        <v>35</v>
      </c>
      <c r="D283" t="s">
        <v>47</v>
      </c>
      <c r="E283" t="s">
        <v>37</v>
      </c>
      <c r="F283" t="s">
        <v>39</v>
      </c>
      <c r="G283" t="s">
        <v>48</v>
      </c>
      <c r="H283">
        <v>1</v>
      </c>
      <c r="I283">
        <v>1</v>
      </c>
      <c r="J283" t="s">
        <v>43</v>
      </c>
      <c r="K283" t="s">
        <v>43</v>
      </c>
      <c r="L283" t="s">
        <v>43</v>
      </c>
      <c r="M283" t="s">
        <v>43</v>
      </c>
      <c r="N283" t="s">
        <v>43</v>
      </c>
      <c r="O283">
        <v>4</v>
      </c>
      <c r="P283">
        <v>4</v>
      </c>
      <c r="Q283">
        <v>4</v>
      </c>
      <c r="R283" t="s">
        <v>63</v>
      </c>
      <c r="S283">
        <v>1</v>
      </c>
      <c r="T283" s="1">
        <v>10</v>
      </c>
      <c r="U283" t="s">
        <v>63</v>
      </c>
    </row>
    <row r="284" spans="1:21" x14ac:dyDescent="0.35">
      <c r="A284" t="s">
        <v>34</v>
      </c>
      <c r="B284">
        <v>18</v>
      </c>
      <c r="C284" t="s">
        <v>52</v>
      </c>
      <c r="D284" t="s">
        <v>47</v>
      </c>
      <c r="E284" t="s">
        <v>44</v>
      </c>
      <c r="F284" t="s">
        <v>38</v>
      </c>
      <c r="G284" t="s">
        <v>45</v>
      </c>
      <c r="H284">
        <v>4</v>
      </c>
      <c r="I284">
        <v>0</v>
      </c>
      <c r="J284" t="s">
        <v>43</v>
      </c>
      <c r="K284" t="s">
        <v>42</v>
      </c>
      <c r="L284" t="s">
        <v>42</v>
      </c>
      <c r="M284" t="s">
        <v>42</v>
      </c>
      <c r="N284" t="s">
        <v>43</v>
      </c>
      <c r="O284">
        <v>5</v>
      </c>
      <c r="P284">
        <v>2</v>
      </c>
      <c r="Q284">
        <v>2</v>
      </c>
      <c r="R284" t="s">
        <v>61</v>
      </c>
      <c r="S284">
        <v>0</v>
      </c>
      <c r="T284" s="1">
        <v>12</v>
      </c>
      <c r="U284" t="s">
        <v>61</v>
      </c>
    </row>
    <row r="285" spans="1:21" x14ac:dyDescent="0.35">
      <c r="A285" t="s">
        <v>34</v>
      </c>
      <c r="B285">
        <v>18</v>
      </c>
      <c r="C285" t="s">
        <v>35</v>
      </c>
      <c r="D285" t="s">
        <v>36</v>
      </c>
      <c r="E285" t="s">
        <v>44</v>
      </c>
      <c r="F285" t="s">
        <v>45</v>
      </c>
      <c r="G285" t="s">
        <v>45</v>
      </c>
      <c r="H285">
        <v>2</v>
      </c>
      <c r="I285">
        <v>0</v>
      </c>
      <c r="J285" t="s">
        <v>42</v>
      </c>
      <c r="K285" t="s">
        <v>43</v>
      </c>
      <c r="L285" t="s">
        <v>43</v>
      </c>
      <c r="M285" t="s">
        <v>42</v>
      </c>
      <c r="N285" t="s">
        <v>43</v>
      </c>
      <c r="O285">
        <v>5</v>
      </c>
      <c r="P285">
        <v>4</v>
      </c>
      <c r="Q285">
        <v>4</v>
      </c>
      <c r="R285" t="s">
        <v>61</v>
      </c>
      <c r="S285">
        <v>0</v>
      </c>
      <c r="T285" s="1">
        <v>9</v>
      </c>
      <c r="U285" t="s">
        <v>61</v>
      </c>
    </row>
    <row r="286" spans="1:21" x14ac:dyDescent="0.35">
      <c r="A286" t="s">
        <v>34</v>
      </c>
      <c r="B286">
        <v>17</v>
      </c>
      <c r="C286" t="s">
        <v>35</v>
      </c>
      <c r="D286" t="s">
        <v>36</v>
      </c>
      <c r="E286" t="s">
        <v>44</v>
      </c>
      <c r="F286" t="s">
        <v>45</v>
      </c>
      <c r="G286" t="s">
        <v>45</v>
      </c>
      <c r="H286">
        <v>2</v>
      </c>
      <c r="I286">
        <v>0</v>
      </c>
      <c r="J286" t="s">
        <v>43</v>
      </c>
      <c r="K286" t="s">
        <v>42</v>
      </c>
      <c r="L286" t="s">
        <v>43</v>
      </c>
      <c r="M286" t="s">
        <v>43</v>
      </c>
      <c r="N286" t="s">
        <v>43</v>
      </c>
      <c r="O286">
        <v>5</v>
      </c>
      <c r="P286">
        <v>4</v>
      </c>
      <c r="Q286">
        <v>5</v>
      </c>
      <c r="R286" t="s">
        <v>61</v>
      </c>
      <c r="S286">
        <v>1</v>
      </c>
      <c r="T286" s="1">
        <v>10</v>
      </c>
      <c r="U286" t="s">
        <v>62</v>
      </c>
    </row>
    <row r="287" spans="1:21" x14ac:dyDescent="0.35">
      <c r="A287" t="s">
        <v>50</v>
      </c>
      <c r="B287">
        <v>17</v>
      </c>
      <c r="C287" t="s">
        <v>35</v>
      </c>
      <c r="D287" t="s">
        <v>36</v>
      </c>
      <c r="E287" t="s">
        <v>44</v>
      </c>
      <c r="F287" t="s">
        <v>45</v>
      </c>
      <c r="G287" t="s">
        <v>45</v>
      </c>
      <c r="H287">
        <v>2</v>
      </c>
      <c r="I287">
        <v>0</v>
      </c>
      <c r="J287" t="s">
        <v>43</v>
      </c>
      <c r="K287" t="s">
        <v>43</v>
      </c>
      <c r="L287" t="s">
        <v>42</v>
      </c>
      <c r="M287" t="s">
        <v>43</v>
      </c>
      <c r="N287" t="s">
        <v>43</v>
      </c>
      <c r="O287">
        <v>4</v>
      </c>
      <c r="P287">
        <v>3</v>
      </c>
      <c r="Q287">
        <v>3</v>
      </c>
      <c r="R287" t="s">
        <v>61</v>
      </c>
      <c r="S287">
        <v>1</v>
      </c>
      <c r="T287" s="1">
        <v>11</v>
      </c>
      <c r="U287" t="s">
        <v>62</v>
      </c>
    </row>
    <row r="288" spans="1:21" x14ac:dyDescent="0.35">
      <c r="A288" t="s">
        <v>34</v>
      </c>
      <c r="B288">
        <v>18</v>
      </c>
      <c r="C288" t="s">
        <v>35</v>
      </c>
      <c r="D288" t="s">
        <v>36</v>
      </c>
      <c r="E288" t="s">
        <v>44</v>
      </c>
      <c r="F288" t="s">
        <v>38</v>
      </c>
      <c r="G288" t="s">
        <v>38</v>
      </c>
      <c r="H288">
        <v>3</v>
      </c>
      <c r="I288">
        <v>0</v>
      </c>
      <c r="J288" t="s">
        <v>43</v>
      </c>
      <c r="K288" t="s">
        <v>42</v>
      </c>
      <c r="L288" t="s">
        <v>42</v>
      </c>
      <c r="M288" t="s">
        <v>43</v>
      </c>
      <c r="N288" t="s">
        <v>43</v>
      </c>
      <c r="O288">
        <v>4</v>
      </c>
      <c r="P288">
        <v>3</v>
      </c>
      <c r="Q288">
        <v>3</v>
      </c>
      <c r="R288" t="s">
        <v>62</v>
      </c>
      <c r="S288">
        <v>0</v>
      </c>
      <c r="T288" s="1">
        <v>18.333333333333332</v>
      </c>
      <c r="U288" t="s">
        <v>62</v>
      </c>
    </row>
    <row r="289" spans="1:21" x14ac:dyDescent="0.35">
      <c r="A289" t="s">
        <v>34</v>
      </c>
      <c r="B289">
        <v>17</v>
      </c>
      <c r="C289" t="s">
        <v>35</v>
      </c>
      <c r="D289" t="s">
        <v>36</v>
      </c>
      <c r="E289" t="s">
        <v>44</v>
      </c>
      <c r="F289" t="s">
        <v>48</v>
      </c>
      <c r="G289" t="s">
        <v>39</v>
      </c>
      <c r="H289">
        <v>3</v>
      </c>
      <c r="I289">
        <v>0</v>
      </c>
      <c r="J289" t="s">
        <v>43</v>
      </c>
      <c r="K289" t="s">
        <v>42</v>
      </c>
      <c r="L289" t="s">
        <v>42</v>
      </c>
      <c r="M289" t="s">
        <v>43</v>
      </c>
      <c r="N289" t="s">
        <v>43</v>
      </c>
      <c r="O289">
        <v>4</v>
      </c>
      <c r="P289">
        <v>3</v>
      </c>
      <c r="Q289">
        <v>3</v>
      </c>
      <c r="R289" t="s">
        <v>62</v>
      </c>
      <c r="S289">
        <v>1</v>
      </c>
      <c r="T289" s="1">
        <v>12.333333333333334</v>
      </c>
      <c r="U289" t="s">
        <v>61</v>
      </c>
    </row>
    <row r="290" spans="1:21" x14ac:dyDescent="0.35">
      <c r="A290" t="s">
        <v>50</v>
      </c>
      <c r="B290">
        <v>18</v>
      </c>
      <c r="C290" t="s">
        <v>35</v>
      </c>
      <c r="D290" t="s">
        <v>36</v>
      </c>
      <c r="E290" t="s">
        <v>44</v>
      </c>
      <c r="F290" t="s">
        <v>48</v>
      </c>
      <c r="G290" t="s">
        <v>48</v>
      </c>
      <c r="H290">
        <v>3</v>
      </c>
      <c r="I290">
        <v>0</v>
      </c>
      <c r="J290" t="s">
        <v>43</v>
      </c>
      <c r="K290" t="s">
        <v>43</v>
      </c>
      <c r="L290" t="s">
        <v>42</v>
      </c>
      <c r="M290" t="s">
        <v>42</v>
      </c>
      <c r="N290" t="s">
        <v>43</v>
      </c>
      <c r="O290">
        <v>4</v>
      </c>
      <c r="P290">
        <v>2</v>
      </c>
      <c r="Q290">
        <v>4</v>
      </c>
      <c r="R290" t="s">
        <v>62</v>
      </c>
      <c r="S290">
        <v>1</v>
      </c>
      <c r="T290" s="1">
        <v>14.333333333333334</v>
      </c>
      <c r="U290" t="s">
        <v>62</v>
      </c>
    </row>
    <row r="291" spans="1:21" x14ac:dyDescent="0.35">
      <c r="A291" t="s">
        <v>50</v>
      </c>
      <c r="B291">
        <v>18</v>
      </c>
      <c r="C291" t="s">
        <v>35</v>
      </c>
      <c r="D291" t="s">
        <v>47</v>
      </c>
      <c r="E291" t="s">
        <v>37</v>
      </c>
      <c r="F291" t="s">
        <v>39</v>
      </c>
      <c r="G291" t="s">
        <v>39</v>
      </c>
      <c r="H291">
        <v>2</v>
      </c>
      <c r="I291">
        <v>0</v>
      </c>
      <c r="J291" t="s">
        <v>43</v>
      </c>
      <c r="K291" t="s">
        <v>42</v>
      </c>
      <c r="L291" t="s">
        <v>42</v>
      </c>
      <c r="M291" t="s">
        <v>42</v>
      </c>
      <c r="N291" t="s">
        <v>43</v>
      </c>
      <c r="O291">
        <v>5</v>
      </c>
      <c r="P291">
        <v>4</v>
      </c>
      <c r="Q291">
        <v>3</v>
      </c>
      <c r="R291" t="s">
        <v>62</v>
      </c>
      <c r="S291">
        <v>1</v>
      </c>
      <c r="T291" s="1">
        <v>14.333333333333334</v>
      </c>
      <c r="U291" t="s">
        <v>61</v>
      </c>
    </row>
    <row r="292" spans="1:21" x14ac:dyDescent="0.35">
      <c r="A292" t="s">
        <v>50</v>
      </c>
      <c r="B292">
        <v>18</v>
      </c>
      <c r="C292" t="s">
        <v>35</v>
      </c>
      <c r="D292" t="s">
        <v>36</v>
      </c>
      <c r="E292" t="s">
        <v>44</v>
      </c>
      <c r="F292" t="s">
        <v>39</v>
      </c>
      <c r="G292" t="s">
        <v>45</v>
      </c>
      <c r="H292">
        <v>2</v>
      </c>
      <c r="I292">
        <v>0</v>
      </c>
      <c r="J292" t="s">
        <v>43</v>
      </c>
      <c r="K292" t="s">
        <v>42</v>
      </c>
      <c r="L292" t="s">
        <v>42</v>
      </c>
      <c r="M292" t="s">
        <v>42</v>
      </c>
      <c r="N292" t="s">
        <v>42</v>
      </c>
      <c r="O292">
        <v>4</v>
      </c>
      <c r="P292">
        <v>3</v>
      </c>
      <c r="Q292">
        <v>2</v>
      </c>
      <c r="R292" t="s">
        <v>63</v>
      </c>
      <c r="S292">
        <v>1</v>
      </c>
      <c r="T292" s="1">
        <v>11.333333333333334</v>
      </c>
      <c r="U292" t="s">
        <v>63</v>
      </c>
    </row>
    <row r="293" spans="1:21" x14ac:dyDescent="0.35">
      <c r="A293" t="s">
        <v>34</v>
      </c>
      <c r="B293">
        <v>17</v>
      </c>
      <c r="C293" t="s">
        <v>35</v>
      </c>
      <c r="D293" t="s">
        <v>36</v>
      </c>
      <c r="E293" t="s">
        <v>44</v>
      </c>
      <c r="F293" t="s">
        <v>28</v>
      </c>
      <c r="G293" t="s">
        <v>48</v>
      </c>
      <c r="H293">
        <v>3</v>
      </c>
      <c r="I293">
        <v>0</v>
      </c>
      <c r="J293" t="s">
        <v>43</v>
      </c>
      <c r="K293" t="s">
        <v>42</v>
      </c>
      <c r="L293" t="s">
        <v>42</v>
      </c>
      <c r="M293" t="s">
        <v>43</v>
      </c>
      <c r="N293" t="s">
        <v>43</v>
      </c>
      <c r="O293">
        <v>4</v>
      </c>
      <c r="P293">
        <v>2</v>
      </c>
      <c r="Q293">
        <v>2</v>
      </c>
      <c r="R293" t="s">
        <v>61</v>
      </c>
      <c r="S293">
        <v>0</v>
      </c>
      <c r="T293" s="1">
        <v>15</v>
      </c>
      <c r="U293" t="s">
        <v>62</v>
      </c>
    </row>
    <row r="294" spans="1:21" x14ac:dyDescent="0.35">
      <c r="A294" t="s">
        <v>34</v>
      </c>
      <c r="B294">
        <v>18</v>
      </c>
      <c r="C294" t="s">
        <v>35</v>
      </c>
      <c r="D294" t="s">
        <v>47</v>
      </c>
      <c r="E294" t="s">
        <v>44</v>
      </c>
      <c r="F294" t="s">
        <v>48</v>
      </c>
      <c r="G294" t="s">
        <v>38</v>
      </c>
      <c r="H294">
        <v>2</v>
      </c>
      <c r="I294">
        <v>1</v>
      </c>
      <c r="J294" t="s">
        <v>43</v>
      </c>
      <c r="K294" t="s">
        <v>43</v>
      </c>
      <c r="L294" t="s">
        <v>43</v>
      </c>
      <c r="M294" t="s">
        <v>43</v>
      </c>
      <c r="N294" t="s">
        <v>42</v>
      </c>
      <c r="O294">
        <v>5</v>
      </c>
      <c r="P294">
        <v>4</v>
      </c>
      <c r="Q294">
        <v>3</v>
      </c>
      <c r="R294" t="s">
        <v>63</v>
      </c>
      <c r="S294">
        <v>0</v>
      </c>
      <c r="T294" s="1">
        <v>12.333333333333334</v>
      </c>
      <c r="U294" t="s">
        <v>61</v>
      </c>
    </row>
    <row r="295" spans="1:21" x14ac:dyDescent="0.35">
      <c r="A295" t="s">
        <v>34</v>
      </c>
      <c r="B295">
        <v>17</v>
      </c>
      <c r="C295" t="s">
        <v>52</v>
      </c>
      <c r="D295" t="s">
        <v>47</v>
      </c>
      <c r="E295" t="s">
        <v>44</v>
      </c>
      <c r="F295" t="s">
        <v>48</v>
      </c>
      <c r="G295" t="s">
        <v>45</v>
      </c>
      <c r="H295">
        <v>4</v>
      </c>
      <c r="I295">
        <v>0</v>
      </c>
      <c r="J295" t="s">
        <v>43</v>
      </c>
      <c r="K295" t="s">
        <v>42</v>
      </c>
      <c r="L295" t="s">
        <v>42</v>
      </c>
      <c r="M295" t="s">
        <v>43</v>
      </c>
      <c r="N295" t="s">
        <v>43</v>
      </c>
      <c r="O295">
        <v>3</v>
      </c>
      <c r="P295">
        <v>1</v>
      </c>
      <c r="Q295">
        <v>2</v>
      </c>
      <c r="R295" t="s">
        <v>62</v>
      </c>
      <c r="S295">
        <v>0</v>
      </c>
      <c r="T295" s="1">
        <v>18</v>
      </c>
      <c r="U295" t="s">
        <v>61</v>
      </c>
    </row>
    <row r="296" spans="1:21" x14ac:dyDescent="0.35">
      <c r="A296" t="s">
        <v>50</v>
      </c>
      <c r="B296">
        <v>18</v>
      </c>
      <c r="C296" t="s">
        <v>52</v>
      </c>
      <c r="D296" t="s">
        <v>47</v>
      </c>
      <c r="E296" t="s">
        <v>44</v>
      </c>
      <c r="F296" t="s">
        <v>48</v>
      </c>
      <c r="G296" t="s">
        <v>45</v>
      </c>
      <c r="H296">
        <v>3</v>
      </c>
      <c r="I296">
        <v>0</v>
      </c>
      <c r="J296" t="s">
        <v>43</v>
      </c>
      <c r="K296" t="s">
        <v>42</v>
      </c>
      <c r="L296" t="s">
        <v>42</v>
      </c>
      <c r="M296" t="s">
        <v>42</v>
      </c>
      <c r="N296" t="s">
        <v>43</v>
      </c>
      <c r="O296">
        <v>5</v>
      </c>
      <c r="P296">
        <v>4</v>
      </c>
      <c r="Q296">
        <v>2</v>
      </c>
      <c r="R296" t="s">
        <v>62</v>
      </c>
      <c r="S296">
        <v>1</v>
      </c>
      <c r="T296" s="1">
        <v>13.666666666666666</v>
      </c>
      <c r="U296" t="s">
        <v>61</v>
      </c>
    </row>
    <row r="297" spans="1:21" x14ac:dyDescent="0.35">
      <c r="A297" t="s">
        <v>50</v>
      </c>
      <c r="B297">
        <v>17</v>
      </c>
      <c r="C297" t="s">
        <v>35</v>
      </c>
      <c r="D297" t="s">
        <v>36</v>
      </c>
      <c r="E297" t="s">
        <v>44</v>
      </c>
      <c r="F297" t="s">
        <v>28</v>
      </c>
      <c r="G297" t="s">
        <v>45</v>
      </c>
      <c r="H297">
        <v>1</v>
      </c>
      <c r="I297">
        <v>0</v>
      </c>
      <c r="J297" t="s">
        <v>43</v>
      </c>
      <c r="K297" t="s">
        <v>42</v>
      </c>
      <c r="L297" t="s">
        <v>42</v>
      </c>
      <c r="M297" t="s">
        <v>43</v>
      </c>
      <c r="N297" t="s">
        <v>43</v>
      </c>
      <c r="O297">
        <v>4</v>
      </c>
      <c r="P297">
        <v>4</v>
      </c>
      <c r="Q297">
        <v>3</v>
      </c>
      <c r="R297" t="s">
        <v>61</v>
      </c>
      <c r="S297">
        <v>2</v>
      </c>
      <c r="T297" s="1">
        <v>12.333333333333334</v>
      </c>
      <c r="U297" t="s">
        <v>62</v>
      </c>
    </row>
    <row r="298" spans="1:21" x14ac:dyDescent="0.35">
      <c r="A298" t="s">
        <v>34</v>
      </c>
      <c r="B298">
        <v>19</v>
      </c>
      <c r="C298" t="s">
        <v>35</v>
      </c>
      <c r="D298" t="s">
        <v>36</v>
      </c>
      <c r="E298" t="s">
        <v>44</v>
      </c>
      <c r="F298" t="s">
        <v>28</v>
      </c>
      <c r="G298" t="s">
        <v>45</v>
      </c>
      <c r="H298">
        <v>2</v>
      </c>
      <c r="I298">
        <v>0</v>
      </c>
      <c r="J298" t="s">
        <v>43</v>
      </c>
      <c r="K298" t="s">
        <v>42</v>
      </c>
      <c r="L298" t="s">
        <v>42</v>
      </c>
      <c r="M298" t="s">
        <v>42</v>
      </c>
      <c r="N298" t="s">
        <v>43</v>
      </c>
      <c r="O298">
        <v>2</v>
      </c>
      <c r="P298">
        <v>3</v>
      </c>
      <c r="Q298">
        <v>4</v>
      </c>
      <c r="R298" t="s">
        <v>61</v>
      </c>
      <c r="S298">
        <v>2</v>
      </c>
      <c r="T298" s="1">
        <v>6.333333333333333</v>
      </c>
      <c r="U298" t="s">
        <v>63</v>
      </c>
    </row>
    <row r="299" spans="1:21" x14ac:dyDescent="0.35">
      <c r="A299" t="s">
        <v>34</v>
      </c>
      <c r="B299">
        <v>18</v>
      </c>
      <c r="C299" t="s">
        <v>35</v>
      </c>
      <c r="D299" t="s">
        <v>47</v>
      </c>
      <c r="E299" t="s">
        <v>44</v>
      </c>
      <c r="F299" t="s">
        <v>45</v>
      </c>
      <c r="G299" t="s">
        <v>45</v>
      </c>
      <c r="H299">
        <v>2</v>
      </c>
      <c r="I299">
        <v>0</v>
      </c>
      <c r="J299" t="s">
        <v>43</v>
      </c>
      <c r="K299" t="s">
        <v>42</v>
      </c>
      <c r="L299" t="s">
        <v>42</v>
      </c>
      <c r="M299" t="s">
        <v>43</v>
      </c>
      <c r="N299" t="s">
        <v>42</v>
      </c>
      <c r="O299">
        <v>4</v>
      </c>
      <c r="P299">
        <v>4</v>
      </c>
      <c r="Q299">
        <v>5</v>
      </c>
      <c r="R299" t="s">
        <v>63</v>
      </c>
      <c r="S299">
        <v>1</v>
      </c>
      <c r="T299" s="1">
        <v>8.6666666666666661</v>
      </c>
      <c r="U299" t="s">
        <v>62</v>
      </c>
    </row>
    <row r="300" spans="1:21" x14ac:dyDescent="0.35">
      <c r="A300" t="s">
        <v>34</v>
      </c>
      <c r="B300">
        <v>18</v>
      </c>
      <c r="C300" t="s">
        <v>35</v>
      </c>
      <c r="D300" t="s">
        <v>36</v>
      </c>
      <c r="E300" t="s">
        <v>44</v>
      </c>
      <c r="F300" t="s">
        <v>45</v>
      </c>
      <c r="G300" t="s">
        <v>45</v>
      </c>
      <c r="H300">
        <v>4</v>
      </c>
      <c r="I300">
        <v>0</v>
      </c>
      <c r="J300" t="s">
        <v>43</v>
      </c>
      <c r="K300" t="s">
        <v>42</v>
      </c>
      <c r="L300" t="s">
        <v>42</v>
      </c>
      <c r="M300" t="s">
        <v>43</v>
      </c>
      <c r="N300" t="s">
        <v>43</v>
      </c>
      <c r="O300">
        <v>4</v>
      </c>
      <c r="P300">
        <v>3</v>
      </c>
      <c r="Q300">
        <v>3</v>
      </c>
      <c r="R300" t="s">
        <v>61</v>
      </c>
      <c r="S300">
        <v>1</v>
      </c>
      <c r="T300" s="1">
        <v>13.666666666666666</v>
      </c>
      <c r="U300" t="s">
        <v>61</v>
      </c>
    </row>
    <row r="301" spans="1:21" x14ac:dyDescent="0.35">
      <c r="A301" t="s">
        <v>50</v>
      </c>
      <c r="B301">
        <v>18</v>
      </c>
      <c r="C301" t="s">
        <v>35</v>
      </c>
      <c r="D301" t="s">
        <v>47</v>
      </c>
      <c r="E301" t="s">
        <v>44</v>
      </c>
      <c r="F301" t="s">
        <v>39</v>
      </c>
      <c r="G301" t="s">
        <v>39</v>
      </c>
      <c r="H301">
        <v>1</v>
      </c>
      <c r="I301">
        <v>0</v>
      </c>
      <c r="J301" t="s">
        <v>43</v>
      </c>
      <c r="K301" t="s">
        <v>42</v>
      </c>
      <c r="L301" t="s">
        <v>42</v>
      </c>
      <c r="M301" t="s">
        <v>43</v>
      </c>
      <c r="N301" t="s">
        <v>42</v>
      </c>
      <c r="O301">
        <v>1</v>
      </c>
      <c r="P301">
        <v>4</v>
      </c>
      <c r="Q301">
        <v>2</v>
      </c>
      <c r="R301" t="s">
        <v>62</v>
      </c>
      <c r="S301">
        <v>1</v>
      </c>
      <c r="T301" s="1">
        <v>15.666666666666666</v>
      </c>
      <c r="U301" t="s">
        <v>62</v>
      </c>
    </row>
    <row r="302" spans="1:21" x14ac:dyDescent="0.35">
      <c r="A302" t="s">
        <v>34</v>
      </c>
      <c r="B302">
        <v>18</v>
      </c>
      <c r="C302" t="s">
        <v>35</v>
      </c>
      <c r="D302" t="s">
        <v>47</v>
      </c>
      <c r="E302" t="s">
        <v>37</v>
      </c>
      <c r="F302" t="s">
        <v>28</v>
      </c>
      <c r="G302" t="s">
        <v>45</v>
      </c>
      <c r="H302">
        <v>2</v>
      </c>
      <c r="I302">
        <v>0</v>
      </c>
      <c r="J302" t="s">
        <v>43</v>
      </c>
      <c r="K302" t="s">
        <v>42</v>
      </c>
      <c r="L302" t="s">
        <v>43</v>
      </c>
      <c r="M302" t="s">
        <v>43</v>
      </c>
      <c r="N302" t="s">
        <v>42</v>
      </c>
      <c r="O302">
        <v>4</v>
      </c>
      <c r="P302">
        <v>2</v>
      </c>
      <c r="Q302">
        <v>4</v>
      </c>
      <c r="R302" t="s">
        <v>63</v>
      </c>
      <c r="S302">
        <v>1</v>
      </c>
      <c r="T302" s="1">
        <v>11</v>
      </c>
      <c r="U302" t="s">
        <v>61</v>
      </c>
    </row>
    <row r="303" spans="1:21" x14ac:dyDescent="0.35">
      <c r="A303" t="s">
        <v>50</v>
      </c>
      <c r="B303">
        <v>17</v>
      </c>
      <c r="C303" t="s">
        <v>35</v>
      </c>
      <c r="D303" t="s">
        <v>47</v>
      </c>
      <c r="E303" t="s">
        <v>44</v>
      </c>
      <c r="F303" t="s">
        <v>45</v>
      </c>
      <c r="G303" t="s">
        <v>39</v>
      </c>
      <c r="H303">
        <v>1</v>
      </c>
      <c r="I303">
        <v>0</v>
      </c>
      <c r="J303" t="s">
        <v>43</v>
      </c>
      <c r="K303" t="s">
        <v>43</v>
      </c>
      <c r="L303" t="s">
        <v>42</v>
      </c>
      <c r="M303" t="s">
        <v>43</v>
      </c>
      <c r="N303" t="s">
        <v>43</v>
      </c>
      <c r="O303">
        <v>4</v>
      </c>
      <c r="P303">
        <v>1</v>
      </c>
      <c r="Q303">
        <v>1</v>
      </c>
      <c r="R303" t="s">
        <v>61</v>
      </c>
      <c r="S303">
        <v>1</v>
      </c>
      <c r="T303" s="1">
        <v>10.666666666666666</v>
      </c>
      <c r="U303" t="s">
        <v>62</v>
      </c>
    </row>
    <row r="304" spans="1:21" x14ac:dyDescent="0.35">
      <c r="A304" t="s">
        <v>34</v>
      </c>
      <c r="B304">
        <v>17</v>
      </c>
      <c r="C304" t="s">
        <v>35</v>
      </c>
      <c r="D304" t="s">
        <v>36</v>
      </c>
      <c r="E304" t="s">
        <v>44</v>
      </c>
      <c r="F304" t="s">
        <v>45</v>
      </c>
      <c r="G304" t="s">
        <v>45</v>
      </c>
      <c r="H304">
        <v>3</v>
      </c>
      <c r="I304">
        <v>0</v>
      </c>
      <c r="J304" t="s">
        <v>43</v>
      </c>
      <c r="K304" t="s">
        <v>42</v>
      </c>
      <c r="L304" t="s">
        <v>42</v>
      </c>
      <c r="M304" t="s">
        <v>43</v>
      </c>
      <c r="N304" t="s">
        <v>43</v>
      </c>
      <c r="O304">
        <v>4</v>
      </c>
      <c r="P304">
        <v>3</v>
      </c>
      <c r="Q304">
        <v>3</v>
      </c>
      <c r="R304" t="s">
        <v>61</v>
      </c>
      <c r="S304">
        <v>1</v>
      </c>
      <c r="T304" s="1">
        <v>13.666666666666666</v>
      </c>
      <c r="U304" t="s">
        <v>61</v>
      </c>
    </row>
    <row r="305" spans="1:21" x14ac:dyDescent="0.35">
      <c r="A305" t="s">
        <v>34</v>
      </c>
      <c r="B305">
        <v>17</v>
      </c>
      <c r="C305" t="s">
        <v>35</v>
      </c>
      <c r="D305" t="s">
        <v>36</v>
      </c>
      <c r="E305" t="s">
        <v>44</v>
      </c>
      <c r="F305" t="s">
        <v>28</v>
      </c>
      <c r="G305" t="s">
        <v>28</v>
      </c>
      <c r="H305">
        <v>4</v>
      </c>
      <c r="I305">
        <v>0</v>
      </c>
      <c r="J305" t="s">
        <v>43</v>
      </c>
      <c r="K305" t="s">
        <v>42</v>
      </c>
      <c r="L305" t="s">
        <v>42</v>
      </c>
      <c r="M305" t="s">
        <v>42</v>
      </c>
      <c r="N305" t="s">
        <v>43</v>
      </c>
      <c r="O305">
        <v>5</v>
      </c>
      <c r="P305">
        <v>2</v>
      </c>
      <c r="Q305">
        <v>2</v>
      </c>
      <c r="R305" t="s">
        <v>61</v>
      </c>
      <c r="S305">
        <v>0</v>
      </c>
      <c r="T305" s="1">
        <v>17.333333333333332</v>
      </c>
      <c r="U305" t="s">
        <v>62</v>
      </c>
    </row>
    <row r="306" spans="1:21" x14ac:dyDescent="0.35">
      <c r="A306" t="s">
        <v>50</v>
      </c>
      <c r="B306">
        <v>19</v>
      </c>
      <c r="C306" t="s">
        <v>35</v>
      </c>
      <c r="D306" t="s">
        <v>36</v>
      </c>
      <c r="E306" t="s">
        <v>44</v>
      </c>
      <c r="F306" t="s">
        <v>45</v>
      </c>
      <c r="G306" t="s">
        <v>45</v>
      </c>
      <c r="H306">
        <v>2</v>
      </c>
      <c r="I306">
        <v>1</v>
      </c>
      <c r="J306" t="s">
        <v>43</v>
      </c>
      <c r="K306" t="s">
        <v>42</v>
      </c>
      <c r="L306" t="s">
        <v>43</v>
      </c>
      <c r="M306" t="s">
        <v>42</v>
      </c>
      <c r="N306" t="s">
        <v>42</v>
      </c>
      <c r="O306">
        <v>4</v>
      </c>
      <c r="P306">
        <v>4</v>
      </c>
      <c r="Q306">
        <v>4</v>
      </c>
      <c r="R306" t="s">
        <v>63</v>
      </c>
      <c r="S306">
        <v>2</v>
      </c>
      <c r="T306" s="1">
        <v>14</v>
      </c>
      <c r="U306" t="s">
        <v>61</v>
      </c>
    </row>
    <row r="307" spans="1:21" x14ac:dyDescent="0.35">
      <c r="A307" t="s">
        <v>34</v>
      </c>
      <c r="B307">
        <v>18</v>
      </c>
      <c r="C307" t="s">
        <v>35</v>
      </c>
      <c r="D307" t="s">
        <v>36</v>
      </c>
      <c r="E307" t="s">
        <v>44</v>
      </c>
      <c r="F307" t="s">
        <v>48</v>
      </c>
      <c r="G307" t="s">
        <v>38</v>
      </c>
      <c r="H307">
        <v>2</v>
      </c>
      <c r="I307">
        <v>1</v>
      </c>
      <c r="J307" t="s">
        <v>43</v>
      </c>
      <c r="K307" t="s">
        <v>42</v>
      </c>
      <c r="L307" t="s">
        <v>42</v>
      </c>
      <c r="M307" t="s">
        <v>42</v>
      </c>
      <c r="N307" t="s">
        <v>43</v>
      </c>
      <c r="O307">
        <v>4</v>
      </c>
      <c r="P307">
        <v>4</v>
      </c>
      <c r="Q307">
        <v>3</v>
      </c>
      <c r="R307" t="s">
        <v>62</v>
      </c>
      <c r="S307">
        <v>1</v>
      </c>
      <c r="T307" s="1">
        <v>12.666666666666666</v>
      </c>
      <c r="U307" t="s">
        <v>61</v>
      </c>
    </row>
    <row r="308" spans="1:21" x14ac:dyDescent="0.35">
      <c r="A308" t="s">
        <v>50</v>
      </c>
      <c r="B308">
        <v>20</v>
      </c>
      <c r="C308" t="s">
        <v>35</v>
      </c>
      <c r="D308" t="s">
        <v>36</v>
      </c>
      <c r="E308" t="s">
        <v>37</v>
      </c>
      <c r="F308" t="s">
        <v>48</v>
      </c>
      <c r="G308" t="s">
        <v>45</v>
      </c>
      <c r="H308">
        <v>1</v>
      </c>
      <c r="I308">
        <v>0</v>
      </c>
      <c r="J308" t="s">
        <v>43</v>
      </c>
      <c r="K308" t="s">
        <v>43</v>
      </c>
      <c r="L308" t="s">
        <v>43</v>
      </c>
      <c r="M308" t="s">
        <v>42</v>
      </c>
      <c r="N308" t="s">
        <v>43</v>
      </c>
      <c r="O308">
        <v>5</v>
      </c>
      <c r="P308">
        <v>5</v>
      </c>
      <c r="Q308">
        <v>3</v>
      </c>
      <c r="R308" t="s">
        <v>61</v>
      </c>
      <c r="S308">
        <v>0</v>
      </c>
      <c r="T308" s="1">
        <v>17.666666666666668</v>
      </c>
      <c r="U308" t="s">
        <v>61</v>
      </c>
    </row>
    <row r="309" spans="1:21" x14ac:dyDescent="0.35">
      <c r="A309" t="s">
        <v>50</v>
      </c>
      <c r="B309">
        <v>19</v>
      </c>
      <c r="C309" t="s">
        <v>35</v>
      </c>
      <c r="D309" t="s">
        <v>36</v>
      </c>
      <c r="E309" t="s">
        <v>44</v>
      </c>
      <c r="F309" t="s">
        <v>39</v>
      </c>
      <c r="G309" t="s">
        <v>48</v>
      </c>
      <c r="H309">
        <v>1</v>
      </c>
      <c r="I309">
        <v>1</v>
      </c>
      <c r="J309" t="s">
        <v>43</v>
      </c>
      <c r="K309" t="s">
        <v>42</v>
      </c>
      <c r="L309" t="s">
        <v>42</v>
      </c>
      <c r="M309" t="s">
        <v>43</v>
      </c>
      <c r="N309" t="s">
        <v>42</v>
      </c>
      <c r="O309">
        <v>4</v>
      </c>
      <c r="P309">
        <v>3</v>
      </c>
      <c r="Q309">
        <v>4</v>
      </c>
      <c r="R309" t="s">
        <v>63</v>
      </c>
      <c r="S309">
        <v>1</v>
      </c>
      <c r="T309" s="1">
        <v>8.3333333333333339</v>
      </c>
      <c r="U309" t="s">
        <v>61</v>
      </c>
    </row>
    <row r="310" spans="1:21" x14ac:dyDescent="0.35">
      <c r="A310" t="s">
        <v>50</v>
      </c>
      <c r="B310">
        <v>19</v>
      </c>
      <c r="C310" t="s">
        <v>52</v>
      </c>
      <c r="D310" t="s">
        <v>36</v>
      </c>
      <c r="E310" t="s">
        <v>44</v>
      </c>
      <c r="F310" t="s">
        <v>45</v>
      </c>
      <c r="G310" t="s">
        <v>48</v>
      </c>
      <c r="H310">
        <v>2</v>
      </c>
      <c r="I310">
        <v>1</v>
      </c>
      <c r="J310" t="s">
        <v>43</v>
      </c>
      <c r="K310" t="s">
        <v>43</v>
      </c>
      <c r="L310" t="s">
        <v>43</v>
      </c>
      <c r="M310" t="s">
        <v>42</v>
      </c>
      <c r="N310" t="s">
        <v>42</v>
      </c>
      <c r="O310">
        <v>4</v>
      </c>
      <c r="P310">
        <v>5</v>
      </c>
      <c r="Q310">
        <v>3</v>
      </c>
      <c r="R310" t="s">
        <v>61</v>
      </c>
      <c r="S310">
        <v>1</v>
      </c>
      <c r="T310" s="1">
        <v>13</v>
      </c>
      <c r="U310" t="s">
        <v>62</v>
      </c>
    </row>
    <row r="311" spans="1:21" x14ac:dyDescent="0.35">
      <c r="A311" t="s">
        <v>34</v>
      </c>
      <c r="B311">
        <v>19</v>
      </c>
      <c r="C311" t="s">
        <v>35</v>
      </c>
      <c r="D311" t="s">
        <v>47</v>
      </c>
      <c r="E311" t="s">
        <v>44</v>
      </c>
      <c r="F311" t="s">
        <v>38</v>
      </c>
      <c r="G311" t="s">
        <v>45</v>
      </c>
      <c r="H311">
        <v>2</v>
      </c>
      <c r="I311">
        <v>1</v>
      </c>
      <c r="J311" t="s">
        <v>42</v>
      </c>
      <c r="K311" t="s">
        <v>42</v>
      </c>
      <c r="L311" t="s">
        <v>43</v>
      </c>
      <c r="M311" t="s">
        <v>42</v>
      </c>
      <c r="N311" t="s">
        <v>43</v>
      </c>
      <c r="O311">
        <v>4</v>
      </c>
      <c r="P311">
        <v>4</v>
      </c>
      <c r="Q311">
        <v>3</v>
      </c>
      <c r="R311" t="s">
        <v>63</v>
      </c>
      <c r="S311">
        <v>1</v>
      </c>
      <c r="T311" s="1">
        <v>10.666666666666666</v>
      </c>
      <c r="U311" t="s">
        <v>62</v>
      </c>
    </row>
    <row r="312" spans="1:21" x14ac:dyDescent="0.35">
      <c r="A312" t="s">
        <v>34</v>
      </c>
      <c r="B312">
        <v>19</v>
      </c>
      <c r="C312" t="s">
        <v>35</v>
      </c>
      <c r="D312" t="s">
        <v>47</v>
      </c>
      <c r="E312" t="s">
        <v>44</v>
      </c>
      <c r="F312" t="s">
        <v>48</v>
      </c>
      <c r="G312" t="s">
        <v>48</v>
      </c>
      <c r="H312">
        <v>2</v>
      </c>
      <c r="I312">
        <v>1</v>
      </c>
      <c r="J312" t="s">
        <v>43</v>
      </c>
      <c r="K312" t="s">
        <v>43</v>
      </c>
      <c r="L312" t="s">
        <v>43</v>
      </c>
      <c r="M312" t="s">
        <v>42</v>
      </c>
      <c r="N312" t="s">
        <v>42</v>
      </c>
      <c r="O312">
        <v>4</v>
      </c>
      <c r="P312">
        <v>2</v>
      </c>
      <c r="Q312">
        <v>4</v>
      </c>
      <c r="R312" t="s">
        <v>61</v>
      </c>
      <c r="S312">
        <v>1</v>
      </c>
      <c r="T312" s="1">
        <v>6</v>
      </c>
      <c r="U312" t="s">
        <v>62</v>
      </c>
    </row>
    <row r="313" spans="1:21" x14ac:dyDescent="0.35">
      <c r="A313" t="s">
        <v>34</v>
      </c>
      <c r="B313">
        <v>19</v>
      </c>
      <c r="C313" t="s">
        <v>35</v>
      </c>
      <c r="D313" t="s">
        <v>36</v>
      </c>
      <c r="E313" t="s">
        <v>44</v>
      </c>
      <c r="F313" t="s">
        <v>38</v>
      </c>
      <c r="G313" t="s">
        <v>45</v>
      </c>
      <c r="H313">
        <v>2</v>
      </c>
      <c r="I313">
        <v>0</v>
      </c>
      <c r="J313" t="s">
        <v>43</v>
      </c>
      <c r="K313" t="s">
        <v>42</v>
      </c>
      <c r="L313" t="s">
        <v>43</v>
      </c>
      <c r="M313" t="s">
        <v>43</v>
      </c>
      <c r="N313" t="s">
        <v>42</v>
      </c>
      <c r="O313">
        <v>3</v>
      </c>
      <c r="P313">
        <v>4</v>
      </c>
      <c r="Q313">
        <v>1</v>
      </c>
      <c r="R313" t="s">
        <v>63</v>
      </c>
      <c r="S313">
        <v>1</v>
      </c>
      <c r="T313" s="1">
        <v>13</v>
      </c>
      <c r="U313" t="s">
        <v>61</v>
      </c>
    </row>
    <row r="314" spans="1:21" x14ac:dyDescent="0.35">
      <c r="A314" t="s">
        <v>50</v>
      </c>
      <c r="B314">
        <v>19</v>
      </c>
      <c r="C314" t="s">
        <v>35</v>
      </c>
      <c r="D314" t="s">
        <v>36</v>
      </c>
      <c r="E314" t="s">
        <v>44</v>
      </c>
      <c r="F314" t="s">
        <v>45</v>
      </c>
      <c r="G314" t="s">
        <v>48</v>
      </c>
      <c r="H314">
        <v>2</v>
      </c>
      <c r="I314">
        <v>1</v>
      </c>
      <c r="J314" t="s">
        <v>43</v>
      </c>
      <c r="K314" t="s">
        <v>43</v>
      </c>
      <c r="L314" t="s">
        <v>43</v>
      </c>
      <c r="M314" t="s">
        <v>43</v>
      </c>
      <c r="N314" t="s">
        <v>43</v>
      </c>
      <c r="O314">
        <v>4</v>
      </c>
      <c r="P314">
        <v>5</v>
      </c>
      <c r="Q314">
        <v>2</v>
      </c>
      <c r="R314" t="s">
        <v>61</v>
      </c>
      <c r="S314">
        <v>1</v>
      </c>
      <c r="T314" s="1">
        <v>11.666666666666666</v>
      </c>
      <c r="U314" t="s">
        <v>62</v>
      </c>
    </row>
    <row r="315" spans="1:21" x14ac:dyDescent="0.35">
      <c r="A315" t="s">
        <v>34</v>
      </c>
      <c r="B315">
        <v>19</v>
      </c>
      <c r="C315" t="s">
        <v>35</v>
      </c>
      <c r="D315" t="s">
        <v>47</v>
      </c>
      <c r="E315" t="s">
        <v>44</v>
      </c>
      <c r="F315" t="s">
        <v>48</v>
      </c>
      <c r="G315" t="s">
        <v>45</v>
      </c>
      <c r="H315">
        <v>2</v>
      </c>
      <c r="I315">
        <v>1</v>
      </c>
      <c r="J315" t="s">
        <v>43</v>
      </c>
      <c r="K315" t="s">
        <v>42</v>
      </c>
      <c r="L315" t="s">
        <v>42</v>
      </c>
      <c r="M315" t="s">
        <v>43</v>
      </c>
      <c r="N315" t="s">
        <v>42</v>
      </c>
      <c r="O315">
        <v>4</v>
      </c>
      <c r="P315">
        <v>2</v>
      </c>
      <c r="Q315">
        <v>2</v>
      </c>
      <c r="R315" t="s">
        <v>63</v>
      </c>
      <c r="S315">
        <v>1</v>
      </c>
      <c r="T315" s="1">
        <v>11.333333333333334</v>
      </c>
      <c r="U315" t="s">
        <v>62</v>
      </c>
    </row>
    <row r="316" spans="1:21" x14ac:dyDescent="0.35">
      <c r="A316" t="s">
        <v>34</v>
      </c>
      <c r="B316">
        <v>19</v>
      </c>
      <c r="C316" t="s">
        <v>35</v>
      </c>
      <c r="D316" t="s">
        <v>36</v>
      </c>
      <c r="E316" t="s">
        <v>44</v>
      </c>
      <c r="F316" t="s">
        <v>38</v>
      </c>
      <c r="G316" t="s">
        <v>28</v>
      </c>
      <c r="H316">
        <v>3</v>
      </c>
      <c r="I316">
        <v>2</v>
      </c>
      <c r="J316" t="s">
        <v>43</v>
      </c>
      <c r="K316" t="s">
        <v>43</v>
      </c>
      <c r="L316" t="s">
        <v>43</v>
      </c>
      <c r="M316" t="s">
        <v>43</v>
      </c>
      <c r="N316" t="s">
        <v>42</v>
      </c>
      <c r="O316">
        <v>4</v>
      </c>
      <c r="P316">
        <v>1</v>
      </c>
      <c r="Q316">
        <v>2</v>
      </c>
      <c r="R316" t="s">
        <v>63</v>
      </c>
      <c r="S316">
        <v>1</v>
      </c>
      <c r="T316" s="1">
        <v>13.666666666666666</v>
      </c>
      <c r="U316" t="s">
        <v>61</v>
      </c>
    </row>
    <row r="317" spans="1:21" x14ac:dyDescent="0.35">
      <c r="A317" t="s">
        <v>34</v>
      </c>
      <c r="B317">
        <v>19</v>
      </c>
      <c r="C317" t="s">
        <v>52</v>
      </c>
      <c r="D317" t="s">
        <v>36</v>
      </c>
      <c r="E317" t="s">
        <v>44</v>
      </c>
      <c r="F317" t="s">
        <v>45</v>
      </c>
      <c r="G317" t="s">
        <v>45</v>
      </c>
      <c r="H317">
        <v>3</v>
      </c>
      <c r="I317">
        <v>1</v>
      </c>
      <c r="J317" t="s">
        <v>43</v>
      </c>
      <c r="K317" t="s">
        <v>43</v>
      </c>
      <c r="L317" t="s">
        <v>43</v>
      </c>
      <c r="M317" t="s">
        <v>43</v>
      </c>
      <c r="N317" t="s">
        <v>42</v>
      </c>
      <c r="O317">
        <v>4</v>
      </c>
      <c r="P317">
        <v>1</v>
      </c>
      <c r="Q317">
        <v>2</v>
      </c>
      <c r="R317" t="s">
        <v>63</v>
      </c>
      <c r="S317">
        <v>1</v>
      </c>
      <c r="T317" s="1">
        <v>11.666666666666666</v>
      </c>
      <c r="U317" t="s">
        <v>61</v>
      </c>
    </row>
    <row r="318" spans="1:21" x14ac:dyDescent="0.35">
      <c r="A318" t="s">
        <v>34</v>
      </c>
      <c r="B318">
        <v>18</v>
      </c>
      <c r="C318" t="s">
        <v>35</v>
      </c>
      <c r="D318" t="s">
        <v>36</v>
      </c>
      <c r="E318" t="s">
        <v>44</v>
      </c>
      <c r="F318" t="s">
        <v>48</v>
      </c>
      <c r="G318" t="s">
        <v>45</v>
      </c>
      <c r="H318">
        <v>2</v>
      </c>
      <c r="I318">
        <v>0</v>
      </c>
      <c r="J318" t="s">
        <v>43</v>
      </c>
      <c r="K318" t="s">
        <v>42</v>
      </c>
      <c r="L318" t="s">
        <v>42</v>
      </c>
      <c r="M318" t="s">
        <v>42</v>
      </c>
      <c r="N318" t="s">
        <v>43</v>
      </c>
      <c r="O318">
        <v>5</v>
      </c>
      <c r="P318">
        <v>3</v>
      </c>
      <c r="Q318">
        <v>3</v>
      </c>
      <c r="R318" t="s">
        <v>61</v>
      </c>
      <c r="S318">
        <v>1</v>
      </c>
      <c r="T318" s="1">
        <v>5.333333333333333</v>
      </c>
      <c r="U318" t="s">
        <v>62</v>
      </c>
    </row>
    <row r="319" spans="1:21" x14ac:dyDescent="0.35">
      <c r="A319" t="s">
        <v>34</v>
      </c>
      <c r="B319">
        <v>18</v>
      </c>
      <c r="C319" t="s">
        <v>35</v>
      </c>
      <c r="D319" t="s">
        <v>36</v>
      </c>
      <c r="E319" t="s">
        <v>44</v>
      </c>
      <c r="F319" t="s">
        <v>45</v>
      </c>
      <c r="G319" t="s">
        <v>45</v>
      </c>
      <c r="H319">
        <v>3</v>
      </c>
      <c r="I319">
        <v>0</v>
      </c>
      <c r="J319" t="s">
        <v>43</v>
      </c>
      <c r="K319" t="s">
        <v>42</v>
      </c>
      <c r="L319" t="s">
        <v>42</v>
      </c>
      <c r="M319" t="s">
        <v>42</v>
      </c>
      <c r="N319" t="s">
        <v>42</v>
      </c>
      <c r="O319">
        <v>4</v>
      </c>
      <c r="P319">
        <v>3</v>
      </c>
      <c r="Q319">
        <v>4</v>
      </c>
      <c r="R319" t="s">
        <v>62</v>
      </c>
      <c r="S319">
        <v>1</v>
      </c>
      <c r="T319" s="1">
        <v>9.3333333333333339</v>
      </c>
      <c r="U319" t="s">
        <v>61</v>
      </c>
    </row>
    <row r="320" spans="1:21" x14ac:dyDescent="0.35">
      <c r="A320" t="s">
        <v>34</v>
      </c>
      <c r="B320">
        <v>17</v>
      </c>
      <c r="C320" t="s">
        <v>52</v>
      </c>
      <c r="D320" t="s">
        <v>36</v>
      </c>
      <c r="E320" t="s">
        <v>44</v>
      </c>
      <c r="F320" t="s">
        <v>38</v>
      </c>
      <c r="G320" t="s">
        <v>48</v>
      </c>
      <c r="H320">
        <v>3</v>
      </c>
      <c r="I320">
        <v>0</v>
      </c>
      <c r="J320" t="s">
        <v>43</v>
      </c>
      <c r="K320" t="s">
        <v>42</v>
      </c>
      <c r="L320" t="s">
        <v>42</v>
      </c>
      <c r="M320" t="s">
        <v>42</v>
      </c>
      <c r="N320" t="s">
        <v>43</v>
      </c>
      <c r="O320">
        <v>4</v>
      </c>
      <c r="P320">
        <v>3</v>
      </c>
      <c r="Q320">
        <v>4</v>
      </c>
      <c r="R320" t="s">
        <v>61</v>
      </c>
      <c r="S320">
        <v>1</v>
      </c>
      <c r="T320" s="1">
        <v>10.666666666666666</v>
      </c>
      <c r="U320" t="s">
        <v>63</v>
      </c>
    </row>
    <row r="321" spans="1:21" x14ac:dyDescent="0.35">
      <c r="A321" t="s">
        <v>34</v>
      </c>
      <c r="B321">
        <v>18</v>
      </c>
      <c r="C321" t="s">
        <v>35</v>
      </c>
      <c r="D321" t="s">
        <v>36</v>
      </c>
      <c r="E321" t="s">
        <v>44</v>
      </c>
      <c r="F321" t="s">
        <v>39</v>
      </c>
      <c r="G321" t="s">
        <v>45</v>
      </c>
      <c r="H321">
        <v>2</v>
      </c>
      <c r="I321">
        <v>0</v>
      </c>
      <c r="J321" t="s">
        <v>43</v>
      </c>
      <c r="K321" t="s">
        <v>42</v>
      </c>
      <c r="L321" t="s">
        <v>42</v>
      </c>
      <c r="M321" t="s">
        <v>43</v>
      </c>
      <c r="N321" t="s">
        <v>43</v>
      </c>
      <c r="O321">
        <v>4</v>
      </c>
      <c r="P321">
        <v>4</v>
      </c>
      <c r="Q321">
        <v>4</v>
      </c>
      <c r="R321" t="s">
        <v>61</v>
      </c>
      <c r="S321">
        <v>0</v>
      </c>
      <c r="T321" s="1">
        <v>11</v>
      </c>
      <c r="U321" t="s">
        <v>63</v>
      </c>
    </row>
    <row r="322" spans="1:21" x14ac:dyDescent="0.35">
      <c r="A322" t="s">
        <v>34</v>
      </c>
      <c r="B322">
        <v>17</v>
      </c>
      <c r="C322" t="s">
        <v>35</v>
      </c>
      <c r="D322" t="s">
        <v>36</v>
      </c>
      <c r="E322" t="s">
        <v>37</v>
      </c>
      <c r="F322" t="s">
        <v>48</v>
      </c>
      <c r="G322" t="s">
        <v>48</v>
      </c>
      <c r="H322">
        <v>2</v>
      </c>
      <c r="I322">
        <v>0</v>
      </c>
      <c r="J322" t="s">
        <v>43</v>
      </c>
      <c r="K322" t="s">
        <v>42</v>
      </c>
      <c r="L322" t="s">
        <v>42</v>
      </c>
      <c r="M322" t="s">
        <v>43</v>
      </c>
      <c r="N322" t="s">
        <v>42</v>
      </c>
      <c r="O322">
        <v>5</v>
      </c>
      <c r="P322">
        <v>2</v>
      </c>
      <c r="Q322">
        <v>2</v>
      </c>
      <c r="R322" t="s">
        <v>63</v>
      </c>
      <c r="S322">
        <v>0</v>
      </c>
      <c r="T322" s="1">
        <v>13</v>
      </c>
      <c r="U322" t="s">
        <v>62</v>
      </c>
    </row>
    <row r="323" spans="1:21" x14ac:dyDescent="0.35">
      <c r="A323" t="s">
        <v>34</v>
      </c>
      <c r="B323">
        <v>17</v>
      </c>
      <c r="C323" t="s">
        <v>35</v>
      </c>
      <c r="D323" t="s">
        <v>36</v>
      </c>
      <c r="E323" t="s">
        <v>44</v>
      </c>
      <c r="F323" t="s">
        <v>45</v>
      </c>
      <c r="G323" t="s">
        <v>45</v>
      </c>
      <c r="H323">
        <v>2</v>
      </c>
      <c r="I323">
        <v>0</v>
      </c>
      <c r="J323" t="s">
        <v>43</v>
      </c>
      <c r="K323" t="s">
        <v>42</v>
      </c>
      <c r="L323" t="s">
        <v>43</v>
      </c>
      <c r="M323" t="s">
        <v>43</v>
      </c>
      <c r="N323" t="s">
        <v>42</v>
      </c>
      <c r="O323">
        <v>4</v>
      </c>
      <c r="P323">
        <v>2</v>
      </c>
      <c r="Q323">
        <v>2</v>
      </c>
      <c r="R323" t="s">
        <v>63</v>
      </c>
      <c r="S323">
        <v>1</v>
      </c>
      <c r="T323" s="1">
        <v>9.6666666666666661</v>
      </c>
      <c r="U323" t="s">
        <v>61</v>
      </c>
    </row>
    <row r="324" spans="1:21" x14ac:dyDescent="0.35">
      <c r="A324" t="s">
        <v>34</v>
      </c>
      <c r="B324">
        <v>17</v>
      </c>
      <c r="C324" t="s">
        <v>52</v>
      </c>
      <c r="D324" t="s">
        <v>47</v>
      </c>
      <c r="E324" t="s">
        <v>44</v>
      </c>
      <c r="F324" t="s">
        <v>48</v>
      </c>
      <c r="G324" t="s">
        <v>48</v>
      </c>
      <c r="H324">
        <v>3</v>
      </c>
      <c r="I324">
        <v>0</v>
      </c>
      <c r="J324" t="s">
        <v>43</v>
      </c>
      <c r="K324" t="s">
        <v>42</v>
      </c>
      <c r="L324" t="s">
        <v>42</v>
      </c>
      <c r="M324" t="s">
        <v>42</v>
      </c>
      <c r="N324" t="s">
        <v>43</v>
      </c>
      <c r="O324">
        <v>3</v>
      </c>
      <c r="P324">
        <v>3</v>
      </c>
      <c r="Q324">
        <v>2</v>
      </c>
      <c r="R324" t="s">
        <v>61</v>
      </c>
      <c r="S324">
        <v>0</v>
      </c>
      <c r="T324" s="1">
        <v>11</v>
      </c>
      <c r="U324" t="s">
        <v>62</v>
      </c>
    </row>
    <row r="325" spans="1:21" x14ac:dyDescent="0.35">
      <c r="A325" t="s">
        <v>34</v>
      </c>
      <c r="B325">
        <v>17</v>
      </c>
      <c r="C325" t="s">
        <v>35</v>
      </c>
      <c r="D325" t="s">
        <v>36</v>
      </c>
      <c r="E325" t="s">
        <v>44</v>
      </c>
      <c r="F325" t="s">
        <v>48</v>
      </c>
      <c r="G325" t="s">
        <v>48</v>
      </c>
      <c r="H325">
        <v>3</v>
      </c>
      <c r="I325">
        <v>0</v>
      </c>
      <c r="J325" t="s">
        <v>43</v>
      </c>
      <c r="K325" t="s">
        <v>42</v>
      </c>
      <c r="L325" t="s">
        <v>43</v>
      </c>
      <c r="M325" t="s">
        <v>43</v>
      </c>
      <c r="N325" t="s">
        <v>43</v>
      </c>
      <c r="O325">
        <v>3</v>
      </c>
      <c r="P325">
        <v>4</v>
      </c>
      <c r="Q325">
        <v>3</v>
      </c>
      <c r="R325" t="s">
        <v>61</v>
      </c>
      <c r="S325">
        <v>0</v>
      </c>
      <c r="T325" s="1">
        <v>13.666666666666666</v>
      </c>
      <c r="U325" t="s">
        <v>63</v>
      </c>
    </row>
    <row r="326" spans="1:21" x14ac:dyDescent="0.35">
      <c r="A326" t="s">
        <v>34</v>
      </c>
      <c r="B326">
        <v>17</v>
      </c>
      <c r="C326" t="s">
        <v>35</v>
      </c>
      <c r="D326" t="s">
        <v>47</v>
      </c>
      <c r="E326" t="s">
        <v>44</v>
      </c>
      <c r="F326" t="s">
        <v>38</v>
      </c>
      <c r="G326" t="s">
        <v>38</v>
      </c>
      <c r="H326">
        <v>3</v>
      </c>
      <c r="I326">
        <v>0</v>
      </c>
      <c r="J326" t="s">
        <v>43</v>
      </c>
      <c r="K326" t="s">
        <v>43</v>
      </c>
      <c r="L326" t="s">
        <v>43</v>
      </c>
      <c r="M326" t="s">
        <v>43</v>
      </c>
      <c r="N326" t="s">
        <v>43</v>
      </c>
      <c r="O326">
        <v>3</v>
      </c>
      <c r="P326">
        <v>3</v>
      </c>
      <c r="Q326">
        <v>3</v>
      </c>
      <c r="R326" t="s">
        <v>61</v>
      </c>
      <c r="S326">
        <v>1</v>
      </c>
      <c r="T326" s="1">
        <v>15.333333333333334</v>
      </c>
      <c r="U326" t="s">
        <v>63</v>
      </c>
    </row>
    <row r="327" spans="1:21" x14ac:dyDescent="0.35">
      <c r="A327" t="s">
        <v>50</v>
      </c>
      <c r="B327">
        <v>18</v>
      </c>
      <c r="C327" t="s">
        <v>35</v>
      </c>
      <c r="D327" t="s">
        <v>36</v>
      </c>
      <c r="E327" t="s">
        <v>44</v>
      </c>
      <c r="F327" t="s">
        <v>45</v>
      </c>
      <c r="G327" t="s">
        <v>45</v>
      </c>
      <c r="H327">
        <v>3</v>
      </c>
      <c r="I327">
        <v>0</v>
      </c>
      <c r="J327" t="s">
        <v>43</v>
      </c>
      <c r="K327" t="s">
        <v>43</v>
      </c>
      <c r="L327" t="s">
        <v>43</v>
      </c>
      <c r="M327" t="s">
        <v>42</v>
      </c>
      <c r="N327" t="s">
        <v>43</v>
      </c>
      <c r="O327">
        <v>4</v>
      </c>
      <c r="P327">
        <v>3</v>
      </c>
      <c r="Q327">
        <v>3</v>
      </c>
      <c r="R327" t="s">
        <v>61</v>
      </c>
      <c r="S327">
        <v>1</v>
      </c>
      <c r="T327" s="1">
        <v>10.666666666666666</v>
      </c>
      <c r="U327" t="s">
        <v>62</v>
      </c>
    </row>
    <row r="328" spans="1:21" x14ac:dyDescent="0.35">
      <c r="A328" t="s">
        <v>50</v>
      </c>
      <c r="B328">
        <v>17</v>
      </c>
      <c r="C328" t="s">
        <v>35</v>
      </c>
      <c r="D328" t="s">
        <v>36</v>
      </c>
      <c r="E328" t="s">
        <v>44</v>
      </c>
      <c r="F328" t="s">
        <v>45</v>
      </c>
      <c r="G328" t="s">
        <v>48</v>
      </c>
      <c r="H328">
        <v>1</v>
      </c>
      <c r="I328">
        <v>0</v>
      </c>
      <c r="J328" t="s">
        <v>43</v>
      </c>
      <c r="K328" t="s">
        <v>43</v>
      </c>
      <c r="L328" t="s">
        <v>43</v>
      </c>
      <c r="M328" t="s">
        <v>42</v>
      </c>
      <c r="N328" t="s">
        <v>43</v>
      </c>
      <c r="O328">
        <v>4</v>
      </c>
      <c r="P328">
        <v>3</v>
      </c>
      <c r="Q328">
        <v>5</v>
      </c>
      <c r="R328" t="s">
        <v>61</v>
      </c>
      <c r="S328">
        <v>0</v>
      </c>
      <c r="T328" s="1">
        <v>15</v>
      </c>
      <c r="U328" t="s">
        <v>63</v>
      </c>
    </row>
    <row r="329" spans="1:21" x14ac:dyDescent="0.35">
      <c r="A329" t="s">
        <v>50</v>
      </c>
      <c r="B329">
        <v>17</v>
      </c>
      <c r="C329" t="s">
        <v>52</v>
      </c>
      <c r="D329" t="s">
        <v>36</v>
      </c>
      <c r="E329" t="s">
        <v>44</v>
      </c>
      <c r="F329" t="s">
        <v>48</v>
      </c>
      <c r="G329" t="s">
        <v>45</v>
      </c>
      <c r="H329">
        <v>1</v>
      </c>
      <c r="I329">
        <v>0</v>
      </c>
      <c r="J329" t="s">
        <v>43</v>
      </c>
      <c r="K329" t="s">
        <v>42</v>
      </c>
      <c r="L329" t="s">
        <v>43</v>
      </c>
      <c r="M329" t="s">
        <v>43</v>
      </c>
      <c r="N329" t="s">
        <v>43</v>
      </c>
      <c r="O329">
        <v>4</v>
      </c>
      <c r="P329">
        <v>4</v>
      </c>
      <c r="Q329">
        <v>5</v>
      </c>
      <c r="R329" t="s">
        <v>62</v>
      </c>
      <c r="S329">
        <v>1</v>
      </c>
      <c r="T329" s="1">
        <v>10.333333333333334</v>
      </c>
      <c r="U329" t="s">
        <v>63</v>
      </c>
    </row>
    <row r="330" spans="1:21" x14ac:dyDescent="0.35">
      <c r="A330" t="s">
        <v>34</v>
      </c>
      <c r="B330">
        <v>17</v>
      </c>
      <c r="C330" t="s">
        <v>35</v>
      </c>
      <c r="D330" t="s">
        <v>36</v>
      </c>
      <c r="E330" t="s">
        <v>44</v>
      </c>
      <c r="F330" t="s">
        <v>39</v>
      </c>
      <c r="G330" t="s">
        <v>48</v>
      </c>
      <c r="H330">
        <v>3</v>
      </c>
      <c r="I330">
        <v>0</v>
      </c>
      <c r="J330" t="s">
        <v>43</v>
      </c>
      <c r="K330" t="s">
        <v>42</v>
      </c>
      <c r="L330" t="s">
        <v>42</v>
      </c>
      <c r="M330" t="s">
        <v>42</v>
      </c>
      <c r="N330" t="s">
        <v>43</v>
      </c>
      <c r="O330">
        <v>5</v>
      </c>
      <c r="P330">
        <v>4</v>
      </c>
      <c r="Q330">
        <v>4</v>
      </c>
      <c r="R330" t="s">
        <v>62</v>
      </c>
      <c r="S330">
        <v>1</v>
      </c>
      <c r="T330" s="1">
        <v>9.3333333333333339</v>
      </c>
      <c r="U330" t="s">
        <v>62</v>
      </c>
    </row>
    <row r="331" spans="1:21" x14ac:dyDescent="0.35">
      <c r="A331" t="s">
        <v>34</v>
      </c>
      <c r="B331">
        <v>17</v>
      </c>
      <c r="C331" t="s">
        <v>35</v>
      </c>
      <c r="D331" t="s">
        <v>36</v>
      </c>
      <c r="E331" t="s">
        <v>44</v>
      </c>
      <c r="F331" t="s">
        <v>39</v>
      </c>
      <c r="G331" t="s">
        <v>39</v>
      </c>
      <c r="H331">
        <v>3</v>
      </c>
      <c r="I331">
        <v>0</v>
      </c>
      <c r="J331" t="s">
        <v>43</v>
      </c>
      <c r="K331" t="s">
        <v>42</v>
      </c>
      <c r="L331" t="s">
        <v>42</v>
      </c>
      <c r="M331" t="s">
        <v>43</v>
      </c>
      <c r="N331" t="s">
        <v>42</v>
      </c>
      <c r="O331">
        <v>4</v>
      </c>
      <c r="P331">
        <v>3</v>
      </c>
      <c r="Q331">
        <v>3</v>
      </c>
      <c r="R331" t="s">
        <v>61</v>
      </c>
      <c r="S331">
        <v>0</v>
      </c>
      <c r="T331" s="1">
        <v>14</v>
      </c>
      <c r="U331" t="s">
        <v>62</v>
      </c>
    </row>
    <row r="332" spans="1:21" x14ac:dyDescent="0.35">
      <c r="A332" t="s">
        <v>50</v>
      </c>
      <c r="B332">
        <v>18</v>
      </c>
      <c r="C332" t="s">
        <v>35</v>
      </c>
      <c r="D332" t="s">
        <v>47</v>
      </c>
      <c r="E332" t="s">
        <v>44</v>
      </c>
      <c r="F332" t="s">
        <v>45</v>
      </c>
      <c r="G332" t="s">
        <v>45</v>
      </c>
      <c r="H332">
        <v>4</v>
      </c>
      <c r="I332">
        <v>0</v>
      </c>
      <c r="J332" t="s">
        <v>43</v>
      </c>
      <c r="K332" t="s">
        <v>42</v>
      </c>
      <c r="L332" t="s">
        <v>43</v>
      </c>
      <c r="M332" t="s">
        <v>42</v>
      </c>
      <c r="N332" t="s">
        <v>43</v>
      </c>
      <c r="O332">
        <v>4</v>
      </c>
      <c r="P332">
        <v>5</v>
      </c>
      <c r="Q332">
        <v>5</v>
      </c>
      <c r="R332" t="s">
        <v>61</v>
      </c>
      <c r="S332">
        <v>1</v>
      </c>
      <c r="T332" s="1">
        <v>8.3333333333333339</v>
      </c>
      <c r="U332" t="s">
        <v>63</v>
      </c>
    </row>
    <row r="333" spans="1:21" x14ac:dyDescent="0.35">
      <c r="A333" t="s">
        <v>34</v>
      </c>
      <c r="B333">
        <v>17</v>
      </c>
      <c r="C333" t="s">
        <v>52</v>
      </c>
      <c r="D333" t="s">
        <v>36</v>
      </c>
      <c r="E333" t="s">
        <v>44</v>
      </c>
      <c r="F333" t="s">
        <v>38</v>
      </c>
      <c r="G333" t="s">
        <v>45</v>
      </c>
      <c r="H333">
        <v>3</v>
      </c>
      <c r="I333">
        <v>0</v>
      </c>
      <c r="J333" t="s">
        <v>43</v>
      </c>
      <c r="K333" t="s">
        <v>42</v>
      </c>
      <c r="L333" t="s">
        <v>43</v>
      </c>
      <c r="M333" t="s">
        <v>43</v>
      </c>
      <c r="N333" t="s">
        <v>42</v>
      </c>
      <c r="O333">
        <v>4</v>
      </c>
      <c r="P333">
        <v>4</v>
      </c>
      <c r="Q333">
        <v>3</v>
      </c>
      <c r="R333" t="s">
        <v>62</v>
      </c>
      <c r="S333">
        <v>0</v>
      </c>
      <c r="T333" s="1">
        <v>13.333333333333334</v>
      </c>
      <c r="U333" t="s">
        <v>61</v>
      </c>
    </row>
    <row r="334" spans="1:21" x14ac:dyDescent="0.35">
      <c r="A334" t="s">
        <v>34</v>
      </c>
      <c r="B334">
        <v>18</v>
      </c>
      <c r="C334" t="s">
        <v>35</v>
      </c>
      <c r="D334" t="s">
        <v>36</v>
      </c>
      <c r="E334" t="s">
        <v>44</v>
      </c>
      <c r="F334" t="s">
        <v>48</v>
      </c>
      <c r="G334" t="s">
        <v>48</v>
      </c>
      <c r="H334">
        <v>2</v>
      </c>
      <c r="I334">
        <v>0</v>
      </c>
      <c r="J334" t="s">
        <v>43</v>
      </c>
      <c r="K334" t="s">
        <v>43</v>
      </c>
      <c r="L334" t="s">
        <v>43</v>
      </c>
      <c r="M334" t="s">
        <v>42</v>
      </c>
      <c r="N334" t="s">
        <v>43</v>
      </c>
      <c r="O334">
        <v>5</v>
      </c>
      <c r="P334">
        <v>3</v>
      </c>
      <c r="Q334">
        <v>4</v>
      </c>
      <c r="R334" t="s">
        <v>61</v>
      </c>
      <c r="S334">
        <v>1</v>
      </c>
      <c r="T334" s="1">
        <v>2.3333333333333335</v>
      </c>
      <c r="U334" t="s">
        <v>61</v>
      </c>
    </row>
    <row r="335" spans="1:21" x14ac:dyDescent="0.35">
      <c r="A335" t="s">
        <v>34</v>
      </c>
      <c r="B335">
        <v>18</v>
      </c>
      <c r="C335" t="s">
        <v>35</v>
      </c>
      <c r="D335" t="s">
        <v>47</v>
      </c>
      <c r="E335" t="s">
        <v>44</v>
      </c>
      <c r="F335" t="s">
        <v>45</v>
      </c>
      <c r="G335" t="s">
        <v>45</v>
      </c>
      <c r="H335">
        <v>2</v>
      </c>
      <c r="I335">
        <v>0</v>
      </c>
      <c r="J335" t="s">
        <v>43</v>
      </c>
      <c r="K335" t="s">
        <v>43</v>
      </c>
      <c r="L335" t="s">
        <v>43</v>
      </c>
      <c r="M335" t="s">
        <v>42</v>
      </c>
      <c r="N335" t="s">
        <v>42</v>
      </c>
      <c r="O335">
        <v>4</v>
      </c>
      <c r="P335">
        <v>3</v>
      </c>
      <c r="Q335">
        <v>3</v>
      </c>
      <c r="R335" t="s">
        <v>61</v>
      </c>
      <c r="S335">
        <v>1</v>
      </c>
      <c r="T335" s="1">
        <v>5.333333333333333</v>
      </c>
      <c r="U335" t="s">
        <v>61</v>
      </c>
    </row>
    <row r="336" spans="1:21" x14ac:dyDescent="0.35">
      <c r="A336" t="s">
        <v>34</v>
      </c>
      <c r="B336">
        <v>18</v>
      </c>
      <c r="C336" t="s">
        <v>52</v>
      </c>
      <c r="D336" t="s">
        <v>36</v>
      </c>
      <c r="E336" t="s">
        <v>44</v>
      </c>
      <c r="F336" t="s">
        <v>38</v>
      </c>
      <c r="G336" t="s">
        <v>45</v>
      </c>
      <c r="H336">
        <v>4</v>
      </c>
      <c r="I336">
        <v>0</v>
      </c>
      <c r="J336" t="s">
        <v>43</v>
      </c>
      <c r="K336" t="s">
        <v>43</v>
      </c>
      <c r="L336" t="s">
        <v>43</v>
      </c>
      <c r="M336" t="s">
        <v>42</v>
      </c>
      <c r="N336" t="s">
        <v>43</v>
      </c>
      <c r="O336">
        <v>4</v>
      </c>
      <c r="P336">
        <v>4</v>
      </c>
      <c r="Q336">
        <v>4</v>
      </c>
      <c r="R336" t="s">
        <v>61</v>
      </c>
      <c r="S336">
        <v>2</v>
      </c>
      <c r="T336" s="1">
        <v>6.333333333333333</v>
      </c>
      <c r="U336" t="s">
        <v>61</v>
      </c>
    </row>
    <row r="337" spans="1:21" x14ac:dyDescent="0.35">
      <c r="A337" t="s">
        <v>34</v>
      </c>
      <c r="B337">
        <v>17</v>
      </c>
      <c r="C337" t="s">
        <v>35</v>
      </c>
      <c r="D337" t="s">
        <v>36</v>
      </c>
      <c r="E337" t="s">
        <v>44</v>
      </c>
      <c r="F337" t="s">
        <v>48</v>
      </c>
      <c r="G337" t="s">
        <v>45</v>
      </c>
      <c r="H337">
        <v>3</v>
      </c>
      <c r="I337">
        <v>0</v>
      </c>
      <c r="J337" t="s">
        <v>43</v>
      </c>
      <c r="K337" t="s">
        <v>43</v>
      </c>
      <c r="L337" t="s">
        <v>43</v>
      </c>
      <c r="M337" t="s">
        <v>43</v>
      </c>
      <c r="N337" t="s">
        <v>43</v>
      </c>
      <c r="O337">
        <v>4</v>
      </c>
      <c r="P337">
        <v>4</v>
      </c>
      <c r="Q337">
        <v>5</v>
      </c>
      <c r="R337" t="s">
        <v>63</v>
      </c>
      <c r="S337">
        <v>1</v>
      </c>
      <c r="T337" s="1">
        <v>15.333333333333334</v>
      </c>
      <c r="U337" t="s">
        <v>62</v>
      </c>
    </row>
    <row r="338" spans="1:21" x14ac:dyDescent="0.35">
      <c r="A338" t="s">
        <v>34</v>
      </c>
      <c r="B338">
        <v>19</v>
      </c>
      <c r="C338" t="s">
        <v>52</v>
      </c>
      <c r="D338" t="s">
        <v>36</v>
      </c>
      <c r="E338" t="s">
        <v>37</v>
      </c>
      <c r="F338" t="s">
        <v>48</v>
      </c>
      <c r="G338" t="s">
        <v>38</v>
      </c>
      <c r="H338">
        <v>3</v>
      </c>
      <c r="I338">
        <v>1</v>
      </c>
      <c r="J338" t="s">
        <v>43</v>
      </c>
      <c r="K338" t="s">
        <v>43</v>
      </c>
      <c r="L338" t="s">
        <v>42</v>
      </c>
      <c r="M338" t="s">
        <v>43</v>
      </c>
      <c r="N338" t="s">
        <v>43</v>
      </c>
      <c r="O338">
        <v>5</v>
      </c>
      <c r="P338">
        <v>4</v>
      </c>
      <c r="Q338">
        <v>3</v>
      </c>
      <c r="R338" t="s">
        <v>63</v>
      </c>
      <c r="S338">
        <v>1</v>
      </c>
      <c r="T338" s="1">
        <v>13.333333333333334</v>
      </c>
      <c r="U338" t="s">
        <v>62</v>
      </c>
    </row>
    <row r="339" spans="1:21" x14ac:dyDescent="0.35">
      <c r="A339" t="s">
        <v>34</v>
      </c>
      <c r="B339">
        <v>17</v>
      </c>
      <c r="C339" t="s">
        <v>35</v>
      </c>
      <c r="D339" t="s">
        <v>36</v>
      </c>
      <c r="E339" t="s">
        <v>44</v>
      </c>
      <c r="F339" t="s">
        <v>45</v>
      </c>
      <c r="G339" t="s">
        <v>45</v>
      </c>
      <c r="H339">
        <v>2</v>
      </c>
      <c r="I339">
        <v>0</v>
      </c>
      <c r="J339" t="s">
        <v>43</v>
      </c>
      <c r="K339" t="s">
        <v>42</v>
      </c>
      <c r="L339" t="s">
        <v>42</v>
      </c>
      <c r="M339" t="s">
        <v>43</v>
      </c>
      <c r="N339" t="s">
        <v>42</v>
      </c>
      <c r="O339">
        <v>4</v>
      </c>
      <c r="P339">
        <v>3</v>
      </c>
      <c r="Q339">
        <v>2</v>
      </c>
      <c r="R339" t="s">
        <v>61</v>
      </c>
      <c r="S339">
        <v>1</v>
      </c>
      <c r="T339" s="1">
        <v>5</v>
      </c>
      <c r="U339" t="s">
        <v>63</v>
      </c>
    </row>
    <row r="340" spans="1:21" x14ac:dyDescent="0.35">
      <c r="A340" t="s">
        <v>34</v>
      </c>
      <c r="B340">
        <v>18</v>
      </c>
      <c r="C340" t="s">
        <v>35</v>
      </c>
      <c r="D340" t="s">
        <v>47</v>
      </c>
      <c r="E340" t="s">
        <v>44</v>
      </c>
      <c r="F340" t="s">
        <v>48</v>
      </c>
      <c r="G340" t="s">
        <v>48</v>
      </c>
      <c r="H340">
        <v>4</v>
      </c>
      <c r="I340">
        <v>0</v>
      </c>
      <c r="J340" t="s">
        <v>43</v>
      </c>
      <c r="K340" t="s">
        <v>42</v>
      </c>
      <c r="L340" t="s">
        <v>43</v>
      </c>
      <c r="M340" t="s">
        <v>43</v>
      </c>
      <c r="N340" t="s">
        <v>43</v>
      </c>
      <c r="O340">
        <v>5</v>
      </c>
      <c r="P340">
        <v>3</v>
      </c>
      <c r="Q340">
        <v>3</v>
      </c>
      <c r="R340" t="s">
        <v>62</v>
      </c>
      <c r="S340">
        <v>1</v>
      </c>
      <c r="T340" s="1">
        <v>16</v>
      </c>
      <c r="U340" t="s">
        <v>61</v>
      </c>
    </row>
    <row r="341" spans="1:21" x14ac:dyDescent="0.35">
      <c r="A341" t="s">
        <v>34</v>
      </c>
      <c r="B341">
        <v>17</v>
      </c>
      <c r="C341" t="s">
        <v>52</v>
      </c>
      <c r="D341" t="s">
        <v>36</v>
      </c>
      <c r="E341" t="s">
        <v>37</v>
      </c>
      <c r="F341" t="s">
        <v>45</v>
      </c>
      <c r="G341" t="s">
        <v>45</v>
      </c>
      <c r="H341">
        <v>2</v>
      </c>
      <c r="I341">
        <v>0</v>
      </c>
      <c r="J341" t="s">
        <v>43</v>
      </c>
      <c r="K341" t="s">
        <v>42</v>
      </c>
      <c r="L341" t="s">
        <v>42</v>
      </c>
      <c r="M341" t="s">
        <v>43</v>
      </c>
      <c r="N341" t="s">
        <v>43</v>
      </c>
      <c r="O341">
        <v>4</v>
      </c>
      <c r="P341">
        <v>3</v>
      </c>
      <c r="Q341">
        <v>3</v>
      </c>
      <c r="R341" t="s">
        <v>61</v>
      </c>
      <c r="S341">
        <v>0</v>
      </c>
      <c r="T341" s="1">
        <v>9.6666666666666661</v>
      </c>
      <c r="U341" t="s">
        <v>63</v>
      </c>
    </row>
    <row r="342" spans="1:21" x14ac:dyDescent="0.35">
      <c r="A342" t="s">
        <v>34</v>
      </c>
      <c r="B342">
        <v>19</v>
      </c>
      <c r="C342" t="s">
        <v>35</v>
      </c>
      <c r="D342" t="s">
        <v>36</v>
      </c>
      <c r="E342" t="s">
        <v>44</v>
      </c>
      <c r="F342" t="s">
        <v>48</v>
      </c>
      <c r="G342" t="s">
        <v>48</v>
      </c>
      <c r="H342">
        <v>3</v>
      </c>
      <c r="I342">
        <v>1</v>
      </c>
      <c r="J342" t="s">
        <v>43</v>
      </c>
      <c r="K342" t="s">
        <v>43</v>
      </c>
      <c r="L342" t="s">
        <v>42</v>
      </c>
      <c r="M342" t="s">
        <v>42</v>
      </c>
      <c r="N342" t="s">
        <v>42</v>
      </c>
      <c r="O342">
        <v>4</v>
      </c>
      <c r="P342">
        <v>3</v>
      </c>
      <c r="Q342">
        <v>4</v>
      </c>
      <c r="R342" t="s">
        <v>61</v>
      </c>
      <c r="S342">
        <v>1</v>
      </c>
      <c r="T342" s="1">
        <v>11.333333333333334</v>
      </c>
      <c r="U342" t="s">
        <v>62</v>
      </c>
    </row>
    <row r="343" spans="1:21" x14ac:dyDescent="0.35">
      <c r="A343" t="s">
        <v>50</v>
      </c>
      <c r="B343">
        <v>18</v>
      </c>
      <c r="C343" t="s">
        <v>35</v>
      </c>
      <c r="D343" t="s">
        <v>36</v>
      </c>
      <c r="E343" t="s">
        <v>44</v>
      </c>
      <c r="F343" t="s">
        <v>39</v>
      </c>
      <c r="G343" t="s">
        <v>48</v>
      </c>
      <c r="H343">
        <v>2</v>
      </c>
      <c r="I343">
        <v>1</v>
      </c>
      <c r="J343" t="s">
        <v>43</v>
      </c>
      <c r="K343" t="s">
        <v>42</v>
      </c>
      <c r="L343" t="s">
        <v>43</v>
      </c>
      <c r="M343" t="s">
        <v>42</v>
      </c>
      <c r="N343" t="s">
        <v>43</v>
      </c>
      <c r="O343">
        <v>4</v>
      </c>
      <c r="P343">
        <v>3</v>
      </c>
      <c r="Q343">
        <v>3</v>
      </c>
      <c r="R343" t="s">
        <v>61</v>
      </c>
      <c r="S343">
        <v>1</v>
      </c>
      <c r="T343" s="1">
        <v>6.666666666666667</v>
      </c>
      <c r="U343" t="s">
        <v>62</v>
      </c>
    </row>
    <row r="344" spans="1:21" x14ac:dyDescent="0.35">
      <c r="A344" t="s">
        <v>50</v>
      </c>
      <c r="B344">
        <v>18</v>
      </c>
      <c r="C344" t="s">
        <v>35</v>
      </c>
      <c r="D344" t="s">
        <v>47</v>
      </c>
      <c r="E344" t="s">
        <v>44</v>
      </c>
      <c r="F344" t="s">
        <v>48</v>
      </c>
      <c r="G344" t="s">
        <v>45</v>
      </c>
      <c r="H344">
        <v>2</v>
      </c>
      <c r="I344">
        <v>0</v>
      </c>
      <c r="J344" t="s">
        <v>43</v>
      </c>
      <c r="K344" t="s">
        <v>43</v>
      </c>
      <c r="L344" t="s">
        <v>43</v>
      </c>
      <c r="M344" t="s">
        <v>42</v>
      </c>
      <c r="N344" t="s">
        <v>42</v>
      </c>
      <c r="O344">
        <v>4</v>
      </c>
      <c r="P344">
        <v>3</v>
      </c>
      <c r="Q344">
        <v>3</v>
      </c>
      <c r="R344" t="s">
        <v>63</v>
      </c>
      <c r="S344">
        <v>1</v>
      </c>
      <c r="T344" s="1">
        <v>15.333333333333334</v>
      </c>
      <c r="U344" t="s">
        <v>62</v>
      </c>
    </row>
    <row r="345" spans="1:21" x14ac:dyDescent="0.35">
      <c r="A345" t="s">
        <v>34</v>
      </c>
      <c r="B345">
        <v>17</v>
      </c>
      <c r="C345" t="s">
        <v>35</v>
      </c>
      <c r="D345" t="s">
        <v>36</v>
      </c>
      <c r="E345" t="s">
        <v>37</v>
      </c>
      <c r="F345" t="s">
        <v>38</v>
      </c>
      <c r="G345" t="s">
        <v>38</v>
      </c>
      <c r="H345">
        <v>2</v>
      </c>
      <c r="I345">
        <v>1</v>
      </c>
      <c r="J345" t="s">
        <v>43</v>
      </c>
      <c r="K345" t="s">
        <v>42</v>
      </c>
      <c r="L345" t="s">
        <v>43</v>
      </c>
      <c r="M345" t="s">
        <v>43</v>
      </c>
      <c r="N345" t="s">
        <v>42</v>
      </c>
      <c r="O345">
        <v>3</v>
      </c>
      <c r="P345">
        <v>3</v>
      </c>
      <c r="Q345">
        <v>1</v>
      </c>
      <c r="R345" t="s">
        <v>61</v>
      </c>
      <c r="S345">
        <v>2</v>
      </c>
      <c r="T345" s="1">
        <v>5.666666666666667</v>
      </c>
      <c r="U345" t="s">
        <v>62</v>
      </c>
    </row>
    <row r="346" spans="1:21" x14ac:dyDescent="0.35">
      <c r="A346" t="s">
        <v>34</v>
      </c>
      <c r="B346">
        <v>18</v>
      </c>
      <c r="C346" t="s">
        <v>35</v>
      </c>
      <c r="D346" t="s">
        <v>36</v>
      </c>
      <c r="E346" t="s">
        <v>44</v>
      </c>
      <c r="F346" t="s">
        <v>38</v>
      </c>
      <c r="G346" t="s">
        <v>45</v>
      </c>
      <c r="H346">
        <v>3</v>
      </c>
      <c r="I346">
        <v>0</v>
      </c>
      <c r="J346" t="s">
        <v>43</v>
      </c>
      <c r="K346" t="s">
        <v>42</v>
      </c>
      <c r="L346" t="s">
        <v>43</v>
      </c>
      <c r="M346" t="s">
        <v>43</v>
      </c>
      <c r="N346" t="s">
        <v>43</v>
      </c>
      <c r="O346">
        <v>4</v>
      </c>
      <c r="P346">
        <v>3</v>
      </c>
      <c r="Q346">
        <v>3</v>
      </c>
      <c r="R346" t="s">
        <v>61</v>
      </c>
      <c r="S346">
        <v>1</v>
      </c>
      <c r="T346" s="1">
        <v>10.333333333333334</v>
      </c>
      <c r="U346" t="s">
        <v>62</v>
      </c>
    </row>
    <row r="347" spans="1:21" x14ac:dyDescent="0.35">
      <c r="A347" t="s">
        <v>34</v>
      </c>
      <c r="B347">
        <v>18</v>
      </c>
      <c r="C347" t="s">
        <v>35</v>
      </c>
      <c r="D347" t="s">
        <v>36</v>
      </c>
      <c r="E347" t="s">
        <v>44</v>
      </c>
      <c r="F347" t="s">
        <v>45</v>
      </c>
      <c r="G347" t="s">
        <v>48</v>
      </c>
      <c r="H347">
        <v>3</v>
      </c>
      <c r="I347">
        <v>0</v>
      </c>
      <c r="J347" t="s">
        <v>43</v>
      </c>
      <c r="K347" t="s">
        <v>43</v>
      </c>
      <c r="L347" t="s">
        <v>43</v>
      </c>
      <c r="M347" t="s">
        <v>43</v>
      </c>
      <c r="N347" t="s">
        <v>42</v>
      </c>
      <c r="O347">
        <v>5</v>
      </c>
      <c r="P347">
        <v>4</v>
      </c>
      <c r="Q347">
        <v>3</v>
      </c>
      <c r="R347" t="s">
        <v>62</v>
      </c>
      <c r="S347">
        <v>0</v>
      </c>
      <c r="T347" s="1">
        <v>13.333333333333334</v>
      </c>
      <c r="U347" t="s">
        <v>63</v>
      </c>
    </row>
    <row r="348" spans="1:21" x14ac:dyDescent="0.35">
      <c r="A348" t="s">
        <v>50</v>
      </c>
      <c r="B348">
        <v>18</v>
      </c>
      <c r="C348" t="s">
        <v>52</v>
      </c>
      <c r="D348" t="s">
        <v>36</v>
      </c>
      <c r="E348" t="s">
        <v>44</v>
      </c>
      <c r="F348" t="s">
        <v>39</v>
      </c>
      <c r="G348" t="s">
        <v>48</v>
      </c>
      <c r="H348">
        <v>3</v>
      </c>
      <c r="I348">
        <v>0</v>
      </c>
      <c r="J348" t="s">
        <v>43</v>
      </c>
      <c r="K348" t="s">
        <v>43</v>
      </c>
      <c r="L348" t="s">
        <v>43</v>
      </c>
      <c r="M348" t="s">
        <v>43</v>
      </c>
      <c r="N348" t="s">
        <v>42</v>
      </c>
      <c r="O348">
        <v>5</v>
      </c>
      <c r="P348">
        <v>3</v>
      </c>
      <c r="Q348">
        <v>2</v>
      </c>
      <c r="R348" t="s">
        <v>62</v>
      </c>
      <c r="S348">
        <v>1</v>
      </c>
      <c r="T348" s="1">
        <v>15.666666666666666</v>
      </c>
      <c r="U348" t="s">
        <v>62</v>
      </c>
    </row>
    <row r="349" spans="1:21" x14ac:dyDescent="0.35">
      <c r="A349" t="s">
        <v>50</v>
      </c>
      <c r="B349">
        <v>18</v>
      </c>
      <c r="C349" t="s">
        <v>35</v>
      </c>
      <c r="D349" t="s">
        <v>36</v>
      </c>
      <c r="E349" t="s">
        <v>44</v>
      </c>
      <c r="F349" t="s">
        <v>39</v>
      </c>
      <c r="G349" t="s">
        <v>45</v>
      </c>
      <c r="H349">
        <v>3</v>
      </c>
      <c r="I349">
        <v>0</v>
      </c>
      <c r="J349" t="s">
        <v>43</v>
      </c>
      <c r="K349" t="s">
        <v>42</v>
      </c>
      <c r="L349" t="s">
        <v>42</v>
      </c>
      <c r="M349" t="s">
        <v>43</v>
      </c>
      <c r="N349" t="s">
        <v>42</v>
      </c>
      <c r="O349">
        <v>5</v>
      </c>
      <c r="P349">
        <v>4</v>
      </c>
      <c r="Q349">
        <v>5</v>
      </c>
      <c r="R349" t="s">
        <v>61</v>
      </c>
      <c r="S349">
        <v>1</v>
      </c>
      <c r="T349" s="1">
        <v>9.6666666666666661</v>
      </c>
      <c r="U349" t="s">
        <v>63</v>
      </c>
    </row>
    <row r="350" spans="1:21" x14ac:dyDescent="0.35">
      <c r="A350" t="s">
        <v>34</v>
      </c>
      <c r="B350">
        <v>17</v>
      </c>
      <c r="C350" t="s">
        <v>35</v>
      </c>
      <c r="D350" t="s">
        <v>36</v>
      </c>
      <c r="E350" t="s">
        <v>44</v>
      </c>
      <c r="F350" t="s">
        <v>28</v>
      </c>
      <c r="G350" t="s">
        <v>45</v>
      </c>
      <c r="H350">
        <v>3</v>
      </c>
      <c r="I350">
        <v>0</v>
      </c>
      <c r="J350" t="s">
        <v>43</v>
      </c>
      <c r="K350" t="s">
        <v>42</v>
      </c>
      <c r="L350" t="s">
        <v>42</v>
      </c>
      <c r="M350" t="s">
        <v>42</v>
      </c>
      <c r="N350" t="s">
        <v>42</v>
      </c>
      <c r="O350">
        <v>4</v>
      </c>
      <c r="P350">
        <v>4</v>
      </c>
      <c r="Q350">
        <v>3</v>
      </c>
      <c r="R350" t="s">
        <v>61</v>
      </c>
      <c r="S350">
        <v>0</v>
      </c>
      <c r="T350" s="1">
        <v>14.333333333333334</v>
      </c>
      <c r="U350" t="s">
        <v>62</v>
      </c>
    </row>
    <row r="351" spans="1:21" x14ac:dyDescent="0.35">
      <c r="A351" t="s">
        <v>50</v>
      </c>
      <c r="B351">
        <v>18</v>
      </c>
      <c r="C351" t="s">
        <v>52</v>
      </c>
      <c r="D351" t="s">
        <v>36</v>
      </c>
      <c r="E351" t="s">
        <v>44</v>
      </c>
      <c r="F351" t="s">
        <v>45</v>
      </c>
      <c r="G351" t="s">
        <v>45</v>
      </c>
      <c r="H351">
        <v>1</v>
      </c>
      <c r="I351">
        <v>1</v>
      </c>
      <c r="J351" t="s">
        <v>43</v>
      </c>
      <c r="K351" t="s">
        <v>42</v>
      </c>
      <c r="L351" t="s">
        <v>43</v>
      </c>
      <c r="M351" t="s">
        <v>43</v>
      </c>
      <c r="N351" t="s">
        <v>43</v>
      </c>
      <c r="O351">
        <v>2</v>
      </c>
      <c r="P351">
        <v>5</v>
      </c>
      <c r="Q351">
        <v>5</v>
      </c>
      <c r="R351" t="s">
        <v>63</v>
      </c>
      <c r="S351">
        <v>0</v>
      </c>
      <c r="T351" s="1">
        <v>12.333333333333334</v>
      </c>
      <c r="U351" t="s">
        <v>63</v>
      </c>
    </row>
    <row r="352" spans="1:21" x14ac:dyDescent="0.35">
      <c r="A352" t="s">
        <v>50</v>
      </c>
      <c r="B352">
        <v>19</v>
      </c>
      <c r="C352" t="s">
        <v>52</v>
      </c>
      <c r="D352" t="s">
        <v>36</v>
      </c>
      <c r="E352" t="s">
        <v>44</v>
      </c>
      <c r="F352" t="s">
        <v>45</v>
      </c>
      <c r="G352" t="s">
        <v>48</v>
      </c>
      <c r="H352">
        <v>2</v>
      </c>
      <c r="I352">
        <v>3</v>
      </c>
      <c r="J352" t="s">
        <v>43</v>
      </c>
      <c r="K352" t="s">
        <v>43</v>
      </c>
      <c r="L352" t="s">
        <v>43</v>
      </c>
      <c r="M352" t="s">
        <v>43</v>
      </c>
      <c r="N352" t="s">
        <v>43</v>
      </c>
      <c r="O352">
        <v>5</v>
      </c>
      <c r="P352">
        <v>4</v>
      </c>
      <c r="Q352">
        <v>4</v>
      </c>
      <c r="R352" t="s">
        <v>62</v>
      </c>
      <c r="S352">
        <v>1</v>
      </c>
      <c r="T352" s="1">
        <v>7.666666666666667</v>
      </c>
      <c r="U352" t="s">
        <v>63</v>
      </c>
    </row>
    <row r="353" spans="1:21" x14ac:dyDescent="0.35">
      <c r="A353" t="s">
        <v>50</v>
      </c>
      <c r="B353">
        <v>17</v>
      </c>
      <c r="C353" t="s">
        <v>35</v>
      </c>
      <c r="D353" t="s">
        <v>36</v>
      </c>
      <c r="E353" t="s">
        <v>44</v>
      </c>
      <c r="F353" t="s">
        <v>28</v>
      </c>
      <c r="G353" t="s">
        <v>45</v>
      </c>
      <c r="H353">
        <v>2</v>
      </c>
      <c r="I353">
        <v>0</v>
      </c>
      <c r="J353" t="s">
        <v>43</v>
      </c>
      <c r="K353" t="s">
        <v>42</v>
      </c>
      <c r="L353" t="s">
        <v>42</v>
      </c>
      <c r="M353" t="s">
        <v>43</v>
      </c>
      <c r="N353" t="s">
        <v>43</v>
      </c>
      <c r="O353">
        <v>4</v>
      </c>
      <c r="P353">
        <v>5</v>
      </c>
      <c r="Q353">
        <v>4</v>
      </c>
      <c r="R353" t="s">
        <v>61</v>
      </c>
      <c r="S353">
        <v>0</v>
      </c>
      <c r="T353" s="1">
        <v>13</v>
      </c>
      <c r="U353" t="s">
        <v>63</v>
      </c>
    </row>
    <row r="354" spans="1:21" x14ac:dyDescent="0.35">
      <c r="A354" t="s">
        <v>50</v>
      </c>
      <c r="B354">
        <v>18</v>
      </c>
      <c r="C354" t="s">
        <v>35</v>
      </c>
      <c r="D354" t="s">
        <v>47</v>
      </c>
      <c r="E354" t="s">
        <v>44</v>
      </c>
      <c r="F354" t="s">
        <v>38</v>
      </c>
      <c r="G354" t="s">
        <v>48</v>
      </c>
      <c r="H354">
        <v>1</v>
      </c>
      <c r="I354">
        <v>1</v>
      </c>
      <c r="J354" t="s">
        <v>43</v>
      </c>
      <c r="K354" t="s">
        <v>43</v>
      </c>
      <c r="L354" t="s">
        <v>43</v>
      </c>
      <c r="M354" t="s">
        <v>43</v>
      </c>
      <c r="N354" t="s">
        <v>42</v>
      </c>
      <c r="O354">
        <v>4</v>
      </c>
      <c r="P354">
        <v>3</v>
      </c>
      <c r="Q354">
        <v>3</v>
      </c>
      <c r="R354" t="s">
        <v>62</v>
      </c>
      <c r="S354">
        <v>1</v>
      </c>
      <c r="T354" s="1">
        <v>7.666666666666667</v>
      </c>
      <c r="U354" t="s">
        <v>63</v>
      </c>
    </row>
    <row r="355" spans="1:21" x14ac:dyDescent="0.35">
      <c r="A355" t="s">
        <v>50</v>
      </c>
      <c r="B355">
        <v>19</v>
      </c>
      <c r="C355" t="s">
        <v>52</v>
      </c>
      <c r="D355" t="s">
        <v>36</v>
      </c>
      <c r="E355" t="s">
        <v>44</v>
      </c>
      <c r="F355" t="s">
        <v>45</v>
      </c>
      <c r="G355" t="s">
        <v>45</v>
      </c>
      <c r="H355">
        <v>1</v>
      </c>
      <c r="I355">
        <v>1</v>
      </c>
      <c r="J355" t="s">
        <v>43</v>
      </c>
      <c r="K355" t="s">
        <v>42</v>
      </c>
      <c r="L355" t="s">
        <v>43</v>
      </c>
      <c r="M355" t="s">
        <v>43</v>
      </c>
      <c r="N355" t="s">
        <v>43</v>
      </c>
      <c r="O355">
        <v>4</v>
      </c>
      <c r="P355">
        <v>4</v>
      </c>
      <c r="Q355">
        <v>4</v>
      </c>
      <c r="R355" t="s">
        <v>61</v>
      </c>
      <c r="S355">
        <v>0</v>
      </c>
      <c r="T355" s="1">
        <v>8</v>
      </c>
      <c r="U355" t="s">
        <v>63</v>
      </c>
    </row>
    <row r="356" spans="1:21" x14ac:dyDescent="0.35">
      <c r="A356" t="s">
        <v>50</v>
      </c>
      <c r="B356">
        <v>17</v>
      </c>
      <c r="C356" t="s">
        <v>52</v>
      </c>
      <c r="D356" t="s">
        <v>36</v>
      </c>
      <c r="E356" t="s">
        <v>44</v>
      </c>
      <c r="F356" t="s">
        <v>48</v>
      </c>
      <c r="G356" t="s">
        <v>45</v>
      </c>
      <c r="H356">
        <v>2</v>
      </c>
      <c r="I356">
        <v>0</v>
      </c>
      <c r="J356" t="s">
        <v>43</v>
      </c>
      <c r="K356" t="s">
        <v>42</v>
      </c>
      <c r="L356" t="s">
        <v>42</v>
      </c>
      <c r="M356" t="s">
        <v>42</v>
      </c>
      <c r="N356" t="s">
        <v>42</v>
      </c>
      <c r="O356">
        <v>4</v>
      </c>
      <c r="P356">
        <v>5</v>
      </c>
      <c r="Q356">
        <v>5</v>
      </c>
      <c r="R356" t="s">
        <v>61</v>
      </c>
      <c r="S356">
        <v>1</v>
      </c>
      <c r="T356" s="1">
        <v>11.666666666666666</v>
      </c>
      <c r="U356" t="s">
        <v>62</v>
      </c>
    </row>
    <row r="357" spans="1:21" x14ac:dyDescent="0.35">
      <c r="A357" t="s">
        <v>34</v>
      </c>
      <c r="B357">
        <v>18</v>
      </c>
      <c r="C357" t="s">
        <v>35</v>
      </c>
      <c r="D357" t="s">
        <v>36</v>
      </c>
      <c r="E357" t="s">
        <v>44</v>
      </c>
      <c r="F357" t="s">
        <v>48</v>
      </c>
      <c r="G357" t="s">
        <v>48</v>
      </c>
      <c r="H357">
        <v>2</v>
      </c>
      <c r="I357">
        <v>0</v>
      </c>
      <c r="J357" t="s">
        <v>43</v>
      </c>
      <c r="K357" t="s">
        <v>42</v>
      </c>
      <c r="L357" t="s">
        <v>43</v>
      </c>
      <c r="M357" t="s">
        <v>43</v>
      </c>
      <c r="N357" t="s">
        <v>42</v>
      </c>
      <c r="O357">
        <v>5</v>
      </c>
      <c r="P357">
        <v>3</v>
      </c>
      <c r="Q357">
        <v>4</v>
      </c>
      <c r="R357" t="s">
        <v>61</v>
      </c>
      <c r="S357">
        <v>1</v>
      </c>
      <c r="T357" s="1">
        <v>9.3333333333333339</v>
      </c>
      <c r="U357" t="s">
        <v>61</v>
      </c>
    </row>
    <row r="358" spans="1:21" x14ac:dyDescent="0.35">
      <c r="A358" t="s">
        <v>34</v>
      </c>
      <c r="B358">
        <v>17</v>
      </c>
      <c r="C358" t="s">
        <v>52</v>
      </c>
      <c r="D358" t="s">
        <v>36</v>
      </c>
      <c r="E358" t="s">
        <v>44</v>
      </c>
      <c r="F358" t="s">
        <v>39</v>
      </c>
      <c r="G358" t="s">
        <v>48</v>
      </c>
      <c r="H358">
        <v>2</v>
      </c>
      <c r="I358">
        <v>0</v>
      </c>
      <c r="J358" t="s">
        <v>43</v>
      </c>
      <c r="K358" t="s">
        <v>42</v>
      </c>
      <c r="L358" t="s">
        <v>42</v>
      </c>
      <c r="M358" t="s">
        <v>42</v>
      </c>
      <c r="N358" t="s">
        <v>43</v>
      </c>
      <c r="O358">
        <v>4</v>
      </c>
      <c r="P358">
        <v>3</v>
      </c>
      <c r="Q358">
        <v>3</v>
      </c>
      <c r="R358" t="s">
        <v>61</v>
      </c>
      <c r="S358">
        <v>0</v>
      </c>
      <c r="T358" s="1">
        <v>12.666666666666666</v>
      </c>
      <c r="U358" t="s">
        <v>62</v>
      </c>
    </row>
    <row r="359" spans="1:21" x14ac:dyDescent="0.35">
      <c r="A359" t="s">
        <v>34</v>
      </c>
      <c r="B359">
        <v>17</v>
      </c>
      <c r="C359" t="s">
        <v>35</v>
      </c>
      <c r="D359" t="s">
        <v>47</v>
      </c>
      <c r="E359" t="s">
        <v>37</v>
      </c>
      <c r="F359" t="s">
        <v>48</v>
      </c>
      <c r="G359" t="s">
        <v>45</v>
      </c>
      <c r="H359">
        <v>2</v>
      </c>
      <c r="I359">
        <v>0</v>
      </c>
      <c r="J359" t="s">
        <v>43</v>
      </c>
      <c r="K359" t="s">
        <v>43</v>
      </c>
      <c r="L359" t="s">
        <v>43</v>
      </c>
      <c r="M359" t="s">
        <v>43</v>
      </c>
      <c r="N359" t="s">
        <v>42</v>
      </c>
      <c r="O359">
        <v>1</v>
      </c>
      <c r="P359">
        <v>2</v>
      </c>
      <c r="Q359">
        <v>3</v>
      </c>
      <c r="R359" t="s">
        <v>61</v>
      </c>
      <c r="S359">
        <v>1</v>
      </c>
      <c r="T359" s="1">
        <v>11.666666666666666</v>
      </c>
      <c r="U359" t="s">
        <v>62</v>
      </c>
    </row>
    <row r="360" spans="1:21" x14ac:dyDescent="0.35">
      <c r="A360" t="s">
        <v>50</v>
      </c>
      <c r="B360">
        <v>18</v>
      </c>
      <c r="C360" t="s">
        <v>35</v>
      </c>
      <c r="D360" t="s">
        <v>47</v>
      </c>
      <c r="E360" t="s">
        <v>44</v>
      </c>
      <c r="F360" t="s">
        <v>45</v>
      </c>
      <c r="G360" t="s">
        <v>48</v>
      </c>
      <c r="H360">
        <v>1</v>
      </c>
      <c r="I360">
        <v>0</v>
      </c>
      <c r="J360" t="s">
        <v>43</v>
      </c>
      <c r="K360" t="s">
        <v>43</v>
      </c>
      <c r="L360" t="s">
        <v>43</v>
      </c>
      <c r="M360" t="s">
        <v>43</v>
      </c>
      <c r="N360" t="s">
        <v>42</v>
      </c>
      <c r="O360">
        <v>3</v>
      </c>
      <c r="P360">
        <v>3</v>
      </c>
      <c r="Q360">
        <v>2</v>
      </c>
      <c r="R360" t="s">
        <v>61</v>
      </c>
      <c r="S360">
        <v>0</v>
      </c>
      <c r="T360" s="1">
        <v>10</v>
      </c>
      <c r="U360" t="s">
        <v>62</v>
      </c>
    </row>
    <row r="361" spans="1:21" x14ac:dyDescent="0.35">
      <c r="A361" t="s">
        <v>34</v>
      </c>
      <c r="B361">
        <v>18</v>
      </c>
      <c r="C361" t="s">
        <v>35</v>
      </c>
      <c r="D361" t="s">
        <v>47</v>
      </c>
      <c r="E361" t="s">
        <v>44</v>
      </c>
      <c r="F361" t="s">
        <v>38</v>
      </c>
      <c r="G361" t="s">
        <v>48</v>
      </c>
      <c r="H361">
        <v>3</v>
      </c>
      <c r="I361">
        <v>0</v>
      </c>
      <c r="J361" t="s">
        <v>43</v>
      </c>
      <c r="K361" t="s">
        <v>43</v>
      </c>
      <c r="L361" t="s">
        <v>43</v>
      </c>
      <c r="M361" t="s">
        <v>43</v>
      </c>
      <c r="N361" t="s">
        <v>43</v>
      </c>
      <c r="O361">
        <v>5</v>
      </c>
      <c r="P361">
        <v>3</v>
      </c>
      <c r="Q361">
        <v>2</v>
      </c>
      <c r="R361" t="s">
        <v>61</v>
      </c>
      <c r="S361">
        <v>1</v>
      </c>
      <c r="T361" s="1">
        <v>16.666666666666668</v>
      </c>
      <c r="U361" t="s">
        <v>61</v>
      </c>
    </row>
    <row r="362" spans="1:21" x14ac:dyDescent="0.35">
      <c r="A362" t="s">
        <v>34</v>
      </c>
      <c r="B362">
        <v>18</v>
      </c>
      <c r="C362" t="s">
        <v>52</v>
      </c>
      <c r="D362" t="s">
        <v>47</v>
      </c>
      <c r="E362" t="s">
        <v>37</v>
      </c>
      <c r="F362" t="s">
        <v>38</v>
      </c>
      <c r="G362" t="s">
        <v>45</v>
      </c>
      <c r="H362">
        <v>2</v>
      </c>
      <c r="I362">
        <v>0</v>
      </c>
      <c r="J362" t="s">
        <v>43</v>
      </c>
      <c r="K362" t="s">
        <v>43</v>
      </c>
      <c r="L362" t="s">
        <v>43</v>
      </c>
      <c r="M362" t="s">
        <v>43</v>
      </c>
      <c r="N362" t="s">
        <v>42</v>
      </c>
      <c r="O362">
        <v>4</v>
      </c>
      <c r="P362">
        <v>3</v>
      </c>
      <c r="Q362">
        <v>4</v>
      </c>
      <c r="R362" t="s">
        <v>61</v>
      </c>
      <c r="S362">
        <v>0</v>
      </c>
      <c r="T362" s="1">
        <v>13</v>
      </c>
      <c r="U362" t="s">
        <v>63</v>
      </c>
    </row>
    <row r="363" spans="1:21" x14ac:dyDescent="0.35">
      <c r="A363" t="s">
        <v>50</v>
      </c>
      <c r="B363">
        <v>18</v>
      </c>
      <c r="C363" t="s">
        <v>52</v>
      </c>
      <c r="D363" t="s">
        <v>47</v>
      </c>
      <c r="E363" t="s">
        <v>44</v>
      </c>
      <c r="F363" t="s">
        <v>38</v>
      </c>
      <c r="G363" t="s">
        <v>45</v>
      </c>
      <c r="H363">
        <v>2</v>
      </c>
      <c r="I363">
        <v>1</v>
      </c>
      <c r="J363" t="s">
        <v>43</v>
      </c>
      <c r="K363" t="s">
        <v>43</v>
      </c>
      <c r="L363" t="s">
        <v>43</v>
      </c>
      <c r="M363" t="s">
        <v>42</v>
      </c>
      <c r="N363" t="s">
        <v>43</v>
      </c>
      <c r="O363">
        <v>4</v>
      </c>
      <c r="P363">
        <v>4</v>
      </c>
      <c r="Q363">
        <v>3</v>
      </c>
      <c r="R363" t="s">
        <v>61</v>
      </c>
      <c r="S363">
        <v>1</v>
      </c>
      <c r="T363" s="1">
        <v>12.333333333333334</v>
      </c>
      <c r="U363" t="s">
        <v>63</v>
      </c>
    </row>
    <row r="364" spans="1:21" x14ac:dyDescent="0.35">
      <c r="A364" t="s">
        <v>34</v>
      </c>
      <c r="B364">
        <v>18</v>
      </c>
      <c r="C364" t="s">
        <v>35</v>
      </c>
      <c r="D364" t="s">
        <v>36</v>
      </c>
      <c r="E364" t="s">
        <v>44</v>
      </c>
      <c r="F364" t="s">
        <v>48</v>
      </c>
      <c r="G364" t="s">
        <v>48</v>
      </c>
      <c r="H364">
        <v>2</v>
      </c>
      <c r="I364">
        <v>0</v>
      </c>
      <c r="J364" t="s">
        <v>43</v>
      </c>
      <c r="K364" t="s">
        <v>42</v>
      </c>
      <c r="L364" t="s">
        <v>43</v>
      </c>
      <c r="M364" t="s">
        <v>43</v>
      </c>
      <c r="N364" t="s">
        <v>42</v>
      </c>
      <c r="O364">
        <v>4</v>
      </c>
      <c r="P364">
        <v>3</v>
      </c>
      <c r="Q364">
        <v>2</v>
      </c>
      <c r="R364" t="s">
        <v>61</v>
      </c>
      <c r="S364">
        <v>1</v>
      </c>
      <c r="T364" s="1">
        <v>10.666666666666666</v>
      </c>
      <c r="U364" t="s">
        <v>62</v>
      </c>
    </row>
    <row r="365" spans="1:21" x14ac:dyDescent="0.35">
      <c r="A365" t="s">
        <v>34</v>
      </c>
      <c r="B365">
        <v>17</v>
      </c>
      <c r="C365" t="s">
        <v>35</v>
      </c>
      <c r="D365" t="s">
        <v>47</v>
      </c>
      <c r="E365" t="s">
        <v>44</v>
      </c>
      <c r="F365" t="s">
        <v>38</v>
      </c>
      <c r="G365" t="s">
        <v>38</v>
      </c>
      <c r="H365">
        <v>2</v>
      </c>
      <c r="I365">
        <v>0</v>
      </c>
      <c r="J365" t="s">
        <v>43</v>
      </c>
      <c r="K365" t="s">
        <v>42</v>
      </c>
      <c r="L365" t="s">
        <v>42</v>
      </c>
      <c r="M365" t="s">
        <v>42</v>
      </c>
      <c r="N365" t="s">
        <v>42</v>
      </c>
      <c r="O365">
        <v>2</v>
      </c>
      <c r="P365">
        <v>3</v>
      </c>
      <c r="Q365">
        <v>4</v>
      </c>
      <c r="R365" t="s">
        <v>61</v>
      </c>
      <c r="S365">
        <v>1</v>
      </c>
      <c r="T365" s="1">
        <v>15.333333333333334</v>
      </c>
      <c r="U365" t="s">
        <v>61</v>
      </c>
    </row>
    <row r="366" spans="1:21" x14ac:dyDescent="0.35">
      <c r="A366" t="s">
        <v>34</v>
      </c>
      <c r="B366">
        <v>17</v>
      </c>
      <c r="C366" t="s">
        <v>52</v>
      </c>
      <c r="D366" t="s">
        <v>36</v>
      </c>
      <c r="E366" t="s">
        <v>44</v>
      </c>
      <c r="F366" t="s">
        <v>45</v>
      </c>
      <c r="G366" t="s">
        <v>48</v>
      </c>
      <c r="H366">
        <v>2</v>
      </c>
      <c r="I366">
        <v>0</v>
      </c>
      <c r="J366" t="s">
        <v>43</v>
      </c>
      <c r="K366" t="s">
        <v>43</v>
      </c>
      <c r="L366" t="s">
        <v>43</v>
      </c>
      <c r="M366" t="s">
        <v>43</v>
      </c>
      <c r="N366" t="s">
        <v>43</v>
      </c>
      <c r="O366">
        <v>3</v>
      </c>
      <c r="P366">
        <v>2</v>
      </c>
      <c r="Q366">
        <v>2</v>
      </c>
      <c r="R366" t="s">
        <v>61</v>
      </c>
      <c r="S366">
        <v>1</v>
      </c>
      <c r="T366" s="1">
        <v>11.666666666666666</v>
      </c>
      <c r="U366" t="s">
        <v>62</v>
      </c>
    </row>
    <row r="367" spans="1:21" x14ac:dyDescent="0.35">
      <c r="A367" t="s">
        <v>50</v>
      </c>
      <c r="B367">
        <v>18</v>
      </c>
      <c r="C367" t="s">
        <v>52</v>
      </c>
      <c r="D367" t="s">
        <v>36</v>
      </c>
      <c r="E367" t="s">
        <v>44</v>
      </c>
      <c r="F367" t="s">
        <v>38</v>
      </c>
      <c r="G367" t="s">
        <v>45</v>
      </c>
      <c r="H367">
        <v>2</v>
      </c>
      <c r="I367">
        <v>0</v>
      </c>
      <c r="J367" t="s">
        <v>43</v>
      </c>
      <c r="K367" t="s">
        <v>42</v>
      </c>
      <c r="L367" t="s">
        <v>42</v>
      </c>
      <c r="M367" t="s">
        <v>43</v>
      </c>
      <c r="N367" t="s">
        <v>43</v>
      </c>
      <c r="O367">
        <v>3</v>
      </c>
      <c r="P367">
        <v>3</v>
      </c>
      <c r="Q367">
        <v>4</v>
      </c>
      <c r="R367" t="s">
        <v>61</v>
      </c>
      <c r="S367">
        <v>0</v>
      </c>
      <c r="T367" s="1">
        <v>10</v>
      </c>
      <c r="U367" t="s">
        <v>63</v>
      </c>
    </row>
    <row r="368" spans="1:21" x14ac:dyDescent="0.35">
      <c r="A368" t="s">
        <v>50</v>
      </c>
      <c r="B368">
        <v>18</v>
      </c>
      <c r="C368" t="s">
        <v>35</v>
      </c>
      <c r="D368" t="s">
        <v>47</v>
      </c>
      <c r="E368" t="s">
        <v>44</v>
      </c>
      <c r="F368" t="s">
        <v>39</v>
      </c>
      <c r="G368" t="s">
        <v>48</v>
      </c>
      <c r="H368">
        <v>3</v>
      </c>
      <c r="I368">
        <v>0</v>
      </c>
      <c r="J368" t="s">
        <v>43</v>
      </c>
      <c r="K368" t="s">
        <v>43</v>
      </c>
      <c r="L368" t="s">
        <v>42</v>
      </c>
      <c r="M368" t="s">
        <v>43</v>
      </c>
      <c r="N368" t="s">
        <v>42</v>
      </c>
      <c r="O368">
        <v>4</v>
      </c>
      <c r="P368">
        <v>2</v>
      </c>
      <c r="Q368">
        <v>2</v>
      </c>
      <c r="R368" t="s">
        <v>61</v>
      </c>
      <c r="S368">
        <v>0</v>
      </c>
      <c r="T368" s="1">
        <v>13</v>
      </c>
      <c r="U368" t="s">
        <v>62</v>
      </c>
    </row>
    <row r="369" spans="1:21" x14ac:dyDescent="0.35">
      <c r="A369" t="s">
        <v>34</v>
      </c>
      <c r="B369">
        <v>17</v>
      </c>
      <c r="C369" t="s">
        <v>52</v>
      </c>
      <c r="D369" t="s">
        <v>36</v>
      </c>
      <c r="E369" t="s">
        <v>44</v>
      </c>
      <c r="F369" t="s">
        <v>45</v>
      </c>
      <c r="G369" t="s">
        <v>48</v>
      </c>
      <c r="H369">
        <v>1</v>
      </c>
      <c r="I369">
        <v>1</v>
      </c>
      <c r="J369" t="s">
        <v>43</v>
      </c>
      <c r="K369" t="s">
        <v>42</v>
      </c>
      <c r="L369" t="s">
        <v>42</v>
      </c>
      <c r="M369" t="s">
        <v>43</v>
      </c>
      <c r="N369" t="s">
        <v>42</v>
      </c>
      <c r="O369">
        <v>5</v>
      </c>
      <c r="P369">
        <v>2</v>
      </c>
      <c r="Q369">
        <v>1</v>
      </c>
      <c r="R369" t="s">
        <v>61</v>
      </c>
      <c r="S369">
        <v>2</v>
      </c>
      <c r="T369" s="1">
        <v>4.333333333333333</v>
      </c>
      <c r="U369" t="s">
        <v>62</v>
      </c>
    </row>
    <row r="370" spans="1:21" x14ac:dyDescent="0.35">
      <c r="A370" t="s">
        <v>34</v>
      </c>
      <c r="B370">
        <v>18</v>
      </c>
      <c r="C370" t="s">
        <v>35</v>
      </c>
      <c r="D370" t="s">
        <v>36</v>
      </c>
      <c r="E370" t="s">
        <v>44</v>
      </c>
      <c r="F370" t="s">
        <v>38</v>
      </c>
      <c r="G370" t="s">
        <v>48</v>
      </c>
      <c r="H370">
        <v>1</v>
      </c>
      <c r="I370">
        <v>0</v>
      </c>
      <c r="J370" t="s">
        <v>43</v>
      </c>
      <c r="K370" t="s">
        <v>42</v>
      </c>
      <c r="L370" t="s">
        <v>42</v>
      </c>
      <c r="M370" t="s">
        <v>43</v>
      </c>
      <c r="N370" t="s">
        <v>42</v>
      </c>
      <c r="O370">
        <v>5</v>
      </c>
      <c r="P370">
        <v>2</v>
      </c>
      <c r="Q370">
        <v>3</v>
      </c>
      <c r="R370" t="s">
        <v>61</v>
      </c>
      <c r="S370">
        <v>1</v>
      </c>
      <c r="T370" s="1">
        <v>10.333333333333334</v>
      </c>
      <c r="U370" t="s">
        <v>62</v>
      </c>
    </row>
    <row r="371" spans="1:21" x14ac:dyDescent="0.35">
      <c r="A371" t="s">
        <v>34</v>
      </c>
      <c r="B371">
        <v>18</v>
      </c>
      <c r="C371" t="s">
        <v>52</v>
      </c>
      <c r="D371" t="s">
        <v>36</v>
      </c>
      <c r="E371" t="s">
        <v>44</v>
      </c>
      <c r="F371" t="s">
        <v>45</v>
      </c>
      <c r="G371" t="s">
        <v>39</v>
      </c>
      <c r="H371">
        <v>2</v>
      </c>
      <c r="I371">
        <v>0</v>
      </c>
      <c r="J371" t="s">
        <v>43</v>
      </c>
      <c r="K371" t="s">
        <v>42</v>
      </c>
      <c r="L371" t="s">
        <v>42</v>
      </c>
      <c r="M371" t="s">
        <v>43</v>
      </c>
      <c r="N371" t="s">
        <v>42</v>
      </c>
      <c r="O371">
        <v>3</v>
      </c>
      <c r="P371">
        <v>2</v>
      </c>
      <c r="Q371">
        <v>2</v>
      </c>
      <c r="R371" t="s">
        <v>63</v>
      </c>
      <c r="S371">
        <v>2</v>
      </c>
      <c r="T371" s="1">
        <v>12.333333333333334</v>
      </c>
      <c r="U371" t="s">
        <v>63</v>
      </c>
    </row>
    <row r="372" spans="1:21" x14ac:dyDescent="0.35">
      <c r="A372" t="s">
        <v>34</v>
      </c>
      <c r="B372">
        <v>19</v>
      </c>
      <c r="C372" t="s">
        <v>35</v>
      </c>
      <c r="D372" t="s">
        <v>47</v>
      </c>
      <c r="E372" t="s">
        <v>44</v>
      </c>
      <c r="F372" t="s">
        <v>48</v>
      </c>
      <c r="G372" t="s">
        <v>48</v>
      </c>
      <c r="H372">
        <v>2</v>
      </c>
      <c r="I372">
        <v>2</v>
      </c>
      <c r="J372" t="s">
        <v>43</v>
      </c>
      <c r="K372" t="s">
        <v>43</v>
      </c>
      <c r="L372" t="s">
        <v>43</v>
      </c>
      <c r="M372" t="s">
        <v>42</v>
      </c>
      <c r="N372" t="s">
        <v>42</v>
      </c>
      <c r="O372">
        <v>3</v>
      </c>
      <c r="P372">
        <v>2</v>
      </c>
      <c r="Q372">
        <v>2</v>
      </c>
      <c r="R372" t="s">
        <v>61</v>
      </c>
      <c r="S372">
        <v>0</v>
      </c>
      <c r="T372" s="1">
        <v>7.666666666666667</v>
      </c>
      <c r="U372" t="s">
        <v>61</v>
      </c>
    </row>
    <row r="373" spans="1:21" x14ac:dyDescent="0.35">
      <c r="A373" t="s">
        <v>50</v>
      </c>
      <c r="B373">
        <v>18</v>
      </c>
      <c r="C373" t="s">
        <v>52</v>
      </c>
      <c r="D373" t="s">
        <v>47</v>
      </c>
      <c r="E373" t="s">
        <v>44</v>
      </c>
      <c r="F373" t="s">
        <v>38</v>
      </c>
      <c r="G373" t="s">
        <v>48</v>
      </c>
      <c r="H373">
        <v>1</v>
      </c>
      <c r="I373">
        <v>0</v>
      </c>
      <c r="J373" t="s">
        <v>43</v>
      </c>
      <c r="K373" t="s">
        <v>42</v>
      </c>
      <c r="L373" t="s">
        <v>42</v>
      </c>
      <c r="M373" t="s">
        <v>42</v>
      </c>
      <c r="N373" t="s">
        <v>42</v>
      </c>
      <c r="O373">
        <v>4</v>
      </c>
      <c r="P373">
        <v>3</v>
      </c>
      <c r="Q373">
        <v>3</v>
      </c>
      <c r="R373" t="s">
        <v>61</v>
      </c>
      <c r="S373">
        <v>1</v>
      </c>
      <c r="T373" s="1">
        <v>12.666666666666666</v>
      </c>
      <c r="U373" t="s">
        <v>63</v>
      </c>
    </row>
    <row r="374" spans="1:21" x14ac:dyDescent="0.35">
      <c r="A374" t="s">
        <v>34</v>
      </c>
      <c r="B374">
        <v>17</v>
      </c>
      <c r="C374" t="s">
        <v>35</v>
      </c>
      <c r="D374" t="s">
        <v>36</v>
      </c>
      <c r="E374" t="s">
        <v>44</v>
      </c>
      <c r="F374" t="s">
        <v>45</v>
      </c>
      <c r="G374" t="s">
        <v>38</v>
      </c>
      <c r="H374">
        <v>3</v>
      </c>
      <c r="I374">
        <v>0</v>
      </c>
      <c r="J374" t="s">
        <v>43</v>
      </c>
      <c r="K374" t="s">
        <v>43</v>
      </c>
      <c r="L374" t="s">
        <v>43</v>
      </c>
      <c r="M374" t="s">
        <v>42</v>
      </c>
      <c r="N374" t="s">
        <v>42</v>
      </c>
      <c r="O374">
        <v>3</v>
      </c>
      <c r="P374">
        <v>4</v>
      </c>
      <c r="Q374">
        <v>3</v>
      </c>
      <c r="R374" t="s">
        <v>62</v>
      </c>
      <c r="S374">
        <v>1</v>
      </c>
      <c r="T374" s="1">
        <v>11.666666666666666</v>
      </c>
      <c r="U374" t="s">
        <v>61</v>
      </c>
    </row>
    <row r="375" spans="1:21" x14ac:dyDescent="0.35">
      <c r="A375" t="s">
        <v>34</v>
      </c>
      <c r="B375">
        <v>17</v>
      </c>
      <c r="C375" t="s">
        <v>52</v>
      </c>
      <c r="D375" t="s">
        <v>36</v>
      </c>
      <c r="E375" t="s">
        <v>44</v>
      </c>
      <c r="F375" t="s">
        <v>45</v>
      </c>
      <c r="G375" t="s">
        <v>45</v>
      </c>
      <c r="H375">
        <v>1</v>
      </c>
      <c r="I375">
        <v>0</v>
      </c>
      <c r="J375" t="s">
        <v>43</v>
      </c>
      <c r="K375" t="s">
        <v>43</v>
      </c>
      <c r="L375" t="s">
        <v>43</v>
      </c>
      <c r="M375" t="s">
        <v>42</v>
      </c>
      <c r="N375" t="s">
        <v>43</v>
      </c>
      <c r="O375">
        <v>3</v>
      </c>
      <c r="P375">
        <v>5</v>
      </c>
      <c r="Q375">
        <v>5</v>
      </c>
      <c r="R375" t="s">
        <v>63</v>
      </c>
      <c r="S375">
        <v>1</v>
      </c>
      <c r="T375" s="1">
        <v>5.333333333333333</v>
      </c>
      <c r="U375" t="s">
        <v>62</v>
      </c>
    </row>
    <row r="376" spans="1:21" x14ac:dyDescent="0.35">
      <c r="A376" t="s">
        <v>34</v>
      </c>
      <c r="B376">
        <v>18</v>
      </c>
      <c r="C376" t="s">
        <v>52</v>
      </c>
      <c r="D376" t="s">
        <v>47</v>
      </c>
      <c r="E376" t="s">
        <v>44</v>
      </c>
      <c r="F376" t="s">
        <v>45</v>
      </c>
      <c r="G376" t="s">
        <v>45</v>
      </c>
      <c r="H376">
        <v>3</v>
      </c>
      <c r="I376">
        <v>0</v>
      </c>
      <c r="J376" t="s">
        <v>43</v>
      </c>
      <c r="K376" t="s">
        <v>43</v>
      </c>
      <c r="L376" t="s">
        <v>43</v>
      </c>
      <c r="M376" t="s">
        <v>43</v>
      </c>
      <c r="N376" t="s">
        <v>43</v>
      </c>
      <c r="O376">
        <v>5</v>
      </c>
      <c r="P376">
        <v>4</v>
      </c>
      <c r="Q376">
        <v>4</v>
      </c>
      <c r="R376" t="s">
        <v>61</v>
      </c>
      <c r="S376">
        <v>1</v>
      </c>
      <c r="T376" s="1">
        <v>18.666666666666668</v>
      </c>
      <c r="U376" t="s">
        <v>61</v>
      </c>
    </row>
    <row r="377" spans="1:21" x14ac:dyDescent="0.35">
      <c r="A377" t="s">
        <v>34</v>
      </c>
      <c r="B377">
        <v>18</v>
      </c>
      <c r="C377" t="s">
        <v>52</v>
      </c>
      <c r="D377" t="s">
        <v>36</v>
      </c>
      <c r="E377" t="s">
        <v>44</v>
      </c>
      <c r="F377" t="s">
        <v>45</v>
      </c>
      <c r="G377" t="s">
        <v>45</v>
      </c>
      <c r="H377">
        <v>3</v>
      </c>
      <c r="I377">
        <v>0</v>
      </c>
      <c r="J377" t="s">
        <v>43</v>
      </c>
      <c r="K377" t="s">
        <v>43</v>
      </c>
      <c r="L377" t="s">
        <v>43</v>
      </c>
      <c r="M377" t="s">
        <v>43</v>
      </c>
      <c r="N377" t="s">
        <v>43</v>
      </c>
      <c r="O377">
        <v>4</v>
      </c>
      <c r="P377">
        <v>3</v>
      </c>
      <c r="Q377">
        <v>2</v>
      </c>
      <c r="R377" t="s">
        <v>61</v>
      </c>
      <c r="S377">
        <v>0</v>
      </c>
      <c r="T377" s="1">
        <v>8.6666666666666661</v>
      </c>
      <c r="U377" t="s">
        <v>62</v>
      </c>
    </row>
    <row r="378" spans="1:21" x14ac:dyDescent="0.35">
      <c r="A378" t="s">
        <v>34</v>
      </c>
      <c r="B378">
        <v>20</v>
      </c>
      <c r="C378" t="s">
        <v>35</v>
      </c>
      <c r="D378" t="s">
        <v>36</v>
      </c>
      <c r="E378" t="s">
        <v>44</v>
      </c>
      <c r="F378" t="s">
        <v>28</v>
      </c>
      <c r="G378" t="s">
        <v>45</v>
      </c>
      <c r="H378">
        <v>3</v>
      </c>
      <c r="I378">
        <v>2</v>
      </c>
      <c r="J378" t="s">
        <v>43</v>
      </c>
      <c r="K378" t="s">
        <v>42</v>
      </c>
      <c r="L378" t="s">
        <v>42</v>
      </c>
      <c r="M378" t="s">
        <v>43</v>
      </c>
      <c r="N378" t="s">
        <v>42</v>
      </c>
      <c r="O378">
        <v>5</v>
      </c>
      <c r="P378">
        <v>4</v>
      </c>
      <c r="Q378">
        <v>3</v>
      </c>
      <c r="R378" t="s">
        <v>61</v>
      </c>
      <c r="S378">
        <v>1</v>
      </c>
      <c r="T378" s="1">
        <v>14.666666666666666</v>
      </c>
      <c r="U378" t="s">
        <v>61</v>
      </c>
    </row>
    <row r="379" spans="1:21" x14ac:dyDescent="0.35">
      <c r="A379" t="s">
        <v>34</v>
      </c>
      <c r="B379">
        <v>18</v>
      </c>
      <c r="C379" t="s">
        <v>52</v>
      </c>
      <c r="D379" t="s">
        <v>47</v>
      </c>
      <c r="E379" t="s">
        <v>44</v>
      </c>
      <c r="F379" t="s">
        <v>39</v>
      </c>
      <c r="G379" t="s">
        <v>48</v>
      </c>
      <c r="H379">
        <v>2</v>
      </c>
      <c r="I379">
        <v>0</v>
      </c>
      <c r="J379" t="s">
        <v>43</v>
      </c>
      <c r="K379" t="s">
        <v>43</v>
      </c>
      <c r="L379" t="s">
        <v>42</v>
      </c>
      <c r="M379" t="s">
        <v>42</v>
      </c>
      <c r="N379" t="s">
        <v>43</v>
      </c>
      <c r="O379">
        <v>5</v>
      </c>
      <c r="P379">
        <v>4</v>
      </c>
      <c r="Q379">
        <v>3</v>
      </c>
      <c r="R379" t="s">
        <v>61</v>
      </c>
      <c r="S379">
        <v>0</v>
      </c>
      <c r="T379" s="1">
        <v>9</v>
      </c>
      <c r="U379" t="s">
        <v>63</v>
      </c>
    </row>
    <row r="380" spans="1:21" x14ac:dyDescent="0.35">
      <c r="A380" t="s">
        <v>34</v>
      </c>
      <c r="B380">
        <v>18</v>
      </c>
      <c r="C380" t="s">
        <v>35</v>
      </c>
      <c r="D380" t="s">
        <v>36</v>
      </c>
      <c r="E380" t="s">
        <v>44</v>
      </c>
      <c r="F380" t="s">
        <v>45</v>
      </c>
      <c r="G380" t="s">
        <v>45</v>
      </c>
      <c r="H380">
        <v>2</v>
      </c>
      <c r="I380">
        <v>0</v>
      </c>
      <c r="J380" t="s">
        <v>43</v>
      </c>
      <c r="K380" t="s">
        <v>43</v>
      </c>
      <c r="L380" t="s">
        <v>42</v>
      </c>
      <c r="M380" t="s">
        <v>43</v>
      </c>
      <c r="N380" t="s">
        <v>42</v>
      </c>
      <c r="O380">
        <v>4</v>
      </c>
      <c r="P380">
        <v>1</v>
      </c>
      <c r="Q380">
        <v>3</v>
      </c>
      <c r="R380" t="s">
        <v>61</v>
      </c>
      <c r="S380">
        <v>0</v>
      </c>
      <c r="T380" s="1">
        <v>15</v>
      </c>
      <c r="U380" t="s">
        <v>62</v>
      </c>
    </row>
    <row r="381" spans="1:21" x14ac:dyDescent="0.35">
      <c r="A381" t="s">
        <v>34</v>
      </c>
      <c r="B381">
        <v>17</v>
      </c>
      <c r="C381" t="s">
        <v>52</v>
      </c>
      <c r="D381" t="s">
        <v>36</v>
      </c>
      <c r="E381" t="s">
        <v>44</v>
      </c>
      <c r="F381" t="s">
        <v>38</v>
      </c>
      <c r="G381" t="s">
        <v>45</v>
      </c>
      <c r="H381">
        <v>2</v>
      </c>
      <c r="I381">
        <v>0</v>
      </c>
      <c r="J381" t="s">
        <v>43</v>
      </c>
      <c r="K381" t="s">
        <v>42</v>
      </c>
      <c r="L381" t="s">
        <v>42</v>
      </c>
      <c r="M381" t="s">
        <v>42</v>
      </c>
      <c r="N381" t="s">
        <v>43</v>
      </c>
      <c r="O381">
        <v>4</v>
      </c>
      <c r="P381">
        <v>5</v>
      </c>
      <c r="Q381">
        <v>4</v>
      </c>
      <c r="R381" t="s">
        <v>63</v>
      </c>
      <c r="S381">
        <v>0</v>
      </c>
      <c r="T381" s="1">
        <v>10</v>
      </c>
      <c r="U381" t="s">
        <v>63</v>
      </c>
    </row>
    <row r="382" spans="1:21" x14ac:dyDescent="0.35">
      <c r="A382" t="s">
        <v>50</v>
      </c>
      <c r="B382">
        <v>18</v>
      </c>
      <c r="C382" t="s">
        <v>35</v>
      </c>
      <c r="D382" t="s">
        <v>36</v>
      </c>
      <c r="E382" t="s">
        <v>44</v>
      </c>
      <c r="F382" t="s">
        <v>39</v>
      </c>
      <c r="G382" t="s">
        <v>39</v>
      </c>
      <c r="H382">
        <v>2</v>
      </c>
      <c r="I382">
        <v>0</v>
      </c>
      <c r="J382" t="s">
        <v>43</v>
      </c>
      <c r="K382" t="s">
        <v>43</v>
      </c>
      <c r="L382" t="s">
        <v>42</v>
      </c>
      <c r="M382" t="s">
        <v>42</v>
      </c>
      <c r="N382" t="s">
        <v>43</v>
      </c>
      <c r="O382">
        <v>3</v>
      </c>
      <c r="P382">
        <v>2</v>
      </c>
      <c r="Q382">
        <v>4</v>
      </c>
      <c r="R382" t="s">
        <v>61</v>
      </c>
      <c r="S382">
        <v>1</v>
      </c>
      <c r="T382" s="1">
        <v>14.333333333333334</v>
      </c>
      <c r="U382" t="s">
        <v>63</v>
      </c>
    </row>
    <row r="383" spans="1:21" x14ac:dyDescent="0.35">
      <c r="A383" t="s">
        <v>50</v>
      </c>
      <c r="B383">
        <v>18</v>
      </c>
      <c r="C383" t="s">
        <v>52</v>
      </c>
      <c r="D383" t="s">
        <v>36</v>
      </c>
      <c r="E383" t="s">
        <v>44</v>
      </c>
      <c r="F383" t="s">
        <v>45</v>
      </c>
      <c r="G383" t="s">
        <v>45</v>
      </c>
      <c r="H383">
        <v>1</v>
      </c>
      <c r="I383">
        <v>0</v>
      </c>
      <c r="J383" t="s">
        <v>43</v>
      </c>
      <c r="K383" t="s">
        <v>43</v>
      </c>
      <c r="L383" t="s">
        <v>43</v>
      </c>
      <c r="M383" t="s">
        <v>42</v>
      </c>
      <c r="N383" t="s">
        <v>42</v>
      </c>
      <c r="O383">
        <v>4</v>
      </c>
      <c r="P383">
        <v>4</v>
      </c>
      <c r="Q383">
        <v>3</v>
      </c>
      <c r="R383" t="s">
        <v>62</v>
      </c>
      <c r="S383">
        <v>1</v>
      </c>
      <c r="T383" s="1">
        <v>6.666666666666667</v>
      </c>
      <c r="U383" t="s">
        <v>62</v>
      </c>
    </row>
    <row r="384" spans="1:21" x14ac:dyDescent="0.35">
      <c r="A384" t="s">
        <v>50</v>
      </c>
      <c r="B384">
        <v>17</v>
      </c>
      <c r="C384" t="s">
        <v>35</v>
      </c>
      <c r="D384" t="s">
        <v>36</v>
      </c>
      <c r="E384" t="s">
        <v>44</v>
      </c>
      <c r="F384" t="s">
        <v>45</v>
      </c>
      <c r="G384" t="s">
        <v>48</v>
      </c>
      <c r="H384">
        <v>2</v>
      </c>
      <c r="I384">
        <v>0</v>
      </c>
      <c r="J384" t="s">
        <v>43</v>
      </c>
      <c r="K384" t="s">
        <v>43</v>
      </c>
      <c r="L384" t="s">
        <v>43</v>
      </c>
      <c r="M384" t="s">
        <v>42</v>
      </c>
      <c r="N384" t="s">
        <v>43</v>
      </c>
      <c r="O384">
        <v>4</v>
      </c>
      <c r="P384">
        <v>4</v>
      </c>
      <c r="Q384">
        <v>3</v>
      </c>
      <c r="R384" t="s">
        <v>61</v>
      </c>
      <c r="S384">
        <v>1</v>
      </c>
      <c r="T384" s="1">
        <v>10.666666666666666</v>
      </c>
      <c r="U384" t="s">
        <v>61</v>
      </c>
    </row>
    <row r="385" spans="1:21" x14ac:dyDescent="0.35">
      <c r="A385" t="s">
        <v>50</v>
      </c>
      <c r="B385">
        <v>19</v>
      </c>
      <c r="C385" t="s">
        <v>52</v>
      </c>
      <c r="D385" t="s">
        <v>36</v>
      </c>
      <c r="E385" t="s">
        <v>44</v>
      </c>
      <c r="F385" t="s">
        <v>45</v>
      </c>
      <c r="G385" t="s">
        <v>48</v>
      </c>
      <c r="H385">
        <v>1</v>
      </c>
      <c r="I385">
        <v>1</v>
      </c>
      <c r="J385" t="s">
        <v>43</v>
      </c>
      <c r="K385" t="s">
        <v>43</v>
      </c>
      <c r="L385" t="s">
        <v>43</v>
      </c>
      <c r="M385" t="s">
        <v>43</v>
      </c>
      <c r="N385" t="s">
        <v>43</v>
      </c>
      <c r="O385">
        <v>4</v>
      </c>
      <c r="P385">
        <v>3</v>
      </c>
      <c r="Q385">
        <v>2</v>
      </c>
      <c r="R385" t="s">
        <v>61</v>
      </c>
      <c r="S385">
        <v>2</v>
      </c>
      <c r="T385" s="1">
        <v>3.6666666666666665</v>
      </c>
      <c r="U385" t="s">
        <v>62</v>
      </c>
    </row>
    <row r="386" spans="1:21" x14ac:dyDescent="0.35">
      <c r="A386" t="s">
        <v>50</v>
      </c>
      <c r="B386">
        <v>18</v>
      </c>
      <c r="C386" t="s">
        <v>52</v>
      </c>
      <c r="D386" t="s">
        <v>36</v>
      </c>
      <c r="E386" t="s">
        <v>44</v>
      </c>
      <c r="F386" t="s">
        <v>45</v>
      </c>
      <c r="G386" t="s">
        <v>45</v>
      </c>
      <c r="H386">
        <v>1</v>
      </c>
      <c r="I386">
        <v>1</v>
      </c>
      <c r="J386" t="s">
        <v>43</v>
      </c>
      <c r="K386" t="s">
        <v>43</v>
      </c>
      <c r="L386" t="s">
        <v>42</v>
      </c>
      <c r="M386" t="s">
        <v>43</v>
      </c>
      <c r="N386" t="s">
        <v>43</v>
      </c>
      <c r="O386">
        <v>5</v>
      </c>
      <c r="P386">
        <v>4</v>
      </c>
      <c r="Q386">
        <v>3</v>
      </c>
      <c r="R386" t="s">
        <v>63</v>
      </c>
      <c r="S386">
        <v>1</v>
      </c>
      <c r="T386" s="1">
        <v>5.333333333333333</v>
      </c>
      <c r="U386" t="s">
        <v>63</v>
      </c>
    </row>
    <row r="387" spans="1:21" x14ac:dyDescent="0.35">
      <c r="A387" t="s">
        <v>34</v>
      </c>
      <c r="B387">
        <v>18</v>
      </c>
      <c r="C387" t="s">
        <v>52</v>
      </c>
      <c r="D387" t="s">
        <v>36</v>
      </c>
      <c r="E387" t="s">
        <v>44</v>
      </c>
      <c r="F387" t="s">
        <v>38</v>
      </c>
      <c r="G387" t="s">
        <v>45</v>
      </c>
      <c r="H387">
        <v>3</v>
      </c>
      <c r="I387">
        <v>0</v>
      </c>
      <c r="J387" t="s">
        <v>43</v>
      </c>
      <c r="K387" t="s">
        <v>43</v>
      </c>
      <c r="L387" t="s">
        <v>42</v>
      </c>
      <c r="M387" t="s">
        <v>43</v>
      </c>
      <c r="N387" t="s">
        <v>43</v>
      </c>
      <c r="O387">
        <v>5</v>
      </c>
      <c r="P387">
        <v>3</v>
      </c>
      <c r="Q387">
        <v>3</v>
      </c>
      <c r="R387" t="s">
        <v>61</v>
      </c>
      <c r="S387">
        <v>1</v>
      </c>
      <c r="T387" s="1">
        <v>9.6666666666666661</v>
      </c>
      <c r="U387" t="s">
        <v>62</v>
      </c>
    </row>
    <row r="388" spans="1:21" x14ac:dyDescent="0.35">
      <c r="A388" t="s">
        <v>34</v>
      </c>
      <c r="B388">
        <v>18</v>
      </c>
      <c r="C388" t="s">
        <v>52</v>
      </c>
      <c r="D388" t="s">
        <v>36</v>
      </c>
      <c r="E388" t="s">
        <v>44</v>
      </c>
      <c r="F388" t="s">
        <v>39</v>
      </c>
      <c r="G388" t="s">
        <v>38</v>
      </c>
      <c r="H388">
        <v>1</v>
      </c>
      <c r="I388">
        <v>0</v>
      </c>
      <c r="J388" t="s">
        <v>43</v>
      </c>
      <c r="K388" t="s">
        <v>42</v>
      </c>
      <c r="L388" t="s">
        <v>42</v>
      </c>
      <c r="M388" t="s">
        <v>42</v>
      </c>
      <c r="N388" t="s">
        <v>42</v>
      </c>
      <c r="O388">
        <v>4</v>
      </c>
      <c r="P388">
        <v>4</v>
      </c>
      <c r="Q388">
        <v>3</v>
      </c>
      <c r="R388" t="s">
        <v>62</v>
      </c>
      <c r="S388">
        <v>1</v>
      </c>
      <c r="T388" s="1">
        <v>5.666666666666667</v>
      </c>
      <c r="U388" t="s">
        <v>62</v>
      </c>
    </row>
    <row r="389" spans="1:21" x14ac:dyDescent="0.35">
      <c r="A389" t="s">
        <v>34</v>
      </c>
      <c r="B389">
        <v>19</v>
      </c>
      <c r="C389" t="s">
        <v>52</v>
      </c>
      <c r="D389" t="s">
        <v>36</v>
      </c>
      <c r="E389" t="s">
        <v>44</v>
      </c>
      <c r="F389" t="s">
        <v>48</v>
      </c>
      <c r="G389" t="s">
        <v>45</v>
      </c>
      <c r="H389">
        <v>3</v>
      </c>
      <c r="I389">
        <v>1</v>
      </c>
      <c r="J389" t="s">
        <v>43</v>
      </c>
      <c r="K389" t="s">
        <v>43</v>
      </c>
      <c r="L389" t="s">
        <v>43</v>
      </c>
      <c r="M389" t="s">
        <v>42</v>
      </c>
      <c r="N389" t="s">
        <v>43</v>
      </c>
      <c r="O389">
        <v>5</v>
      </c>
      <c r="P389">
        <v>4</v>
      </c>
      <c r="Q389">
        <v>2</v>
      </c>
      <c r="R389" t="s">
        <v>61</v>
      </c>
      <c r="S389">
        <v>2</v>
      </c>
      <c r="T389" s="1">
        <v>4</v>
      </c>
      <c r="U389" t="s">
        <v>62</v>
      </c>
    </row>
    <row r="390" spans="1:21" x14ac:dyDescent="0.35">
      <c r="A390" t="s">
        <v>34</v>
      </c>
      <c r="B390">
        <v>18</v>
      </c>
      <c r="C390" t="s">
        <v>35</v>
      </c>
      <c r="D390" t="s">
        <v>47</v>
      </c>
      <c r="E390" t="s">
        <v>44</v>
      </c>
      <c r="F390" t="s">
        <v>39</v>
      </c>
      <c r="G390" t="s">
        <v>48</v>
      </c>
      <c r="H390">
        <v>2</v>
      </c>
      <c r="I390">
        <v>0</v>
      </c>
      <c r="J390" t="s">
        <v>43</v>
      </c>
      <c r="K390" t="s">
        <v>42</v>
      </c>
      <c r="L390" t="s">
        <v>42</v>
      </c>
      <c r="M390" t="s">
        <v>43</v>
      </c>
      <c r="N390" t="s">
        <v>43</v>
      </c>
      <c r="O390">
        <v>4</v>
      </c>
      <c r="P390">
        <v>3</v>
      </c>
      <c r="Q390">
        <v>4</v>
      </c>
      <c r="R390" t="s">
        <v>61</v>
      </c>
      <c r="S390">
        <v>1</v>
      </c>
      <c r="T390" s="1">
        <v>8</v>
      </c>
      <c r="U390" t="s">
        <v>61</v>
      </c>
    </row>
    <row r="391" spans="1:21" x14ac:dyDescent="0.35">
      <c r="A391" t="s">
        <v>34</v>
      </c>
      <c r="B391">
        <v>18</v>
      </c>
      <c r="C391" t="s">
        <v>35</v>
      </c>
      <c r="D391" t="s">
        <v>36</v>
      </c>
      <c r="E391" t="s">
        <v>44</v>
      </c>
      <c r="F391" t="s">
        <v>45</v>
      </c>
      <c r="G391" t="s">
        <v>45</v>
      </c>
      <c r="H391">
        <v>2</v>
      </c>
      <c r="I391">
        <v>1</v>
      </c>
      <c r="J391" t="s">
        <v>43</v>
      </c>
      <c r="K391" t="s">
        <v>43</v>
      </c>
      <c r="L391" t="s">
        <v>43</v>
      </c>
      <c r="M391" t="s">
        <v>42</v>
      </c>
      <c r="N391" t="s">
        <v>43</v>
      </c>
      <c r="O391">
        <v>1</v>
      </c>
      <c r="P391">
        <v>1</v>
      </c>
      <c r="Q391">
        <v>1</v>
      </c>
      <c r="R391" t="s">
        <v>61</v>
      </c>
      <c r="S391">
        <v>2</v>
      </c>
      <c r="T391" s="1">
        <v>3.6666666666666665</v>
      </c>
      <c r="U391" t="s">
        <v>61</v>
      </c>
    </row>
    <row r="392" spans="1:21" x14ac:dyDescent="0.35">
      <c r="A392" t="s">
        <v>50</v>
      </c>
      <c r="B392">
        <v>20</v>
      </c>
      <c r="C392" t="s">
        <v>35</v>
      </c>
      <c r="D392" t="s">
        <v>47</v>
      </c>
      <c r="E392" t="s">
        <v>37</v>
      </c>
      <c r="F392" t="s">
        <v>48</v>
      </c>
      <c r="G392" t="s">
        <v>48</v>
      </c>
      <c r="H392">
        <v>2</v>
      </c>
      <c r="I392">
        <v>2</v>
      </c>
      <c r="J392" t="s">
        <v>43</v>
      </c>
      <c r="K392" t="s">
        <v>42</v>
      </c>
      <c r="L392" t="s">
        <v>42</v>
      </c>
      <c r="M392" t="s">
        <v>43</v>
      </c>
      <c r="N392" t="s">
        <v>43</v>
      </c>
      <c r="O392">
        <v>5</v>
      </c>
      <c r="P392">
        <v>5</v>
      </c>
      <c r="Q392">
        <v>4</v>
      </c>
      <c r="R392" t="s">
        <v>63</v>
      </c>
      <c r="S392">
        <v>0</v>
      </c>
      <c r="T392" s="1">
        <v>9</v>
      </c>
      <c r="U392" t="s">
        <v>63</v>
      </c>
    </row>
    <row r="393" spans="1:21" x14ac:dyDescent="0.35">
      <c r="A393" t="s">
        <v>50</v>
      </c>
      <c r="B393">
        <v>17</v>
      </c>
      <c r="C393" t="s">
        <v>35</v>
      </c>
      <c r="D393" t="s">
        <v>47</v>
      </c>
      <c r="E393" t="s">
        <v>44</v>
      </c>
      <c r="F393" t="s">
        <v>48</v>
      </c>
      <c r="G393" t="s">
        <v>48</v>
      </c>
      <c r="H393">
        <v>1</v>
      </c>
      <c r="I393">
        <v>0</v>
      </c>
      <c r="J393" t="s">
        <v>43</v>
      </c>
      <c r="K393" t="s">
        <v>43</v>
      </c>
      <c r="L393" t="s">
        <v>43</v>
      </c>
      <c r="M393" t="s">
        <v>43</v>
      </c>
      <c r="N393" t="s">
        <v>43</v>
      </c>
      <c r="O393">
        <v>2</v>
      </c>
      <c r="P393">
        <v>4</v>
      </c>
      <c r="Q393">
        <v>5</v>
      </c>
      <c r="R393" t="s">
        <v>61</v>
      </c>
      <c r="S393">
        <v>0</v>
      </c>
      <c r="T393" s="1">
        <v>15.333333333333334</v>
      </c>
      <c r="U393" t="s">
        <v>63</v>
      </c>
    </row>
    <row r="394" spans="1:21" x14ac:dyDescent="0.35">
      <c r="A394" t="s">
        <v>50</v>
      </c>
      <c r="B394">
        <v>21</v>
      </c>
      <c r="C394" t="s">
        <v>52</v>
      </c>
      <c r="D394" t="s">
        <v>36</v>
      </c>
      <c r="E394" t="s">
        <v>44</v>
      </c>
      <c r="F394" t="s">
        <v>45</v>
      </c>
      <c r="G394" t="s">
        <v>45</v>
      </c>
      <c r="H394">
        <v>1</v>
      </c>
      <c r="I394">
        <v>3</v>
      </c>
      <c r="J394" t="s">
        <v>43</v>
      </c>
      <c r="K394" t="s">
        <v>43</v>
      </c>
      <c r="L394" t="s">
        <v>43</v>
      </c>
      <c r="M394" t="s">
        <v>43</v>
      </c>
      <c r="N394" t="s">
        <v>43</v>
      </c>
      <c r="O394">
        <v>5</v>
      </c>
      <c r="P394">
        <v>5</v>
      </c>
      <c r="Q394">
        <v>3</v>
      </c>
      <c r="R394" t="s">
        <v>61</v>
      </c>
      <c r="S394">
        <v>2</v>
      </c>
      <c r="T394" s="1">
        <v>8.3333333333333339</v>
      </c>
      <c r="U394" t="s">
        <v>63</v>
      </c>
    </row>
    <row r="395" spans="1:21" x14ac:dyDescent="0.35">
      <c r="A395" t="s">
        <v>50</v>
      </c>
      <c r="B395">
        <v>18</v>
      </c>
      <c r="C395" t="s">
        <v>52</v>
      </c>
      <c r="D395" t="s">
        <v>47</v>
      </c>
      <c r="E395" t="s">
        <v>44</v>
      </c>
      <c r="F395" t="s">
        <v>48</v>
      </c>
      <c r="G395" t="s">
        <v>45</v>
      </c>
      <c r="H395">
        <v>1</v>
      </c>
      <c r="I395">
        <v>0</v>
      </c>
      <c r="J395" t="s">
        <v>43</v>
      </c>
      <c r="K395" t="s">
        <v>43</v>
      </c>
      <c r="L395" t="s">
        <v>43</v>
      </c>
      <c r="M395" t="s">
        <v>43</v>
      </c>
      <c r="N395" t="s">
        <v>43</v>
      </c>
      <c r="O395">
        <v>4</v>
      </c>
      <c r="P395">
        <v>4</v>
      </c>
      <c r="Q395">
        <v>1</v>
      </c>
      <c r="R395" t="s">
        <v>61</v>
      </c>
      <c r="S395">
        <v>1</v>
      </c>
      <c r="T395" s="1">
        <v>11</v>
      </c>
      <c r="U395" t="s">
        <v>63</v>
      </c>
    </row>
    <row r="396" spans="1:21" x14ac:dyDescent="0.35">
      <c r="A396" t="s">
        <v>50</v>
      </c>
      <c r="B396">
        <v>19</v>
      </c>
      <c r="C396" t="s">
        <v>35</v>
      </c>
      <c r="D396" t="s">
        <v>47</v>
      </c>
      <c r="E396" t="s">
        <v>44</v>
      </c>
      <c r="F396" t="s">
        <v>45</v>
      </c>
      <c r="G396" t="s">
        <v>38</v>
      </c>
      <c r="H396">
        <v>1</v>
      </c>
      <c r="I396">
        <v>0</v>
      </c>
      <c r="J396" t="s">
        <v>43</v>
      </c>
      <c r="K396" t="s">
        <v>43</v>
      </c>
      <c r="L396" t="s">
        <v>43</v>
      </c>
      <c r="M396" t="s">
        <v>43</v>
      </c>
      <c r="N396" t="s">
        <v>43</v>
      </c>
      <c r="O396">
        <v>3</v>
      </c>
      <c r="P396">
        <v>2</v>
      </c>
      <c r="Q396">
        <v>3</v>
      </c>
      <c r="R396" t="s">
        <v>62</v>
      </c>
      <c r="S396">
        <v>0</v>
      </c>
      <c r="T396" s="1">
        <v>8.6666666666666661</v>
      </c>
      <c r="U396" t="s">
        <v>63</v>
      </c>
    </row>
    <row r="397" spans="1:21" x14ac:dyDescent="0.35">
      <c r="A397" t="s">
        <v>34</v>
      </c>
      <c r="B397">
        <v>18</v>
      </c>
      <c r="C397" t="s">
        <v>35</v>
      </c>
      <c r="D397" t="s">
        <v>36</v>
      </c>
      <c r="E397" t="s">
        <v>37</v>
      </c>
      <c r="F397" t="s">
        <v>38</v>
      </c>
      <c r="G397" t="s">
        <v>39</v>
      </c>
      <c r="H397">
        <v>2</v>
      </c>
      <c r="I397">
        <v>0</v>
      </c>
      <c r="J397" t="s">
        <v>42</v>
      </c>
      <c r="K397" t="s">
        <v>43</v>
      </c>
      <c r="L397" t="s">
        <v>43</v>
      </c>
      <c r="M397" t="s">
        <v>43</v>
      </c>
      <c r="N397" t="s">
        <v>43</v>
      </c>
      <c r="O397">
        <v>4</v>
      </c>
      <c r="P397">
        <v>3</v>
      </c>
      <c r="Q397">
        <v>4</v>
      </c>
      <c r="R397" t="s">
        <v>61</v>
      </c>
      <c r="S397">
        <v>0</v>
      </c>
      <c r="T397" s="1">
        <v>7.333333333333333</v>
      </c>
      <c r="U397" t="s">
        <v>61</v>
      </c>
    </row>
    <row r="398" spans="1:21" x14ac:dyDescent="0.35">
      <c r="A398" t="s">
        <v>34</v>
      </c>
      <c r="B398">
        <v>17</v>
      </c>
      <c r="C398" t="s">
        <v>35</v>
      </c>
      <c r="D398" t="s">
        <v>36</v>
      </c>
      <c r="E398" t="s">
        <v>44</v>
      </c>
      <c r="F398" t="s">
        <v>38</v>
      </c>
      <c r="G398" t="s">
        <v>45</v>
      </c>
      <c r="H398">
        <v>2</v>
      </c>
      <c r="I398">
        <v>0</v>
      </c>
      <c r="J398" t="s">
        <v>43</v>
      </c>
      <c r="K398" t="s">
        <v>42</v>
      </c>
      <c r="L398" t="s">
        <v>43</v>
      </c>
      <c r="M398" t="s">
        <v>43</v>
      </c>
      <c r="N398" t="s">
        <v>43</v>
      </c>
      <c r="O398">
        <v>5</v>
      </c>
      <c r="P398">
        <v>3</v>
      </c>
      <c r="Q398">
        <v>3</v>
      </c>
      <c r="R398" t="s">
        <v>61</v>
      </c>
      <c r="S398">
        <v>0</v>
      </c>
      <c r="T398" s="1">
        <v>10.333333333333334</v>
      </c>
      <c r="U398" t="s">
        <v>61</v>
      </c>
    </row>
    <row r="399" spans="1:21" x14ac:dyDescent="0.35">
      <c r="A399" t="s">
        <v>34</v>
      </c>
      <c r="B399">
        <v>15</v>
      </c>
      <c r="C399" t="s">
        <v>35</v>
      </c>
      <c r="D399" t="s">
        <v>47</v>
      </c>
      <c r="E399" t="s">
        <v>44</v>
      </c>
      <c r="F399" t="s">
        <v>38</v>
      </c>
      <c r="G399" t="s">
        <v>45</v>
      </c>
      <c r="H399">
        <v>2</v>
      </c>
      <c r="I399">
        <v>0</v>
      </c>
      <c r="J399" t="s">
        <v>42</v>
      </c>
      <c r="K399" t="s">
        <v>43</v>
      </c>
      <c r="L399" t="s">
        <v>43</v>
      </c>
      <c r="M399" t="s">
        <v>43</v>
      </c>
      <c r="N399" t="s">
        <v>43</v>
      </c>
      <c r="O399">
        <v>4</v>
      </c>
      <c r="P399">
        <v>3</v>
      </c>
      <c r="Q399">
        <v>2</v>
      </c>
      <c r="R399" t="s">
        <v>62</v>
      </c>
      <c r="S399">
        <v>1</v>
      </c>
      <c r="T399" s="1">
        <v>12.333333333333334</v>
      </c>
      <c r="U399" t="s">
        <v>63</v>
      </c>
    </row>
    <row r="400" spans="1:21" x14ac:dyDescent="0.35">
      <c r="A400" t="s">
        <v>34</v>
      </c>
      <c r="B400">
        <v>15</v>
      </c>
      <c r="C400" t="s">
        <v>35</v>
      </c>
      <c r="D400" t="s">
        <v>36</v>
      </c>
      <c r="E400" t="s">
        <v>44</v>
      </c>
      <c r="F400" t="s">
        <v>28</v>
      </c>
      <c r="G400" t="s">
        <v>48</v>
      </c>
      <c r="H400">
        <v>3</v>
      </c>
      <c r="I400">
        <v>0</v>
      </c>
      <c r="J400" t="s">
        <v>43</v>
      </c>
      <c r="K400" t="s">
        <v>42</v>
      </c>
      <c r="L400" t="s">
        <v>43</v>
      </c>
      <c r="M400" t="s">
        <v>42</v>
      </c>
      <c r="N400" t="s">
        <v>42</v>
      </c>
      <c r="O400">
        <v>3</v>
      </c>
      <c r="P400">
        <v>2</v>
      </c>
      <c r="Q400">
        <v>2</v>
      </c>
      <c r="R400" t="s">
        <v>61</v>
      </c>
      <c r="S400">
        <v>0</v>
      </c>
      <c r="T400" s="1">
        <v>14</v>
      </c>
      <c r="U400" t="s">
        <v>61</v>
      </c>
    </row>
    <row r="401" spans="1:21" x14ac:dyDescent="0.35">
      <c r="A401" t="s">
        <v>34</v>
      </c>
      <c r="B401">
        <v>16</v>
      </c>
      <c r="C401" t="s">
        <v>35</v>
      </c>
      <c r="D401" t="s">
        <v>36</v>
      </c>
      <c r="E401" t="s">
        <v>44</v>
      </c>
      <c r="F401" t="s">
        <v>45</v>
      </c>
      <c r="G401" t="s">
        <v>45</v>
      </c>
      <c r="H401">
        <v>2</v>
      </c>
      <c r="I401">
        <v>0</v>
      </c>
      <c r="J401" t="s">
        <v>43</v>
      </c>
      <c r="K401" t="s">
        <v>42</v>
      </c>
      <c r="L401" t="s">
        <v>43</v>
      </c>
      <c r="M401" t="s">
        <v>43</v>
      </c>
      <c r="N401" t="s">
        <v>43</v>
      </c>
      <c r="O401">
        <v>4</v>
      </c>
      <c r="P401">
        <v>3</v>
      </c>
      <c r="Q401">
        <v>2</v>
      </c>
      <c r="R401" t="s">
        <v>61</v>
      </c>
      <c r="S401">
        <v>0</v>
      </c>
      <c r="T401" s="1">
        <v>12.333333333333334</v>
      </c>
      <c r="U401" t="s">
        <v>62</v>
      </c>
    </row>
    <row r="402" spans="1:21" x14ac:dyDescent="0.35">
      <c r="A402" t="s">
        <v>50</v>
      </c>
      <c r="B402">
        <v>16</v>
      </c>
      <c r="C402" t="s">
        <v>35</v>
      </c>
      <c r="D402" t="s">
        <v>47</v>
      </c>
      <c r="E402" t="s">
        <v>44</v>
      </c>
      <c r="F402" t="s">
        <v>48</v>
      </c>
      <c r="G402" t="s">
        <v>45</v>
      </c>
      <c r="H402">
        <v>2</v>
      </c>
      <c r="I402">
        <v>0</v>
      </c>
      <c r="J402" t="s">
        <v>43</v>
      </c>
      <c r="K402" t="s">
        <v>42</v>
      </c>
      <c r="L402" t="s">
        <v>43</v>
      </c>
      <c r="M402" t="s">
        <v>42</v>
      </c>
      <c r="N402" t="s">
        <v>43</v>
      </c>
      <c r="O402">
        <v>5</v>
      </c>
      <c r="P402">
        <v>4</v>
      </c>
      <c r="Q402">
        <v>2</v>
      </c>
      <c r="R402" t="s">
        <v>62</v>
      </c>
      <c r="S402">
        <v>0</v>
      </c>
      <c r="T402" s="1">
        <v>12.333333333333334</v>
      </c>
      <c r="U402" t="s">
        <v>62</v>
      </c>
    </row>
    <row r="403" spans="1:21" x14ac:dyDescent="0.35">
      <c r="A403" t="s">
        <v>50</v>
      </c>
      <c r="B403">
        <v>16</v>
      </c>
      <c r="C403" t="s">
        <v>35</v>
      </c>
      <c r="D403" t="s">
        <v>47</v>
      </c>
      <c r="E403" t="s">
        <v>44</v>
      </c>
      <c r="F403" t="s">
        <v>45</v>
      </c>
      <c r="G403" t="s">
        <v>45</v>
      </c>
      <c r="H403">
        <v>2</v>
      </c>
      <c r="I403">
        <v>0</v>
      </c>
      <c r="J403" t="s">
        <v>43</v>
      </c>
      <c r="K403" t="s">
        <v>43</v>
      </c>
      <c r="L403" t="s">
        <v>43</v>
      </c>
      <c r="M403" t="s">
        <v>43</v>
      </c>
      <c r="N403" t="s">
        <v>43</v>
      </c>
      <c r="O403">
        <v>4</v>
      </c>
      <c r="P403">
        <v>4</v>
      </c>
      <c r="Q403">
        <v>4</v>
      </c>
      <c r="R403" t="s">
        <v>61</v>
      </c>
      <c r="S403">
        <v>1</v>
      </c>
      <c r="T403" s="1">
        <v>12.666666666666666</v>
      </c>
      <c r="U403" t="s">
        <v>61</v>
      </c>
    </row>
    <row r="404" spans="1:21" x14ac:dyDescent="0.35">
      <c r="A404" t="s">
        <v>34</v>
      </c>
      <c r="B404">
        <v>17</v>
      </c>
      <c r="C404" t="s">
        <v>35</v>
      </c>
      <c r="D404" t="s">
        <v>36</v>
      </c>
      <c r="E404" t="s">
        <v>37</v>
      </c>
      <c r="F404" t="s">
        <v>45</v>
      </c>
      <c r="G404" t="s">
        <v>39</v>
      </c>
      <c r="H404">
        <v>2</v>
      </c>
      <c r="I404">
        <v>0</v>
      </c>
      <c r="J404" t="s">
        <v>42</v>
      </c>
      <c r="K404" t="s">
        <v>42</v>
      </c>
      <c r="L404" t="s">
        <v>43</v>
      </c>
      <c r="M404" t="s">
        <v>43</v>
      </c>
      <c r="N404" t="s">
        <v>43</v>
      </c>
      <c r="O404">
        <v>4</v>
      </c>
      <c r="P404">
        <v>1</v>
      </c>
      <c r="Q404">
        <v>4</v>
      </c>
      <c r="R404" t="s">
        <v>61</v>
      </c>
      <c r="S404">
        <v>0</v>
      </c>
      <c r="T404" s="1">
        <v>12</v>
      </c>
      <c r="U404" t="s">
        <v>61</v>
      </c>
    </row>
    <row r="405" spans="1:21" x14ac:dyDescent="0.35">
      <c r="A405" t="s">
        <v>50</v>
      </c>
      <c r="B405">
        <v>15</v>
      </c>
      <c r="C405" t="s">
        <v>35</v>
      </c>
      <c r="D405" t="s">
        <v>47</v>
      </c>
      <c r="E405" t="s">
        <v>37</v>
      </c>
      <c r="F405" t="s">
        <v>48</v>
      </c>
      <c r="G405" t="s">
        <v>45</v>
      </c>
      <c r="H405">
        <v>2</v>
      </c>
      <c r="I405">
        <v>0</v>
      </c>
      <c r="J405" t="s">
        <v>43</v>
      </c>
      <c r="K405" t="s">
        <v>42</v>
      </c>
      <c r="L405" t="s">
        <v>43</v>
      </c>
      <c r="M405" t="s">
        <v>43</v>
      </c>
      <c r="N405" t="s">
        <v>43</v>
      </c>
      <c r="O405">
        <v>4</v>
      </c>
      <c r="P405">
        <v>2</v>
      </c>
      <c r="Q405">
        <v>2</v>
      </c>
      <c r="R405" t="s">
        <v>61</v>
      </c>
      <c r="S405">
        <v>0</v>
      </c>
      <c r="T405" s="1">
        <v>16</v>
      </c>
      <c r="U405" t="s">
        <v>61</v>
      </c>
    </row>
    <row r="406" spans="1:21" x14ac:dyDescent="0.35">
      <c r="A406" t="s">
        <v>50</v>
      </c>
      <c r="B406">
        <v>15</v>
      </c>
      <c r="C406" t="s">
        <v>35</v>
      </c>
      <c r="D406" t="s">
        <v>36</v>
      </c>
      <c r="E406" t="s">
        <v>44</v>
      </c>
      <c r="F406" t="s">
        <v>45</v>
      </c>
      <c r="G406" t="s">
        <v>45</v>
      </c>
      <c r="H406">
        <v>2</v>
      </c>
      <c r="I406">
        <v>0</v>
      </c>
      <c r="J406" t="s">
        <v>43</v>
      </c>
      <c r="K406" t="s">
        <v>42</v>
      </c>
      <c r="L406" t="s">
        <v>43</v>
      </c>
      <c r="M406" t="s">
        <v>42</v>
      </c>
      <c r="N406" t="s">
        <v>43</v>
      </c>
      <c r="O406">
        <v>5</v>
      </c>
      <c r="P406">
        <v>5</v>
      </c>
      <c r="Q406">
        <v>1</v>
      </c>
      <c r="R406" t="s">
        <v>61</v>
      </c>
      <c r="S406">
        <v>0</v>
      </c>
      <c r="T406" s="1">
        <v>12.333333333333334</v>
      </c>
      <c r="U406" t="s">
        <v>61</v>
      </c>
    </row>
    <row r="407" spans="1:21" x14ac:dyDescent="0.35">
      <c r="A407" t="s">
        <v>34</v>
      </c>
      <c r="B407">
        <v>15</v>
      </c>
      <c r="C407" t="s">
        <v>35</v>
      </c>
      <c r="D407" t="s">
        <v>36</v>
      </c>
      <c r="E407" t="s">
        <v>44</v>
      </c>
      <c r="F407" t="s">
        <v>39</v>
      </c>
      <c r="G407" t="s">
        <v>28</v>
      </c>
      <c r="H407">
        <v>2</v>
      </c>
      <c r="I407">
        <v>0</v>
      </c>
      <c r="J407" t="s">
        <v>43</v>
      </c>
      <c r="K407" t="s">
        <v>42</v>
      </c>
      <c r="L407" t="s">
        <v>43</v>
      </c>
      <c r="M407" t="s">
        <v>43</v>
      </c>
      <c r="N407" t="s">
        <v>43</v>
      </c>
      <c r="O407">
        <v>3</v>
      </c>
      <c r="P407">
        <v>3</v>
      </c>
      <c r="Q407">
        <v>3</v>
      </c>
      <c r="R407" t="s">
        <v>61</v>
      </c>
      <c r="S407">
        <v>0</v>
      </c>
      <c r="T407" s="1">
        <v>14</v>
      </c>
      <c r="U407" t="s">
        <v>62</v>
      </c>
    </row>
    <row r="408" spans="1:21" x14ac:dyDescent="0.35">
      <c r="A408" t="s">
        <v>34</v>
      </c>
      <c r="B408">
        <v>15</v>
      </c>
      <c r="C408" t="s">
        <v>35</v>
      </c>
      <c r="D408" t="s">
        <v>36</v>
      </c>
      <c r="E408" t="s">
        <v>44</v>
      </c>
      <c r="F408" t="s">
        <v>48</v>
      </c>
      <c r="G408" t="s">
        <v>45</v>
      </c>
      <c r="H408">
        <v>3</v>
      </c>
      <c r="I408">
        <v>0</v>
      </c>
      <c r="J408" t="s">
        <v>43</v>
      </c>
      <c r="K408" t="s">
        <v>42</v>
      </c>
      <c r="L408" t="s">
        <v>43</v>
      </c>
      <c r="M408" t="s">
        <v>42</v>
      </c>
      <c r="N408" t="s">
        <v>43</v>
      </c>
      <c r="O408">
        <v>5</v>
      </c>
      <c r="P408">
        <v>2</v>
      </c>
      <c r="Q408">
        <v>2</v>
      </c>
      <c r="R408" t="s">
        <v>61</v>
      </c>
      <c r="S408">
        <v>0</v>
      </c>
      <c r="T408" s="1">
        <v>11.666666666666666</v>
      </c>
      <c r="U408" t="s">
        <v>61</v>
      </c>
    </row>
    <row r="409" spans="1:21" x14ac:dyDescent="0.35">
      <c r="A409" t="s">
        <v>50</v>
      </c>
      <c r="B409">
        <v>15</v>
      </c>
      <c r="C409" t="s">
        <v>35</v>
      </c>
      <c r="D409" t="s">
        <v>47</v>
      </c>
      <c r="E409" t="s">
        <v>44</v>
      </c>
      <c r="F409" t="s">
        <v>28</v>
      </c>
      <c r="G409" t="s">
        <v>48</v>
      </c>
      <c r="H409">
        <v>1</v>
      </c>
      <c r="I409">
        <v>0</v>
      </c>
      <c r="J409" t="s">
        <v>43</v>
      </c>
      <c r="K409" t="s">
        <v>42</v>
      </c>
      <c r="L409" t="s">
        <v>43</v>
      </c>
      <c r="M409" t="s">
        <v>42</v>
      </c>
      <c r="N409" t="s">
        <v>43</v>
      </c>
      <c r="O409">
        <v>4</v>
      </c>
      <c r="P409">
        <v>3</v>
      </c>
      <c r="Q409">
        <v>3</v>
      </c>
      <c r="R409" t="s">
        <v>61</v>
      </c>
      <c r="S409">
        <v>1</v>
      </c>
      <c r="T409" s="1">
        <v>12.333333333333334</v>
      </c>
      <c r="U409" t="s">
        <v>62</v>
      </c>
    </row>
    <row r="410" spans="1:21" x14ac:dyDescent="0.35">
      <c r="A410" t="s">
        <v>50</v>
      </c>
      <c r="B410">
        <v>15</v>
      </c>
      <c r="C410" t="s">
        <v>35</v>
      </c>
      <c r="D410" t="s">
        <v>36</v>
      </c>
      <c r="E410" t="s">
        <v>44</v>
      </c>
      <c r="F410" t="s">
        <v>39</v>
      </c>
      <c r="G410" t="s">
        <v>45</v>
      </c>
      <c r="H410">
        <v>2</v>
      </c>
      <c r="I410">
        <v>0</v>
      </c>
      <c r="J410" t="s">
        <v>43</v>
      </c>
      <c r="K410" t="s">
        <v>42</v>
      </c>
      <c r="L410" t="s">
        <v>43</v>
      </c>
      <c r="M410" t="s">
        <v>43</v>
      </c>
      <c r="N410" t="s">
        <v>43</v>
      </c>
      <c r="O410">
        <v>5</v>
      </c>
      <c r="P410">
        <v>4</v>
      </c>
      <c r="Q410">
        <v>3</v>
      </c>
      <c r="R410" t="s">
        <v>61</v>
      </c>
      <c r="S410">
        <v>0</v>
      </c>
      <c r="T410" s="1">
        <v>12.333333333333334</v>
      </c>
      <c r="U410" t="s">
        <v>62</v>
      </c>
    </row>
    <row r="411" spans="1:21" x14ac:dyDescent="0.35">
      <c r="A411" t="s">
        <v>50</v>
      </c>
      <c r="B411">
        <v>15</v>
      </c>
      <c r="C411" t="s">
        <v>35</v>
      </c>
      <c r="D411" t="s">
        <v>36</v>
      </c>
      <c r="E411" t="s">
        <v>37</v>
      </c>
      <c r="F411" t="s">
        <v>45</v>
      </c>
      <c r="G411" t="s">
        <v>45</v>
      </c>
      <c r="H411">
        <v>3</v>
      </c>
      <c r="I411">
        <v>0</v>
      </c>
      <c r="J411" t="s">
        <v>43</v>
      </c>
      <c r="K411" t="s">
        <v>42</v>
      </c>
      <c r="L411" t="s">
        <v>43</v>
      </c>
      <c r="M411" t="s">
        <v>43</v>
      </c>
      <c r="N411" t="s">
        <v>42</v>
      </c>
      <c r="O411">
        <v>4</v>
      </c>
      <c r="P411">
        <v>5</v>
      </c>
      <c r="Q411">
        <v>2</v>
      </c>
      <c r="R411" t="s">
        <v>61</v>
      </c>
      <c r="S411">
        <v>0</v>
      </c>
      <c r="T411" s="1">
        <v>14.333333333333334</v>
      </c>
      <c r="U411" t="s">
        <v>61</v>
      </c>
    </row>
    <row r="412" spans="1:21" x14ac:dyDescent="0.35">
      <c r="A412" t="s">
        <v>34</v>
      </c>
      <c r="B412">
        <v>16</v>
      </c>
      <c r="C412" t="s">
        <v>35</v>
      </c>
      <c r="D412" t="s">
        <v>36</v>
      </c>
      <c r="E412" t="s">
        <v>44</v>
      </c>
      <c r="F412" t="s">
        <v>28</v>
      </c>
      <c r="G412" t="s">
        <v>45</v>
      </c>
      <c r="H412">
        <v>1</v>
      </c>
      <c r="I412">
        <v>0</v>
      </c>
      <c r="J412" t="s">
        <v>43</v>
      </c>
      <c r="K412" t="s">
        <v>42</v>
      </c>
      <c r="L412" t="s">
        <v>43</v>
      </c>
      <c r="M412" t="s">
        <v>43</v>
      </c>
      <c r="N412" t="s">
        <v>43</v>
      </c>
      <c r="O412">
        <v>4</v>
      </c>
      <c r="P412">
        <v>4</v>
      </c>
      <c r="Q412">
        <v>4</v>
      </c>
      <c r="R412" t="s">
        <v>62</v>
      </c>
      <c r="S412">
        <v>0</v>
      </c>
      <c r="T412" s="1">
        <v>17</v>
      </c>
      <c r="U412" t="s">
        <v>62</v>
      </c>
    </row>
    <row r="413" spans="1:21" x14ac:dyDescent="0.35">
      <c r="A413" t="s">
        <v>34</v>
      </c>
      <c r="B413">
        <v>16</v>
      </c>
      <c r="C413" t="s">
        <v>35</v>
      </c>
      <c r="D413" t="s">
        <v>36</v>
      </c>
      <c r="E413" t="s">
        <v>44</v>
      </c>
      <c r="F413" t="s">
        <v>48</v>
      </c>
      <c r="G413" t="s">
        <v>48</v>
      </c>
      <c r="H413">
        <v>3</v>
      </c>
      <c r="I413">
        <v>0</v>
      </c>
      <c r="J413" t="s">
        <v>43</v>
      </c>
      <c r="K413" t="s">
        <v>42</v>
      </c>
      <c r="L413" t="s">
        <v>43</v>
      </c>
      <c r="M413" t="s">
        <v>42</v>
      </c>
      <c r="N413" t="s">
        <v>43</v>
      </c>
      <c r="O413">
        <v>3</v>
      </c>
      <c r="P413">
        <v>2</v>
      </c>
      <c r="Q413">
        <v>3</v>
      </c>
      <c r="R413" t="s">
        <v>63</v>
      </c>
      <c r="S413">
        <v>0</v>
      </c>
      <c r="T413" s="1">
        <v>13.333333333333334</v>
      </c>
      <c r="U413" t="s">
        <v>62</v>
      </c>
    </row>
    <row r="414" spans="1:21" x14ac:dyDescent="0.35">
      <c r="A414" t="s">
        <v>34</v>
      </c>
      <c r="B414">
        <v>16</v>
      </c>
      <c r="C414" t="s">
        <v>35</v>
      </c>
      <c r="D414" t="s">
        <v>36</v>
      </c>
      <c r="E414" t="s">
        <v>44</v>
      </c>
      <c r="F414" t="s">
        <v>45</v>
      </c>
      <c r="G414" t="s">
        <v>45</v>
      </c>
      <c r="H414">
        <v>2</v>
      </c>
      <c r="I414">
        <v>0</v>
      </c>
      <c r="J414" t="s">
        <v>42</v>
      </c>
      <c r="K414" t="s">
        <v>42</v>
      </c>
      <c r="L414" t="s">
        <v>43</v>
      </c>
      <c r="M414" t="s">
        <v>42</v>
      </c>
      <c r="N414" t="s">
        <v>43</v>
      </c>
      <c r="O414">
        <v>5</v>
      </c>
      <c r="P414">
        <v>3</v>
      </c>
      <c r="Q414">
        <v>2</v>
      </c>
      <c r="R414" t="s">
        <v>61</v>
      </c>
      <c r="S414">
        <v>0</v>
      </c>
      <c r="T414" s="1">
        <v>13.666666666666666</v>
      </c>
      <c r="U414" t="s">
        <v>61</v>
      </c>
    </row>
    <row r="415" spans="1:21" x14ac:dyDescent="0.35">
      <c r="A415" t="s">
        <v>50</v>
      </c>
      <c r="B415">
        <v>17</v>
      </c>
      <c r="C415" t="s">
        <v>35</v>
      </c>
      <c r="D415" t="s">
        <v>36</v>
      </c>
      <c r="E415" t="s">
        <v>44</v>
      </c>
      <c r="F415" t="s">
        <v>48</v>
      </c>
      <c r="G415" t="s">
        <v>48</v>
      </c>
      <c r="H415">
        <v>1</v>
      </c>
      <c r="I415">
        <v>3</v>
      </c>
      <c r="J415" t="s">
        <v>43</v>
      </c>
      <c r="K415" t="s">
        <v>42</v>
      </c>
      <c r="L415" t="s">
        <v>42</v>
      </c>
      <c r="M415" t="s">
        <v>42</v>
      </c>
      <c r="N415" t="s">
        <v>43</v>
      </c>
      <c r="O415">
        <v>5</v>
      </c>
      <c r="P415">
        <v>5</v>
      </c>
      <c r="Q415">
        <v>5</v>
      </c>
      <c r="R415" t="s">
        <v>61</v>
      </c>
      <c r="S415">
        <v>1</v>
      </c>
      <c r="T415" s="1">
        <v>7.666666666666667</v>
      </c>
      <c r="U415" t="s">
        <v>63</v>
      </c>
    </row>
    <row r="416" spans="1:21" x14ac:dyDescent="0.35">
      <c r="A416" t="s">
        <v>50</v>
      </c>
      <c r="B416">
        <v>16</v>
      </c>
      <c r="C416" t="s">
        <v>35</v>
      </c>
      <c r="D416" t="s">
        <v>47</v>
      </c>
      <c r="E416" t="s">
        <v>44</v>
      </c>
      <c r="F416" t="s">
        <v>28</v>
      </c>
      <c r="G416" t="s">
        <v>45</v>
      </c>
      <c r="H416">
        <v>1</v>
      </c>
      <c r="I416">
        <v>0</v>
      </c>
      <c r="J416" t="s">
        <v>43</v>
      </c>
      <c r="K416" t="s">
        <v>43</v>
      </c>
      <c r="L416" t="s">
        <v>43</v>
      </c>
      <c r="M416" t="s">
        <v>42</v>
      </c>
      <c r="N416" t="s">
        <v>43</v>
      </c>
      <c r="O416">
        <v>3</v>
      </c>
      <c r="P416">
        <v>1</v>
      </c>
      <c r="Q416">
        <v>3</v>
      </c>
      <c r="R416" t="s">
        <v>62</v>
      </c>
      <c r="S416">
        <v>0</v>
      </c>
      <c r="T416" s="1">
        <v>12</v>
      </c>
      <c r="U416" t="s">
        <v>62</v>
      </c>
    </row>
    <row r="417" spans="1:21" x14ac:dyDescent="0.35">
      <c r="A417" t="s">
        <v>50</v>
      </c>
      <c r="B417">
        <v>15</v>
      </c>
      <c r="C417" t="s">
        <v>35</v>
      </c>
      <c r="D417" t="s">
        <v>36</v>
      </c>
      <c r="E417" t="s">
        <v>44</v>
      </c>
      <c r="F417" t="s">
        <v>39</v>
      </c>
      <c r="G417" t="s">
        <v>45</v>
      </c>
      <c r="H417">
        <v>2</v>
      </c>
      <c r="I417">
        <v>0</v>
      </c>
      <c r="J417" t="s">
        <v>43</v>
      </c>
      <c r="K417" t="s">
        <v>43</v>
      </c>
      <c r="L417" t="s">
        <v>43</v>
      </c>
      <c r="M417" t="s">
        <v>43</v>
      </c>
      <c r="N417" t="s">
        <v>43</v>
      </c>
      <c r="O417">
        <v>4</v>
      </c>
      <c r="P417">
        <v>4</v>
      </c>
      <c r="Q417">
        <v>1</v>
      </c>
      <c r="R417" t="s">
        <v>61</v>
      </c>
      <c r="S417">
        <v>0</v>
      </c>
      <c r="T417" s="1">
        <v>13</v>
      </c>
      <c r="U417" t="s">
        <v>61</v>
      </c>
    </row>
    <row r="418" spans="1:21" x14ac:dyDescent="0.35">
      <c r="A418" t="s">
        <v>50</v>
      </c>
      <c r="B418">
        <v>15</v>
      </c>
      <c r="C418" t="s">
        <v>35</v>
      </c>
      <c r="D418" t="s">
        <v>36</v>
      </c>
      <c r="E418" t="s">
        <v>44</v>
      </c>
      <c r="F418" t="s">
        <v>28</v>
      </c>
      <c r="G418" t="s">
        <v>28</v>
      </c>
      <c r="H418">
        <v>1</v>
      </c>
      <c r="I418">
        <v>0</v>
      </c>
      <c r="J418" t="s">
        <v>43</v>
      </c>
      <c r="K418" t="s">
        <v>42</v>
      </c>
      <c r="L418" t="s">
        <v>42</v>
      </c>
      <c r="M418" t="s">
        <v>43</v>
      </c>
      <c r="N418" t="s">
        <v>43</v>
      </c>
      <c r="O418">
        <v>5</v>
      </c>
      <c r="P418">
        <v>4</v>
      </c>
      <c r="Q418">
        <v>2</v>
      </c>
      <c r="R418" t="s">
        <v>61</v>
      </c>
      <c r="S418">
        <v>0</v>
      </c>
      <c r="T418" s="1">
        <v>11.666666666666666</v>
      </c>
      <c r="U418" t="s">
        <v>61</v>
      </c>
    </row>
    <row r="419" spans="1:21" x14ac:dyDescent="0.35">
      <c r="A419" t="s">
        <v>50</v>
      </c>
      <c r="B419">
        <v>16</v>
      </c>
      <c r="C419" t="s">
        <v>35</v>
      </c>
      <c r="D419" t="s">
        <v>47</v>
      </c>
      <c r="E419" t="s">
        <v>44</v>
      </c>
      <c r="F419" t="s">
        <v>39</v>
      </c>
      <c r="G419" t="s">
        <v>45</v>
      </c>
      <c r="H419">
        <v>2</v>
      </c>
      <c r="I419">
        <v>0</v>
      </c>
      <c r="J419" t="s">
        <v>43</v>
      </c>
      <c r="K419" t="s">
        <v>43</v>
      </c>
      <c r="L419" t="s">
        <v>43</v>
      </c>
      <c r="M419" t="s">
        <v>42</v>
      </c>
      <c r="N419" t="s">
        <v>43</v>
      </c>
      <c r="O419">
        <v>4</v>
      </c>
      <c r="P419">
        <v>5</v>
      </c>
      <c r="Q419">
        <v>1</v>
      </c>
      <c r="R419" t="s">
        <v>61</v>
      </c>
      <c r="S419">
        <v>0</v>
      </c>
      <c r="T419" s="1">
        <v>13</v>
      </c>
      <c r="U419" t="s">
        <v>62</v>
      </c>
    </row>
    <row r="420" spans="1:21" x14ac:dyDescent="0.35">
      <c r="A420" t="s">
        <v>50</v>
      </c>
      <c r="B420">
        <v>16</v>
      </c>
      <c r="C420" t="s">
        <v>35</v>
      </c>
      <c r="D420" t="s">
        <v>47</v>
      </c>
      <c r="E420" t="s">
        <v>44</v>
      </c>
      <c r="F420" t="s">
        <v>45</v>
      </c>
      <c r="G420" t="s">
        <v>45</v>
      </c>
      <c r="H420">
        <v>2</v>
      </c>
      <c r="I420">
        <v>0</v>
      </c>
      <c r="J420" t="s">
        <v>43</v>
      </c>
      <c r="K420" t="s">
        <v>42</v>
      </c>
      <c r="L420" t="s">
        <v>43</v>
      </c>
      <c r="M420" t="s">
        <v>42</v>
      </c>
      <c r="N420" t="s">
        <v>43</v>
      </c>
      <c r="O420">
        <v>5</v>
      </c>
      <c r="P420">
        <v>4</v>
      </c>
      <c r="Q420">
        <v>4</v>
      </c>
      <c r="R420" t="s">
        <v>61</v>
      </c>
      <c r="S420">
        <v>0</v>
      </c>
      <c r="T420" s="1">
        <v>10</v>
      </c>
      <c r="U420" t="s">
        <v>63</v>
      </c>
    </row>
    <row r="421" spans="1:21" x14ac:dyDescent="0.35">
      <c r="A421" t="s">
        <v>34</v>
      </c>
      <c r="B421">
        <v>15</v>
      </c>
      <c r="C421" t="s">
        <v>52</v>
      </c>
      <c r="D421" t="s">
        <v>36</v>
      </c>
      <c r="E421" t="s">
        <v>44</v>
      </c>
      <c r="F421" t="s">
        <v>48</v>
      </c>
      <c r="G421" t="s">
        <v>28</v>
      </c>
      <c r="H421">
        <v>3</v>
      </c>
      <c r="I421">
        <v>0</v>
      </c>
      <c r="J421" t="s">
        <v>42</v>
      </c>
      <c r="K421" t="s">
        <v>42</v>
      </c>
      <c r="L421" t="s">
        <v>43</v>
      </c>
      <c r="M421" t="s">
        <v>42</v>
      </c>
      <c r="N421" t="s">
        <v>43</v>
      </c>
      <c r="O421">
        <v>4</v>
      </c>
      <c r="P421">
        <v>3</v>
      </c>
      <c r="Q421">
        <v>2</v>
      </c>
      <c r="R421" t="s">
        <v>61</v>
      </c>
      <c r="S421">
        <v>1</v>
      </c>
      <c r="T421" s="1">
        <v>10.333333333333334</v>
      </c>
      <c r="U421" t="s">
        <v>61</v>
      </c>
    </row>
    <row r="422" spans="1:21" x14ac:dyDescent="0.35">
      <c r="A422" t="s">
        <v>34</v>
      </c>
      <c r="B422">
        <v>16</v>
      </c>
      <c r="C422" t="s">
        <v>35</v>
      </c>
      <c r="D422" t="s">
        <v>36</v>
      </c>
      <c r="E422" t="s">
        <v>44</v>
      </c>
      <c r="F422" t="s">
        <v>48</v>
      </c>
      <c r="G422" t="s">
        <v>48</v>
      </c>
      <c r="H422">
        <v>1</v>
      </c>
      <c r="I422">
        <v>0</v>
      </c>
      <c r="J422" t="s">
        <v>43</v>
      </c>
      <c r="K422" t="s">
        <v>42</v>
      </c>
      <c r="L422" t="s">
        <v>43</v>
      </c>
      <c r="M422" t="s">
        <v>43</v>
      </c>
      <c r="N422" t="s">
        <v>43</v>
      </c>
      <c r="O422">
        <v>1</v>
      </c>
      <c r="P422">
        <v>2</v>
      </c>
      <c r="Q422">
        <v>2</v>
      </c>
      <c r="R422" t="s">
        <v>62</v>
      </c>
      <c r="S422">
        <v>0</v>
      </c>
      <c r="T422" s="1">
        <v>11</v>
      </c>
      <c r="U422" t="s">
        <v>62</v>
      </c>
    </row>
    <row r="423" spans="1:21" x14ac:dyDescent="0.35">
      <c r="A423" t="s">
        <v>50</v>
      </c>
      <c r="B423">
        <v>15</v>
      </c>
      <c r="C423" t="s">
        <v>35</v>
      </c>
      <c r="D423" t="s">
        <v>36</v>
      </c>
      <c r="E423" t="s">
        <v>44</v>
      </c>
      <c r="F423" t="s">
        <v>45</v>
      </c>
      <c r="G423" t="s">
        <v>45</v>
      </c>
      <c r="H423">
        <v>1</v>
      </c>
      <c r="I423">
        <v>0</v>
      </c>
      <c r="J423" t="s">
        <v>43</v>
      </c>
      <c r="K423" t="s">
        <v>42</v>
      </c>
      <c r="L423" t="s">
        <v>43</v>
      </c>
      <c r="M423" t="s">
        <v>43</v>
      </c>
      <c r="N423" t="s">
        <v>43</v>
      </c>
      <c r="O423">
        <v>4</v>
      </c>
      <c r="P423">
        <v>2</v>
      </c>
      <c r="Q423">
        <v>2</v>
      </c>
      <c r="R423" t="s">
        <v>62</v>
      </c>
      <c r="S423">
        <v>0</v>
      </c>
      <c r="T423" s="1">
        <v>11.666666666666666</v>
      </c>
      <c r="U423" t="s">
        <v>62</v>
      </c>
    </row>
    <row r="424" spans="1:21" x14ac:dyDescent="0.35">
      <c r="A424" t="s">
        <v>50</v>
      </c>
      <c r="B424">
        <v>15</v>
      </c>
      <c r="C424" t="s">
        <v>35</v>
      </c>
      <c r="D424" t="s">
        <v>36</v>
      </c>
      <c r="E424" t="s">
        <v>44</v>
      </c>
      <c r="F424" t="s">
        <v>28</v>
      </c>
      <c r="G424" t="s">
        <v>48</v>
      </c>
      <c r="H424">
        <v>1</v>
      </c>
      <c r="I424">
        <v>0</v>
      </c>
      <c r="J424" t="s">
        <v>43</v>
      </c>
      <c r="K424" t="s">
        <v>43</v>
      </c>
      <c r="L424" t="s">
        <v>43</v>
      </c>
      <c r="M424" t="s">
        <v>43</v>
      </c>
      <c r="N424" t="s">
        <v>43</v>
      </c>
      <c r="O424">
        <v>2</v>
      </c>
      <c r="P424">
        <v>2</v>
      </c>
      <c r="Q424">
        <v>4</v>
      </c>
      <c r="R424" t="s">
        <v>61</v>
      </c>
      <c r="S424">
        <v>0</v>
      </c>
      <c r="T424" s="1">
        <v>11</v>
      </c>
      <c r="U424" t="s">
        <v>63</v>
      </c>
    </row>
    <row r="425" spans="1:21" x14ac:dyDescent="0.35">
      <c r="A425" t="s">
        <v>50</v>
      </c>
      <c r="B425">
        <v>16</v>
      </c>
      <c r="C425" t="s">
        <v>35</v>
      </c>
      <c r="D425" t="s">
        <v>47</v>
      </c>
      <c r="E425" t="s">
        <v>37</v>
      </c>
      <c r="F425" t="s">
        <v>48</v>
      </c>
      <c r="G425" t="s">
        <v>45</v>
      </c>
      <c r="H425">
        <v>2</v>
      </c>
      <c r="I425">
        <v>0</v>
      </c>
      <c r="J425" t="s">
        <v>42</v>
      </c>
      <c r="K425" t="s">
        <v>42</v>
      </c>
      <c r="L425" t="s">
        <v>42</v>
      </c>
      <c r="M425" t="s">
        <v>42</v>
      </c>
      <c r="N425" t="s">
        <v>43</v>
      </c>
      <c r="O425">
        <v>5</v>
      </c>
      <c r="P425">
        <v>3</v>
      </c>
      <c r="Q425">
        <v>3</v>
      </c>
      <c r="R425" t="s">
        <v>61</v>
      </c>
      <c r="S425">
        <v>0</v>
      </c>
      <c r="T425" s="1">
        <v>12.333333333333334</v>
      </c>
      <c r="U425" t="s">
        <v>61</v>
      </c>
    </row>
    <row r="426" spans="1:21" x14ac:dyDescent="0.35">
      <c r="A426" t="s">
        <v>50</v>
      </c>
      <c r="B426">
        <v>16</v>
      </c>
      <c r="C426" t="s">
        <v>35</v>
      </c>
      <c r="D426" t="s">
        <v>36</v>
      </c>
      <c r="E426" t="s">
        <v>44</v>
      </c>
      <c r="F426" t="s">
        <v>39</v>
      </c>
      <c r="G426" t="s">
        <v>39</v>
      </c>
      <c r="H426">
        <v>2</v>
      </c>
      <c r="I426">
        <v>0</v>
      </c>
      <c r="J426" t="s">
        <v>43</v>
      </c>
      <c r="K426" t="s">
        <v>42</v>
      </c>
      <c r="L426" t="s">
        <v>42</v>
      </c>
      <c r="M426" t="s">
        <v>42</v>
      </c>
      <c r="N426" t="s">
        <v>42</v>
      </c>
      <c r="O426">
        <v>4</v>
      </c>
      <c r="P426">
        <v>4</v>
      </c>
      <c r="Q426">
        <v>5</v>
      </c>
      <c r="R426" t="s">
        <v>61</v>
      </c>
      <c r="S426">
        <v>1</v>
      </c>
      <c r="T426" s="1">
        <v>11.666666666666666</v>
      </c>
      <c r="U426" t="s">
        <v>63</v>
      </c>
    </row>
    <row r="427" spans="1:21" x14ac:dyDescent="0.35">
      <c r="A427" t="s">
        <v>50</v>
      </c>
      <c r="B427">
        <v>15</v>
      </c>
      <c r="C427" t="s">
        <v>35</v>
      </c>
      <c r="D427" t="s">
        <v>36</v>
      </c>
      <c r="E427" t="s">
        <v>44</v>
      </c>
      <c r="F427" t="s">
        <v>28</v>
      </c>
      <c r="G427" t="s">
        <v>48</v>
      </c>
      <c r="H427">
        <v>2</v>
      </c>
      <c r="I427">
        <v>0</v>
      </c>
      <c r="J427" t="s">
        <v>43</v>
      </c>
      <c r="K427" t="s">
        <v>42</v>
      </c>
      <c r="L427" t="s">
        <v>42</v>
      </c>
      <c r="M427" t="s">
        <v>43</v>
      </c>
      <c r="N427" t="s">
        <v>43</v>
      </c>
      <c r="O427">
        <v>5</v>
      </c>
      <c r="P427">
        <v>4</v>
      </c>
      <c r="Q427">
        <v>2</v>
      </c>
      <c r="R427" t="s">
        <v>61</v>
      </c>
      <c r="S427">
        <v>0</v>
      </c>
      <c r="T427" s="1">
        <v>10.666666666666666</v>
      </c>
      <c r="U427" t="s">
        <v>63</v>
      </c>
    </row>
    <row r="428" spans="1:21" x14ac:dyDescent="0.35">
      <c r="A428" t="s">
        <v>50</v>
      </c>
      <c r="B428">
        <v>15</v>
      </c>
      <c r="C428" t="s">
        <v>35</v>
      </c>
      <c r="D428" t="s">
        <v>36</v>
      </c>
      <c r="E428" t="s">
        <v>44</v>
      </c>
      <c r="F428" t="s">
        <v>48</v>
      </c>
      <c r="G428" t="s">
        <v>48</v>
      </c>
      <c r="H428">
        <v>2</v>
      </c>
      <c r="I428">
        <v>0</v>
      </c>
      <c r="J428" t="s">
        <v>43</v>
      </c>
      <c r="K428" t="s">
        <v>42</v>
      </c>
      <c r="L428" t="s">
        <v>43</v>
      </c>
      <c r="M428" t="s">
        <v>42</v>
      </c>
      <c r="N428" t="s">
        <v>43</v>
      </c>
      <c r="O428">
        <v>4</v>
      </c>
      <c r="P428">
        <v>3</v>
      </c>
      <c r="Q428">
        <v>1</v>
      </c>
      <c r="R428" t="s">
        <v>61</v>
      </c>
      <c r="S428">
        <v>0</v>
      </c>
      <c r="T428" s="1">
        <v>15</v>
      </c>
      <c r="U428" t="s">
        <v>61</v>
      </c>
    </row>
    <row r="429" spans="1:21" x14ac:dyDescent="0.35">
      <c r="A429" t="s">
        <v>50</v>
      </c>
      <c r="B429">
        <v>15</v>
      </c>
      <c r="C429" t="s">
        <v>52</v>
      </c>
      <c r="D429" t="s">
        <v>36</v>
      </c>
      <c r="E429" t="s">
        <v>44</v>
      </c>
      <c r="F429" t="s">
        <v>39</v>
      </c>
      <c r="G429" t="s">
        <v>38</v>
      </c>
      <c r="H429">
        <v>2</v>
      </c>
      <c r="I429">
        <v>0</v>
      </c>
      <c r="J429" t="s">
        <v>43</v>
      </c>
      <c r="K429" t="s">
        <v>42</v>
      </c>
      <c r="L429" t="s">
        <v>43</v>
      </c>
      <c r="M429" t="s">
        <v>42</v>
      </c>
      <c r="N429" t="s">
        <v>42</v>
      </c>
      <c r="O429">
        <v>4</v>
      </c>
      <c r="P429">
        <v>5</v>
      </c>
      <c r="Q429">
        <v>2</v>
      </c>
      <c r="R429" t="s">
        <v>61</v>
      </c>
      <c r="S429">
        <v>0</v>
      </c>
      <c r="T429" s="1">
        <v>14</v>
      </c>
      <c r="U429" t="s">
        <v>61</v>
      </c>
    </row>
    <row r="430" spans="1:21" x14ac:dyDescent="0.35">
      <c r="A430" t="s">
        <v>50</v>
      </c>
      <c r="B430">
        <v>15</v>
      </c>
      <c r="C430" t="s">
        <v>35</v>
      </c>
      <c r="D430" t="s">
        <v>47</v>
      </c>
      <c r="E430" t="s">
        <v>44</v>
      </c>
      <c r="F430" t="s">
        <v>45</v>
      </c>
      <c r="G430" t="s">
        <v>45</v>
      </c>
      <c r="H430">
        <v>2</v>
      </c>
      <c r="I430">
        <v>0</v>
      </c>
      <c r="J430" t="s">
        <v>43</v>
      </c>
      <c r="K430" t="s">
        <v>43</v>
      </c>
      <c r="L430" t="s">
        <v>43</v>
      </c>
      <c r="M430" t="s">
        <v>42</v>
      </c>
      <c r="N430" t="s">
        <v>43</v>
      </c>
      <c r="O430">
        <v>5</v>
      </c>
      <c r="P430">
        <v>3</v>
      </c>
      <c r="Q430">
        <v>2</v>
      </c>
      <c r="R430" t="s">
        <v>61</v>
      </c>
      <c r="S430">
        <v>1</v>
      </c>
      <c r="T430" s="1">
        <v>12.333333333333334</v>
      </c>
      <c r="U430" t="s">
        <v>61</v>
      </c>
    </row>
    <row r="431" spans="1:21" x14ac:dyDescent="0.35">
      <c r="A431" t="s">
        <v>50</v>
      </c>
      <c r="B431">
        <v>16</v>
      </c>
      <c r="C431" t="s">
        <v>35</v>
      </c>
      <c r="D431" t="s">
        <v>36</v>
      </c>
      <c r="E431" t="s">
        <v>44</v>
      </c>
      <c r="F431" t="s">
        <v>45</v>
      </c>
      <c r="G431" t="s">
        <v>45</v>
      </c>
      <c r="H431">
        <v>1</v>
      </c>
      <c r="I431">
        <v>0</v>
      </c>
      <c r="J431" t="s">
        <v>43</v>
      </c>
      <c r="K431" t="s">
        <v>42</v>
      </c>
      <c r="L431" t="s">
        <v>43</v>
      </c>
      <c r="M431" t="s">
        <v>43</v>
      </c>
      <c r="N431" t="s">
        <v>43</v>
      </c>
      <c r="O431">
        <v>5</v>
      </c>
      <c r="P431">
        <v>4</v>
      </c>
      <c r="Q431">
        <v>3</v>
      </c>
      <c r="R431" t="s">
        <v>61</v>
      </c>
      <c r="S431">
        <v>0</v>
      </c>
      <c r="T431" s="1">
        <v>12</v>
      </c>
      <c r="U431" t="s">
        <v>61</v>
      </c>
    </row>
    <row r="432" spans="1:21" x14ac:dyDescent="0.35">
      <c r="A432" t="s">
        <v>34</v>
      </c>
      <c r="B432">
        <v>15</v>
      </c>
      <c r="C432" t="s">
        <v>35</v>
      </c>
      <c r="D432" t="s">
        <v>36</v>
      </c>
      <c r="E432" t="s">
        <v>44</v>
      </c>
      <c r="F432" t="s">
        <v>45</v>
      </c>
      <c r="G432" t="s">
        <v>45</v>
      </c>
      <c r="H432">
        <v>1</v>
      </c>
      <c r="I432">
        <v>0</v>
      </c>
      <c r="J432" t="s">
        <v>43</v>
      </c>
      <c r="K432" t="s">
        <v>42</v>
      </c>
      <c r="L432" t="s">
        <v>43</v>
      </c>
      <c r="M432" t="s">
        <v>42</v>
      </c>
      <c r="N432" t="s">
        <v>43</v>
      </c>
      <c r="O432">
        <v>3</v>
      </c>
      <c r="P432">
        <v>5</v>
      </c>
      <c r="Q432">
        <v>1</v>
      </c>
      <c r="R432" t="s">
        <v>61</v>
      </c>
      <c r="S432">
        <v>0</v>
      </c>
      <c r="T432" s="1">
        <v>11</v>
      </c>
      <c r="U432" t="s">
        <v>61</v>
      </c>
    </row>
    <row r="433" spans="1:21" x14ac:dyDescent="0.35">
      <c r="A433" t="s">
        <v>50</v>
      </c>
      <c r="B433">
        <v>15</v>
      </c>
      <c r="C433" t="s">
        <v>35</v>
      </c>
      <c r="D433" t="s">
        <v>47</v>
      </c>
      <c r="E433" t="s">
        <v>44</v>
      </c>
      <c r="F433" t="s">
        <v>39</v>
      </c>
      <c r="G433" t="s">
        <v>48</v>
      </c>
      <c r="H433">
        <v>3</v>
      </c>
      <c r="I433">
        <v>0</v>
      </c>
      <c r="J433" t="s">
        <v>43</v>
      </c>
      <c r="K433" t="s">
        <v>42</v>
      </c>
      <c r="L433" t="s">
        <v>43</v>
      </c>
      <c r="M433" t="s">
        <v>42</v>
      </c>
      <c r="N433" t="s">
        <v>43</v>
      </c>
      <c r="O433">
        <v>5</v>
      </c>
      <c r="P433">
        <v>4</v>
      </c>
      <c r="Q433">
        <v>3</v>
      </c>
      <c r="R433" t="s">
        <v>61</v>
      </c>
      <c r="S433">
        <v>0</v>
      </c>
      <c r="T433" s="1">
        <v>14</v>
      </c>
      <c r="U433" t="s">
        <v>61</v>
      </c>
    </row>
    <row r="434" spans="1:21" x14ac:dyDescent="0.35">
      <c r="A434" t="s">
        <v>50</v>
      </c>
      <c r="B434">
        <v>16</v>
      </c>
      <c r="C434" t="s">
        <v>52</v>
      </c>
      <c r="D434" t="s">
        <v>36</v>
      </c>
      <c r="E434" t="s">
        <v>37</v>
      </c>
      <c r="F434" t="s">
        <v>45</v>
      </c>
      <c r="G434" t="s">
        <v>39</v>
      </c>
      <c r="H434">
        <v>3</v>
      </c>
      <c r="I434">
        <v>0</v>
      </c>
      <c r="J434" t="s">
        <v>43</v>
      </c>
      <c r="K434" t="s">
        <v>42</v>
      </c>
      <c r="L434" t="s">
        <v>43</v>
      </c>
      <c r="M434" t="s">
        <v>42</v>
      </c>
      <c r="N434" t="s">
        <v>42</v>
      </c>
      <c r="O434">
        <v>2</v>
      </c>
      <c r="P434">
        <v>4</v>
      </c>
      <c r="Q434">
        <v>3</v>
      </c>
      <c r="R434" t="s">
        <v>61</v>
      </c>
      <c r="S434">
        <v>0</v>
      </c>
      <c r="T434" s="1">
        <v>13</v>
      </c>
      <c r="U434" t="s">
        <v>61</v>
      </c>
    </row>
    <row r="435" spans="1:21" x14ac:dyDescent="0.35">
      <c r="A435" t="s">
        <v>34</v>
      </c>
      <c r="B435">
        <v>15</v>
      </c>
      <c r="C435" t="s">
        <v>52</v>
      </c>
      <c r="D435" t="s">
        <v>36</v>
      </c>
      <c r="E435" t="s">
        <v>44</v>
      </c>
      <c r="F435" t="s">
        <v>48</v>
      </c>
      <c r="G435" t="s">
        <v>28</v>
      </c>
      <c r="H435">
        <v>3</v>
      </c>
      <c r="I435">
        <v>0</v>
      </c>
      <c r="J435" t="s">
        <v>42</v>
      </c>
      <c r="K435" t="s">
        <v>42</v>
      </c>
      <c r="L435" t="s">
        <v>43</v>
      </c>
      <c r="M435" t="s">
        <v>42</v>
      </c>
      <c r="N435" t="s">
        <v>43</v>
      </c>
      <c r="O435">
        <v>4</v>
      </c>
      <c r="P435">
        <v>3</v>
      </c>
      <c r="Q435">
        <v>2</v>
      </c>
      <c r="R435" t="s">
        <v>61</v>
      </c>
      <c r="S435">
        <v>0</v>
      </c>
      <c r="T435" s="1">
        <v>11.666666666666666</v>
      </c>
      <c r="U435" t="s">
        <v>61</v>
      </c>
    </row>
    <row r="436" spans="1:21" x14ac:dyDescent="0.35">
      <c r="A436" t="s">
        <v>34</v>
      </c>
      <c r="B436">
        <v>15</v>
      </c>
      <c r="C436" t="s">
        <v>52</v>
      </c>
      <c r="D436" t="s">
        <v>36</v>
      </c>
      <c r="E436" t="s">
        <v>44</v>
      </c>
      <c r="F436" t="s">
        <v>38</v>
      </c>
      <c r="G436" t="s">
        <v>45</v>
      </c>
      <c r="H436">
        <v>1</v>
      </c>
      <c r="I436">
        <v>0</v>
      </c>
      <c r="J436" t="s">
        <v>42</v>
      </c>
      <c r="K436" t="s">
        <v>42</v>
      </c>
      <c r="L436" t="s">
        <v>43</v>
      </c>
      <c r="M436" t="s">
        <v>42</v>
      </c>
      <c r="N436" t="s">
        <v>43</v>
      </c>
      <c r="O436">
        <v>4</v>
      </c>
      <c r="P436">
        <v>3</v>
      </c>
      <c r="Q436">
        <v>1</v>
      </c>
      <c r="R436" t="s">
        <v>62</v>
      </c>
      <c r="S436">
        <v>2</v>
      </c>
      <c r="T436" s="1">
        <v>13</v>
      </c>
      <c r="U436" t="s">
        <v>61</v>
      </c>
    </row>
    <row r="437" spans="1:21" x14ac:dyDescent="0.35">
      <c r="A437" t="s">
        <v>34</v>
      </c>
      <c r="B437">
        <v>16</v>
      </c>
      <c r="C437" t="s">
        <v>35</v>
      </c>
      <c r="D437" t="s">
        <v>47</v>
      </c>
      <c r="E437" t="s">
        <v>44</v>
      </c>
      <c r="F437" t="s">
        <v>45</v>
      </c>
      <c r="G437" t="s">
        <v>45</v>
      </c>
      <c r="H437">
        <v>2</v>
      </c>
      <c r="I437">
        <v>0</v>
      </c>
      <c r="J437" t="s">
        <v>43</v>
      </c>
      <c r="K437" t="s">
        <v>42</v>
      </c>
      <c r="L437" t="s">
        <v>43</v>
      </c>
      <c r="M437" t="s">
        <v>42</v>
      </c>
      <c r="N437" t="s">
        <v>42</v>
      </c>
      <c r="O437">
        <v>3</v>
      </c>
      <c r="P437">
        <v>3</v>
      </c>
      <c r="Q437">
        <v>3</v>
      </c>
      <c r="R437" t="s">
        <v>63</v>
      </c>
      <c r="S437">
        <v>1</v>
      </c>
      <c r="T437" s="1">
        <v>10.666666666666666</v>
      </c>
      <c r="U437" t="s">
        <v>62</v>
      </c>
    </row>
    <row r="438" spans="1:21" x14ac:dyDescent="0.35">
      <c r="A438" t="s">
        <v>50</v>
      </c>
      <c r="B438">
        <v>15</v>
      </c>
      <c r="C438" t="s">
        <v>35</v>
      </c>
      <c r="D438" t="s">
        <v>47</v>
      </c>
      <c r="E438" t="s">
        <v>44</v>
      </c>
      <c r="F438" t="s">
        <v>39</v>
      </c>
      <c r="G438" t="s">
        <v>45</v>
      </c>
      <c r="H438">
        <v>1</v>
      </c>
      <c r="I438">
        <v>0</v>
      </c>
      <c r="J438" t="s">
        <v>43</v>
      </c>
      <c r="K438" t="s">
        <v>42</v>
      </c>
      <c r="L438" t="s">
        <v>43</v>
      </c>
      <c r="M438" t="s">
        <v>43</v>
      </c>
      <c r="N438" t="s">
        <v>42</v>
      </c>
      <c r="O438">
        <v>5</v>
      </c>
      <c r="P438">
        <v>4</v>
      </c>
      <c r="Q438">
        <v>3</v>
      </c>
      <c r="R438" t="s">
        <v>62</v>
      </c>
      <c r="S438">
        <v>0</v>
      </c>
      <c r="T438" s="1">
        <v>10.666666666666666</v>
      </c>
      <c r="U438" t="s">
        <v>63</v>
      </c>
    </row>
    <row r="439" spans="1:21" x14ac:dyDescent="0.35">
      <c r="A439" t="s">
        <v>50</v>
      </c>
      <c r="B439">
        <v>15</v>
      </c>
      <c r="C439" t="s">
        <v>35</v>
      </c>
      <c r="D439" t="s">
        <v>36</v>
      </c>
      <c r="E439" t="s">
        <v>44</v>
      </c>
      <c r="F439" t="s">
        <v>48</v>
      </c>
      <c r="G439" t="s">
        <v>39</v>
      </c>
      <c r="H439">
        <v>2</v>
      </c>
      <c r="I439">
        <v>0</v>
      </c>
      <c r="J439" t="s">
        <v>43</v>
      </c>
      <c r="K439" t="s">
        <v>42</v>
      </c>
      <c r="L439" t="s">
        <v>43</v>
      </c>
      <c r="M439" t="s">
        <v>42</v>
      </c>
      <c r="N439" t="s">
        <v>43</v>
      </c>
      <c r="O439">
        <v>4</v>
      </c>
      <c r="P439">
        <v>3</v>
      </c>
      <c r="Q439">
        <v>3</v>
      </c>
      <c r="R439" t="s">
        <v>61</v>
      </c>
      <c r="S439">
        <v>0</v>
      </c>
      <c r="T439" s="1">
        <v>14.666666666666666</v>
      </c>
      <c r="U439" t="s">
        <v>61</v>
      </c>
    </row>
    <row r="440" spans="1:21" x14ac:dyDescent="0.35">
      <c r="A440" t="s">
        <v>50</v>
      </c>
      <c r="B440">
        <v>15</v>
      </c>
      <c r="C440" t="s">
        <v>35</v>
      </c>
      <c r="D440" t="s">
        <v>36</v>
      </c>
      <c r="E440" t="s">
        <v>44</v>
      </c>
      <c r="F440" t="s">
        <v>48</v>
      </c>
      <c r="G440" t="s">
        <v>48</v>
      </c>
      <c r="H440">
        <v>1</v>
      </c>
      <c r="I440">
        <v>0</v>
      </c>
      <c r="J440" t="s">
        <v>42</v>
      </c>
      <c r="K440" t="s">
        <v>42</v>
      </c>
      <c r="L440" t="s">
        <v>43</v>
      </c>
      <c r="M440" t="s">
        <v>43</v>
      </c>
      <c r="N440" t="s">
        <v>43</v>
      </c>
      <c r="O440">
        <v>5</v>
      </c>
      <c r="P440">
        <v>4</v>
      </c>
      <c r="Q440">
        <v>1</v>
      </c>
      <c r="R440" t="s">
        <v>61</v>
      </c>
      <c r="S440">
        <v>0</v>
      </c>
      <c r="T440" s="1">
        <v>9.6666666666666661</v>
      </c>
      <c r="U440" t="s">
        <v>61</v>
      </c>
    </row>
    <row r="441" spans="1:21" x14ac:dyDescent="0.35">
      <c r="A441" t="s">
        <v>34</v>
      </c>
      <c r="B441">
        <v>16</v>
      </c>
      <c r="C441" t="s">
        <v>35</v>
      </c>
      <c r="D441" t="s">
        <v>47</v>
      </c>
      <c r="E441" t="s">
        <v>44</v>
      </c>
      <c r="F441" t="s">
        <v>45</v>
      </c>
      <c r="G441" t="s">
        <v>38</v>
      </c>
      <c r="H441">
        <v>2</v>
      </c>
      <c r="I441">
        <v>1</v>
      </c>
      <c r="J441" t="s">
        <v>42</v>
      </c>
      <c r="K441" t="s">
        <v>43</v>
      </c>
      <c r="L441" t="s">
        <v>43</v>
      </c>
      <c r="M441" t="s">
        <v>42</v>
      </c>
      <c r="N441" t="s">
        <v>43</v>
      </c>
      <c r="O441">
        <v>4</v>
      </c>
      <c r="P441">
        <v>3</v>
      </c>
      <c r="Q441">
        <v>3</v>
      </c>
      <c r="R441" t="s">
        <v>63</v>
      </c>
      <c r="S441">
        <v>0</v>
      </c>
      <c r="T441" s="1">
        <v>10.666666666666666</v>
      </c>
      <c r="U441" t="s">
        <v>62</v>
      </c>
    </row>
    <row r="442" spans="1:21" x14ac:dyDescent="0.35">
      <c r="A442" t="s">
        <v>34</v>
      </c>
      <c r="B442">
        <v>15</v>
      </c>
      <c r="C442" t="s">
        <v>35</v>
      </c>
      <c r="D442" t="s">
        <v>47</v>
      </c>
      <c r="E442" t="s">
        <v>37</v>
      </c>
      <c r="F442" t="s">
        <v>45</v>
      </c>
      <c r="G442" t="s">
        <v>45</v>
      </c>
      <c r="H442">
        <v>2</v>
      </c>
      <c r="I442">
        <v>0</v>
      </c>
      <c r="J442" t="s">
        <v>42</v>
      </c>
      <c r="K442" t="s">
        <v>42</v>
      </c>
      <c r="L442" t="s">
        <v>42</v>
      </c>
      <c r="M442" t="s">
        <v>42</v>
      </c>
      <c r="N442" t="s">
        <v>42</v>
      </c>
      <c r="O442">
        <v>5</v>
      </c>
      <c r="P442">
        <v>2</v>
      </c>
      <c r="Q442">
        <v>2</v>
      </c>
      <c r="R442" t="s">
        <v>61</v>
      </c>
      <c r="S442">
        <v>0</v>
      </c>
      <c r="T442" s="1">
        <v>10.666666666666666</v>
      </c>
      <c r="U442" t="s">
        <v>61</v>
      </c>
    </row>
    <row r="443" spans="1:21" x14ac:dyDescent="0.35">
      <c r="A443" t="s">
        <v>34</v>
      </c>
      <c r="B443">
        <v>16</v>
      </c>
      <c r="C443" t="s">
        <v>35</v>
      </c>
      <c r="D443" t="s">
        <v>47</v>
      </c>
      <c r="E443" t="s">
        <v>37</v>
      </c>
      <c r="F443" t="s">
        <v>45</v>
      </c>
      <c r="G443" t="s">
        <v>48</v>
      </c>
      <c r="H443">
        <v>2</v>
      </c>
      <c r="I443">
        <v>0</v>
      </c>
      <c r="J443" t="s">
        <v>43</v>
      </c>
      <c r="K443" t="s">
        <v>42</v>
      </c>
      <c r="L443" t="s">
        <v>43</v>
      </c>
      <c r="M443" t="s">
        <v>43</v>
      </c>
      <c r="N443" t="s">
        <v>43</v>
      </c>
      <c r="O443">
        <v>2</v>
      </c>
      <c r="P443">
        <v>3</v>
      </c>
      <c r="Q443">
        <v>5</v>
      </c>
      <c r="R443" t="s">
        <v>62</v>
      </c>
      <c r="S443">
        <v>1</v>
      </c>
      <c r="T443" s="1">
        <v>12.666666666666666</v>
      </c>
      <c r="U443" t="s">
        <v>63</v>
      </c>
    </row>
    <row r="444" spans="1:21" x14ac:dyDescent="0.35">
      <c r="A444" t="s">
        <v>50</v>
      </c>
      <c r="B444">
        <v>16</v>
      </c>
      <c r="C444" t="s">
        <v>35</v>
      </c>
      <c r="D444" t="s">
        <v>36</v>
      </c>
      <c r="E444" t="s">
        <v>44</v>
      </c>
      <c r="F444" t="s">
        <v>28</v>
      </c>
      <c r="G444" t="s">
        <v>48</v>
      </c>
      <c r="H444">
        <v>4</v>
      </c>
      <c r="I444">
        <v>0</v>
      </c>
      <c r="J444" t="s">
        <v>43</v>
      </c>
      <c r="K444" t="s">
        <v>43</v>
      </c>
      <c r="L444" t="s">
        <v>43</v>
      </c>
      <c r="M444" t="s">
        <v>42</v>
      </c>
      <c r="N444" t="s">
        <v>43</v>
      </c>
      <c r="O444">
        <v>4</v>
      </c>
      <c r="P444">
        <v>2</v>
      </c>
      <c r="Q444">
        <v>2</v>
      </c>
      <c r="R444" t="s">
        <v>61</v>
      </c>
      <c r="S444">
        <v>0</v>
      </c>
      <c r="T444" s="1">
        <v>17</v>
      </c>
      <c r="U444" t="s">
        <v>61</v>
      </c>
    </row>
    <row r="445" spans="1:21" x14ac:dyDescent="0.35">
      <c r="A445" t="s">
        <v>50</v>
      </c>
      <c r="B445">
        <v>15</v>
      </c>
      <c r="C445" t="s">
        <v>35</v>
      </c>
      <c r="D445" t="s">
        <v>36</v>
      </c>
      <c r="E445" t="s">
        <v>44</v>
      </c>
      <c r="F445" t="s">
        <v>39</v>
      </c>
      <c r="G445" t="s">
        <v>45</v>
      </c>
      <c r="H445">
        <v>2</v>
      </c>
      <c r="I445">
        <v>0</v>
      </c>
      <c r="J445" t="s">
        <v>43</v>
      </c>
      <c r="K445" t="s">
        <v>42</v>
      </c>
      <c r="L445" t="s">
        <v>43</v>
      </c>
      <c r="M445" t="s">
        <v>43</v>
      </c>
      <c r="N445" t="s">
        <v>43</v>
      </c>
      <c r="O445">
        <v>4</v>
      </c>
      <c r="P445">
        <v>3</v>
      </c>
      <c r="Q445">
        <v>3</v>
      </c>
      <c r="R445" t="s">
        <v>61</v>
      </c>
      <c r="S445">
        <v>0</v>
      </c>
      <c r="T445" s="1">
        <v>12</v>
      </c>
      <c r="U445" t="s">
        <v>62</v>
      </c>
    </row>
    <row r="446" spans="1:21" x14ac:dyDescent="0.35">
      <c r="A446" t="s">
        <v>34</v>
      </c>
      <c r="B446">
        <v>15</v>
      </c>
      <c r="C446" t="s">
        <v>35</v>
      </c>
      <c r="D446" t="s">
        <v>36</v>
      </c>
      <c r="E446" t="s">
        <v>44</v>
      </c>
      <c r="F446" t="s">
        <v>48</v>
      </c>
      <c r="G446" t="s">
        <v>39</v>
      </c>
      <c r="H446">
        <v>2</v>
      </c>
      <c r="I446">
        <v>0</v>
      </c>
      <c r="J446" t="s">
        <v>42</v>
      </c>
      <c r="K446" t="s">
        <v>42</v>
      </c>
      <c r="L446" t="s">
        <v>43</v>
      </c>
      <c r="M446" t="s">
        <v>42</v>
      </c>
      <c r="N446" t="s">
        <v>43</v>
      </c>
      <c r="O446">
        <v>4</v>
      </c>
      <c r="P446">
        <v>4</v>
      </c>
      <c r="Q446">
        <v>4</v>
      </c>
      <c r="R446" t="s">
        <v>61</v>
      </c>
      <c r="S446">
        <v>1</v>
      </c>
      <c r="T446" s="1">
        <v>12.333333333333334</v>
      </c>
      <c r="U446" t="s">
        <v>61</v>
      </c>
    </row>
    <row r="447" spans="1:21" x14ac:dyDescent="0.35">
      <c r="A447" t="s">
        <v>34</v>
      </c>
      <c r="B447">
        <v>16</v>
      </c>
      <c r="C447" t="s">
        <v>35</v>
      </c>
      <c r="D447" t="s">
        <v>47</v>
      </c>
      <c r="E447" t="s">
        <v>44</v>
      </c>
      <c r="F447" t="s">
        <v>48</v>
      </c>
      <c r="G447" t="s">
        <v>48</v>
      </c>
      <c r="H447">
        <v>2</v>
      </c>
      <c r="I447">
        <v>0</v>
      </c>
      <c r="J447" t="s">
        <v>43</v>
      </c>
      <c r="K447" t="s">
        <v>42</v>
      </c>
      <c r="L447" t="s">
        <v>43</v>
      </c>
      <c r="M447" t="s">
        <v>43</v>
      </c>
      <c r="N447" t="s">
        <v>43</v>
      </c>
      <c r="O447">
        <v>4</v>
      </c>
      <c r="P447">
        <v>3</v>
      </c>
      <c r="Q447">
        <v>3</v>
      </c>
      <c r="R447" t="s">
        <v>61</v>
      </c>
      <c r="S447">
        <v>1</v>
      </c>
      <c r="T447" s="1">
        <v>13.333333333333334</v>
      </c>
      <c r="U447" t="s">
        <v>63</v>
      </c>
    </row>
    <row r="448" spans="1:21" x14ac:dyDescent="0.35">
      <c r="A448" t="s">
        <v>34</v>
      </c>
      <c r="B448">
        <v>15</v>
      </c>
      <c r="C448" t="s">
        <v>35</v>
      </c>
      <c r="D448" t="s">
        <v>47</v>
      </c>
      <c r="E448" t="s">
        <v>44</v>
      </c>
      <c r="F448" t="s">
        <v>28</v>
      </c>
      <c r="G448" t="s">
        <v>45</v>
      </c>
      <c r="H448">
        <v>2</v>
      </c>
      <c r="I448">
        <v>0</v>
      </c>
      <c r="J448" t="s">
        <v>43</v>
      </c>
      <c r="K448" t="s">
        <v>42</v>
      </c>
      <c r="L448" t="s">
        <v>43</v>
      </c>
      <c r="M448" t="s">
        <v>43</v>
      </c>
      <c r="N448" t="s">
        <v>43</v>
      </c>
      <c r="O448">
        <v>4</v>
      </c>
      <c r="P448">
        <v>3</v>
      </c>
      <c r="Q448">
        <v>3</v>
      </c>
      <c r="R448" t="s">
        <v>61</v>
      </c>
      <c r="S448">
        <v>1</v>
      </c>
      <c r="T448" s="1">
        <v>15.333333333333334</v>
      </c>
      <c r="U448" t="s">
        <v>61</v>
      </c>
    </row>
    <row r="449" spans="1:21" x14ac:dyDescent="0.35">
      <c r="A449" t="s">
        <v>50</v>
      </c>
      <c r="B449">
        <v>15</v>
      </c>
      <c r="C449" t="s">
        <v>35</v>
      </c>
      <c r="D449" t="s">
        <v>47</v>
      </c>
      <c r="E449" t="s">
        <v>37</v>
      </c>
      <c r="F449" t="s">
        <v>28</v>
      </c>
      <c r="G449" t="s">
        <v>28</v>
      </c>
      <c r="H449">
        <v>1</v>
      </c>
      <c r="I449">
        <v>0</v>
      </c>
      <c r="J449" t="s">
        <v>43</v>
      </c>
      <c r="K449" t="s">
        <v>43</v>
      </c>
      <c r="L449" t="s">
        <v>43</v>
      </c>
      <c r="M449" t="s">
        <v>43</v>
      </c>
      <c r="N449" t="s">
        <v>43</v>
      </c>
      <c r="O449">
        <v>5</v>
      </c>
      <c r="P449">
        <v>5</v>
      </c>
      <c r="Q449">
        <v>5</v>
      </c>
      <c r="R449" t="s">
        <v>61</v>
      </c>
      <c r="S449">
        <v>1</v>
      </c>
      <c r="T449" s="1">
        <v>9.3333333333333339</v>
      </c>
      <c r="U449" t="s">
        <v>63</v>
      </c>
    </row>
    <row r="450" spans="1:21" x14ac:dyDescent="0.35">
      <c r="A450" t="s">
        <v>34</v>
      </c>
      <c r="B450">
        <v>15</v>
      </c>
      <c r="C450" t="s">
        <v>35</v>
      </c>
      <c r="D450" t="s">
        <v>36</v>
      </c>
      <c r="E450" t="s">
        <v>44</v>
      </c>
      <c r="F450" t="s">
        <v>48</v>
      </c>
      <c r="G450" t="s">
        <v>48</v>
      </c>
      <c r="H450">
        <v>1</v>
      </c>
      <c r="I450">
        <v>0</v>
      </c>
      <c r="J450" t="s">
        <v>42</v>
      </c>
      <c r="K450" t="s">
        <v>42</v>
      </c>
      <c r="L450" t="s">
        <v>43</v>
      </c>
      <c r="M450" t="s">
        <v>43</v>
      </c>
      <c r="N450" t="s">
        <v>43</v>
      </c>
      <c r="O450">
        <v>3</v>
      </c>
      <c r="P450">
        <v>3</v>
      </c>
      <c r="Q450">
        <v>4</v>
      </c>
      <c r="R450" t="s">
        <v>61</v>
      </c>
      <c r="S450">
        <v>1</v>
      </c>
      <c r="T450" s="1">
        <v>12.333333333333334</v>
      </c>
      <c r="U450" t="s">
        <v>63</v>
      </c>
    </row>
    <row r="451" spans="1:21" x14ac:dyDescent="0.35">
      <c r="A451" t="s">
        <v>34</v>
      </c>
      <c r="B451">
        <v>15</v>
      </c>
      <c r="C451" t="s">
        <v>35</v>
      </c>
      <c r="D451" t="s">
        <v>47</v>
      </c>
      <c r="E451" t="s">
        <v>37</v>
      </c>
      <c r="F451" t="s">
        <v>45</v>
      </c>
      <c r="G451" t="s">
        <v>45</v>
      </c>
      <c r="H451">
        <v>1</v>
      </c>
      <c r="I451">
        <v>0</v>
      </c>
      <c r="J451" t="s">
        <v>43</v>
      </c>
      <c r="K451" t="s">
        <v>43</v>
      </c>
      <c r="L451" t="s">
        <v>43</v>
      </c>
      <c r="M451" t="s">
        <v>43</v>
      </c>
      <c r="N451" t="s">
        <v>43</v>
      </c>
      <c r="O451">
        <v>5</v>
      </c>
      <c r="P451">
        <v>3</v>
      </c>
      <c r="Q451">
        <v>4</v>
      </c>
      <c r="R451" t="s">
        <v>61</v>
      </c>
      <c r="S451">
        <v>1</v>
      </c>
      <c r="T451" s="1">
        <v>12.666666666666666</v>
      </c>
      <c r="U451" t="s">
        <v>63</v>
      </c>
    </row>
    <row r="452" spans="1:21" x14ac:dyDescent="0.35">
      <c r="A452" t="s">
        <v>34</v>
      </c>
      <c r="B452">
        <v>16</v>
      </c>
      <c r="C452" t="s">
        <v>35</v>
      </c>
      <c r="D452" t="s">
        <v>36</v>
      </c>
      <c r="E452" t="s">
        <v>37</v>
      </c>
      <c r="F452" t="s">
        <v>45</v>
      </c>
      <c r="G452" t="s">
        <v>45</v>
      </c>
      <c r="H452">
        <v>2</v>
      </c>
      <c r="I452">
        <v>0</v>
      </c>
      <c r="J452" t="s">
        <v>43</v>
      </c>
      <c r="K452" t="s">
        <v>43</v>
      </c>
      <c r="L452" t="s">
        <v>43</v>
      </c>
      <c r="M452" t="s">
        <v>42</v>
      </c>
      <c r="N452" t="s">
        <v>42</v>
      </c>
      <c r="O452">
        <v>5</v>
      </c>
      <c r="P452">
        <v>3</v>
      </c>
      <c r="Q452">
        <v>4</v>
      </c>
      <c r="R452" t="s">
        <v>61</v>
      </c>
      <c r="S452">
        <v>1</v>
      </c>
      <c r="T452" s="1">
        <v>12.333333333333334</v>
      </c>
      <c r="U452" t="s">
        <v>61</v>
      </c>
    </row>
    <row r="453" spans="1:21" x14ac:dyDescent="0.35">
      <c r="A453" t="s">
        <v>34</v>
      </c>
      <c r="B453">
        <v>15</v>
      </c>
      <c r="C453" t="s">
        <v>35</v>
      </c>
      <c r="D453" t="s">
        <v>36</v>
      </c>
      <c r="E453" t="s">
        <v>37</v>
      </c>
      <c r="F453" t="s">
        <v>48</v>
      </c>
      <c r="G453" t="s">
        <v>48</v>
      </c>
      <c r="H453">
        <v>2</v>
      </c>
      <c r="I453">
        <v>0</v>
      </c>
      <c r="J453" t="s">
        <v>43</v>
      </c>
      <c r="K453" t="s">
        <v>42</v>
      </c>
      <c r="L453" t="s">
        <v>43</v>
      </c>
      <c r="M453" t="s">
        <v>42</v>
      </c>
      <c r="N453" t="s">
        <v>43</v>
      </c>
      <c r="O453">
        <v>4</v>
      </c>
      <c r="P453">
        <v>3</v>
      </c>
      <c r="Q453">
        <v>2</v>
      </c>
      <c r="R453" t="s">
        <v>61</v>
      </c>
      <c r="S453">
        <v>1</v>
      </c>
      <c r="T453" s="1">
        <v>14.666666666666666</v>
      </c>
      <c r="U453" t="s">
        <v>61</v>
      </c>
    </row>
    <row r="454" spans="1:21" x14ac:dyDescent="0.35">
      <c r="A454" t="s">
        <v>50</v>
      </c>
      <c r="B454">
        <v>15</v>
      </c>
      <c r="C454" t="s">
        <v>35</v>
      </c>
      <c r="D454" t="s">
        <v>36</v>
      </c>
      <c r="E454" t="s">
        <v>44</v>
      </c>
      <c r="F454" t="s">
        <v>39</v>
      </c>
      <c r="G454" t="s">
        <v>28</v>
      </c>
      <c r="H454">
        <v>2</v>
      </c>
      <c r="I454">
        <v>0</v>
      </c>
      <c r="J454" t="s">
        <v>43</v>
      </c>
      <c r="K454" t="s">
        <v>42</v>
      </c>
      <c r="L454" t="s">
        <v>43</v>
      </c>
      <c r="M454" t="s">
        <v>42</v>
      </c>
      <c r="N454" t="s">
        <v>43</v>
      </c>
      <c r="O454">
        <v>3</v>
      </c>
      <c r="P454">
        <v>2</v>
      </c>
      <c r="Q454">
        <v>2</v>
      </c>
      <c r="R454" t="s">
        <v>62</v>
      </c>
      <c r="S454">
        <v>0</v>
      </c>
      <c r="T454" s="1">
        <v>15.333333333333334</v>
      </c>
      <c r="U454" t="s">
        <v>61</v>
      </c>
    </row>
    <row r="455" spans="1:21" x14ac:dyDescent="0.35">
      <c r="A455" t="s">
        <v>50</v>
      </c>
      <c r="B455">
        <v>15</v>
      </c>
      <c r="C455" t="s">
        <v>35</v>
      </c>
      <c r="D455" t="s">
        <v>47</v>
      </c>
      <c r="E455" t="s">
        <v>44</v>
      </c>
      <c r="F455" t="s">
        <v>45</v>
      </c>
      <c r="G455" t="s">
        <v>38</v>
      </c>
      <c r="H455">
        <v>2</v>
      </c>
      <c r="I455">
        <v>0</v>
      </c>
      <c r="J455" t="s">
        <v>42</v>
      </c>
      <c r="K455" t="s">
        <v>42</v>
      </c>
      <c r="L455" t="s">
        <v>43</v>
      </c>
      <c r="M455" t="s">
        <v>42</v>
      </c>
      <c r="N455" t="s">
        <v>43</v>
      </c>
      <c r="O455">
        <v>4</v>
      </c>
      <c r="P455">
        <v>3</v>
      </c>
      <c r="Q455">
        <v>2</v>
      </c>
      <c r="R455" t="s">
        <v>61</v>
      </c>
      <c r="S455">
        <v>1</v>
      </c>
      <c r="T455" s="1">
        <v>13.666666666666666</v>
      </c>
      <c r="U455" t="s">
        <v>61</v>
      </c>
    </row>
    <row r="456" spans="1:21" x14ac:dyDescent="0.35">
      <c r="A456" t="s">
        <v>34</v>
      </c>
      <c r="B456">
        <v>16</v>
      </c>
      <c r="C456" t="s">
        <v>35</v>
      </c>
      <c r="D456" t="s">
        <v>36</v>
      </c>
      <c r="E456" t="s">
        <v>44</v>
      </c>
      <c r="F456" t="s">
        <v>48</v>
      </c>
      <c r="G456" t="s">
        <v>45</v>
      </c>
      <c r="H456">
        <v>2</v>
      </c>
      <c r="I456">
        <v>0</v>
      </c>
      <c r="J456" t="s">
        <v>43</v>
      </c>
      <c r="K456" t="s">
        <v>42</v>
      </c>
      <c r="L456" t="s">
        <v>42</v>
      </c>
      <c r="M456" t="s">
        <v>43</v>
      </c>
      <c r="N456" t="s">
        <v>43</v>
      </c>
      <c r="O456">
        <v>4</v>
      </c>
      <c r="P456">
        <v>2</v>
      </c>
      <c r="Q456">
        <v>3</v>
      </c>
      <c r="R456" t="s">
        <v>61</v>
      </c>
      <c r="S456">
        <v>1</v>
      </c>
      <c r="T456" s="1">
        <v>15.666666666666666</v>
      </c>
      <c r="U456" t="s">
        <v>61</v>
      </c>
    </row>
    <row r="457" spans="1:21" x14ac:dyDescent="0.35">
      <c r="A457" t="s">
        <v>34</v>
      </c>
      <c r="B457">
        <v>16</v>
      </c>
      <c r="C457" t="s">
        <v>52</v>
      </c>
      <c r="D457" t="s">
        <v>36</v>
      </c>
      <c r="E457" t="s">
        <v>44</v>
      </c>
      <c r="F457" t="s">
        <v>28</v>
      </c>
      <c r="G457" t="s">
        <v>39</v>
      </c>
      <c r="H457">
        <v>2</v>
      </c>
      <c r="I457">
        <v>0</v>
      </c>
      <c r="J457" t="s">
        <v>43</v>
      </c>
      <c r="K457" t="s">
        <v>42</v>
      </c>
      <c r="L457" t="s">
        <v>43</v>
      </c>
      <c r="M457" t="s">
        <v>42</v>
      </c>
      <c r="N457" t="s">
        <v>43</v>
      </c>
      <c r="O457">
        <v>2</v>
      </c>
      <c r="P457">
        <v>4</v>
      </c>
      <c r="Q457">
        <v>4</v>
      </c>
      <c r="R457" t="s">
        <v>61</v>
      </c>
      <c r="S457">
        <v>1</v>
      </c>
      <c r="T457" s="1">
        <v>16.333333333333332</v>
      </c>
      <c r="U457" t="s">
        <v>63</v>
      </c>
    </row>
    <row r="458" spans="1:21" x14ac:dyDescent="0.35">
      <c r="A458" t="s">
        <v>34</v>
      </c>
      <c r="B458">
        <v>16</v>
      </c>
      <c r="C458" t="s">
        <v>35</v>
      </c>
      <c r="D458" t="s">
        <v>36</v>
      </c>
      <c r="E458" t="s">
        <v>44</v>
      </c>
      <c r="F458" t="s">
        <v>48</v>
      </c>
      <c r="G458" t="s">
        <v>48</v>
      </c>
      <c r="H458">
        <v>1</v>
      </c>
      <c r="I458">
        <v>0</v>
      </c>
      <c r="J458" t="s">
        <v>42</v>
      </c>
      <c r="K458" t="s">
        <v>42</v>
      </c>
      <c r="L458" t="s">
        <v>43</v>
      </c>
      <c r="M458" t="s">
        <v>42</v>
      </c>
      <c r="N458" t="s">
        <v>42</v>
      </c>
      <c r="O458">
        <v>5</v>
      </c>
      <c r="P458">
        <v>5</v>
      </c>
      <c r="Q458">
        <v>5</v>
      </c>
      <c r="R458" t="s">
        <v>61</v>
      </c>
      <c r="S458">
        <v>0</v>
      </c>
      <c r="T458" s="1">
        <v>12</v>
      </c>
      <c r="U458" t="s">
        <v>63</v>
      </c>
    </row>
    <row r="459" spans="1:21" x14ac:dyDescent="0.35">
      <c r="A459" t="s">
        <v>34</v>
      </c>
      <c r="B459">
        <v>16</v>
      </c>
      <c r="C459" t="s">
        <v>35</v>
      </c>
      <c r="D459" t="s">
        <v>47</v>
      </c>
      <c r="E459" t="s">
        <v>44</v>
      </c>
      <c r="F459" t="s">
        <v>45</v>
      </c>
      <c r="G459" t="s">
        <v>48</v>
      </c>
      <c r="H459">
        <v>2</v>
      </c>
      <c r="I459">
        <v>0</v>
      </c>
      <c r="J459" t="s">
        <v>42</v>
      </c>
      <c r="K459" t="s">
        <v>43</v>
      </c>
      <c r="L459" t="s">
        <v>43</v>
      </c>
      <c r="M459" t="s">
        <v>42</v>
      </c>
      <c r="N459" t="s">
        <v>43</v>
      </c>
      <c r="O459">
        <v>4</v>
      </c>
      <c r="P459">
        <v>4</v>
      </c>
      <c r="Q459">
        <v>3</v>
      </c>
      <c r="R459" t="s">
        <v>61</v>
      </c>
      <c r="S459">
        <v>1</v>
      </c>
      <c r="T459" s="1">
        <v>12</v>
      </c>
      <c r="U459" t="s">
        <v>61</v>
      </c>
    </row>
    <row r="460" spans="1:21" x14ac:dyDescent="0.35">
      <c r="A460" t="s">
        <v>34</v>
      </c>
      <c r="B460">
        <v>16</v>
      </c>
      <c r="C460" t="s">
        <v>35</v>
      </c>
      <c r="D460" t="s">
        <v>36</v>
      </c>
      <c r="E460" t="s">
        <v>44</v>
      </c>
      <c r="F460" t="s">
        <v>39</v>
      </c>
      <c r="G460" t="s">
        <v>28</v>
      </c>
      <c r="H460">
        <v>3</v>
      </c>
      <c r="I460">
        <v>0</v>
      </c>
      <c r="J460" t="s">
        <v>42</v>
      </c>
      <c r="K460" t="s">
        <v>42</v>
      </c>
      <c r="L460" t="s">
        <v>43</v>
      </c>
      <c r="M460" t="s">
        <v>42</v>
      </c>
      <c r="N460" t="s">
        <v>43</v>
      </c>
      <c r="O460">
        <v>3</v>
      </c>
      <c r="P460">
        <v>4</v>
      </c>
      <c r="Q460">
        <v>4</v>
      </c>
      <c r="R460" t="s">
        <v>61</v>
      </c>
      <c r="S460">
        <v>1</v>
      </c>
      <c r="T460" s="1">
        <v>13.333333333333334</v>
      </c>
      <c r="U460" t="s">
        <v>63</v>
      </c>
    </row>
    <row r="461" spans="1:21" x14ac:dyDescent="0.35">
      <c r="A461" t="s">
        <v>34</v>
      </c>
      <c r="B461">
        <v>15</v>
      </c>
      <c r="C461" t="s">
        <v>35</v>
      </c>
      <c r="D461" t="s">
        <v>47</v>
      </c>
      <c r="E461" t="s">
        <v>44</v>
      </c>
      <c r="F461" t="s">
        <v>48</v>
      </c>
      <c r="G461" t="s">
        <v>48</v>
      </c>
      <c r="H461">
        <v>2</v>
      </c>
      <c r="I461">
        <v>0</v>
      </c>
      <c r="J461" t="s">
        <v>42</v>
      </c>
      <c r="K461" t="s">
        <v>43</v>
      </c>
      <c r="L461" t="s">
        <v>43</v>
      </c>
      <c r="M461" t="s">
        <v>42</v>
      </c>
      <c r="N461" t="s">
        <v>42</v>
      </c>
      <c r="O461">
        <v>4</v>
      </c>
      <c r="P461">
        <v>4</v>
      </c>
      <c r="Q461">
        <v>4</v>
      </c>
      <c r="R461" t="s">
        <v>61</v>
      </c>
      <c r="S461">
        <v>1</v>
      </c>
      <c r="T461" s="1">
        <v>12.333333333333334</v>
      </c>
      <c r="U461" t="s">
        <v>63</v>
      </c>
    </row>
    <row r="462" spans="1:21" x14ac:dyDescent="0.35">
      <c r="A462" t="s">
        <v>34</v>
      </c>
      <c r="B462">
        <v>16</v>
      </c>
      <c r="C462" t="s">
        <v>35</v>
      </c>
      <c r="D462" t="s">
        <v>47</v>
      </c>
      <c r="E462" t="s">
        <v>44</v>
      </c>
      <c r="F462" t="s">
        <v>39</v>
      </c>
      <c r="G462" t="s">
        <v>48</v>
      </c>
      <c r="H462">
        <v>2</v>
      </c>
      <c r="I462">
        <v>0</v>
      </c>
      <c r="J462" t="s">
        <v>43</v>
      </c>
      <c r="K462" t="s">
        <v>42</v>
      </c>
      <c r="L462" t="s">
        <v>43</v>
      </c>
      <c r="M462" t="s">
        <v>42</v>
      </c>
      <c r="N462" t="s">
        <v>43</v>
      </c>
      <c r="O462">
        <v>5</v>
      </c>
      <c r="P462">
        <v>4</v>
      </c>
      <c r="Q462">
        <v>3</v>
      </c>
      <c r="R462" t="s">
        <v>61</v>
      </c>
      <c r="S462">
        <v>1</v>
      </c>
      <c r="T462" s="1">
        <v>15.666666666666666</v>
      </c>
      <c r="U462" t="s">
        <v>62</v>
      </c>
    </row>
    <row r="463" spans="1:21" x14ac:dyDescent="0.35">
      <c r="A463" t="s">
        <v>50</v>
      </c>
      <c r="B463">
        <v>15</v>
      </c>
      <c r="C463" t="s">
        <v>35</v>
      </c>
      <c r="D463" t="s">
        <v>36</v>
      </c>
      <c r="E463" t="s">
        <v>37</v>
      </c>
      <c r="F463" t="s">
        <v>45</v>
      </c>
      <c r="G463" t="s">
        <v>48</v>
      </c>
      <c r="H463">
        <v>4</v>
      </c>
      <c r="I463">
        <v>0</v>
      </c>
      <c r="J463" t="s">
        <v>43</v>
      </c>
      <c r="K463" t="s">
        <v>42</v>
      </c>
      <c r="L463" t="s">
        <v>43</v>
      </c>
      <c r="M463" t="s">
        <v>42</v>
      </c>
      <c r="N463" t="s">
        <v>42</v>
      </c>
      <c r="O463">
        <v>1</v>
      </c>
      <c r="P463">
        <v>3</v>
      </c>
      <c r="Q463">
        <v>3</v>
      </c>
      <c r="R463" t="s">
        <v>61</v>
      </c>
      <c r="S463">
        <v>0</v>
      </c>
      <c r="T463" s="1">
        <v>11.666666666666666</v>
      </c>
      <c r="U463" t="s">
        <v>63</v>
      </c>
    </row>
    <row r="464" spans="1:21" x14ac:dyDescent="0.35">
      <c r="A464" t="s">
        <v>34</v>
      </c>
      <c r="B464">
        <v>16</v>
      </c>
      <c r="C464" t="s">
        <v>35</v>
      </c>
      <c r="D464" t="s">
        <v>36</v>
      </c>
      <c r="E464" t="s">
        <v>44</v>
      </c>
      <c r="F464" t="s">
        <v>48</v>
      </c>
      <c r="G464" t="s">
        <v>45</v>
      </c>
      <c r="H464">
        <v>4</v>
      </c>
      <c r="I464">
        <v>0</v>
      </c>
      <c r="J464" t="s">
        <v>42</v>
      </c>
      <c r="K464" t="s">
        <v>42</v>
      </c>
      <c r="L464" t="s">
        <v>43</v>
      </c>
      <c r="M464" t="s">
        <v>43</v>
      </c>
      <c r="N464" t="s">
        <v>43</v>
      </c>
      <c r="O464">
        <v>4</v>
      </c>
      <c r="P464">
        <v>3</v>
      </c>
      <c r="Q464">
        <v>3</v>
      </c>
      <c r="R464" t="s">
        <v>61</v>
      </c>
      <c r="S464">
        <v>1</v>
      </c>
      <c r="T464" s="1">
        <v>9.6666666666666661</v>
      </c>
      <c r="U464" t="s">
        <v>62</v>
      </c>
    </row>
    <row r="465" spans="1:21" x14ac:dyDescent="0.35">
      <c r="A465" t="s">
        <v>34</v>
      </c>
      <c r="B465">
        <v>15</v>
      </c>
      <c r="C465" t="s">
        <v>52</v>
      </c>
      <c r="D465" t="s">
        <v>47</v>
      </c>
      <c r="E465" t="s">
        <v>44</v>
      </c>
      <c r="F465" t="s">
        <v>28</v>
      </c>
      <c r="G465" t="s">
        <v>48</v>
      </c>
      <c r="H465">
        <v>2</v>
      </c>
      <c r="I465">
        <v>0</v>
      </c>
      <c r="J465" t="s">
        <v>42</v>
      </c>
      <c r="K465" t="s">
        <v>42</v>
      </c>
      <c r="L465" t="s">
        <v>43</v>
      </c>
      <c r="M465" t="s">
        <v>43</v>
      </c>
      <c r="N465" t="s">
        <v>43</v>
      </c>
      <c r="O465">
        <v>4</v>
      </c>
      <c r="P465">
        <v>1</v>
      </c>
      <c r="Q465">
        <v>3</v>
      </c>
      <c r="R465" t="s">
        <v>61</v>
      </c>
      <c r="S465">
        <v>1</v>
      </c>
      <c r="T465" s="1">
        <v>10.666666666666666</v>
      </c>
      <c r="U465" t="s">
        <v>62</v>
      </c>
    </row>
    <row r="466" spans="1:21" x14ac:dyDescent="0.35">
      <c r="A466" t="s">
        <v>34</v>
      </c>
      <c r="B466">
        <v>15</v>
      </c>
      <c r="C466" t="s">
        <v>52</v>
      </c>
      <c r="D466" t="s">
        <v>47</v>
      </c>
      <c r="E466" t="s">
        <v>44</v>
      </c>
      <c r="F466" t="s">
        <v>45</v>
      </c>
      <c r="G466" t="s">
        <v>45</v>
      </c>
      <c r="H466">
        <v>4</v>
      </c>
      <c r="I466">
        <v>0</v>
      </c>
      <c r="J466" t="s">
        <v>43</v>
      </c>
      <c r="K466" t="s">
        <v>42</v>
      </c>
      <c r="L466" t="s">
        <v>43</v>
      </c>
      <c r="M466" t="s">
        <v>43</v>
      </c>
      <c r="N466" t="s">
        <v>43</v>
      </c>
      <c r="O466">
        <v>4</v>
      </c>
      <c r="P466">
        <v>4</v>
      </c>
      <c r="Q466">
        <v>2</v>
      </c>
      <c r="R466" t="s">
        <v>62</v>
      </c>
      <c r="S466">
        <v>0</v>
      </c>
      <c r="T466" s="1">
        <v>15</v>
      </c>
      <c r="U466" t="s">
        <v>63</v>
      </c>
    </row>
    <row r="467" spans="1:21" x14ac:dyDescent="0.35">
      <c r="A467" t="s">
        <v>50</v>
      </c>
      <c r="B467">
        <v>16</v>
      </c>
      <c r="C467" t="s">
        <v>35</v>
      </c>
      <c r="D467" t="s">
        <v>36</v>
      </c>
      <c r="E467" t="s">
        <v>44</v>
      </c>
      <c r="F467" t="s">
        <v>45</v>
      </c>
      <c r="G467" t="s">
        <v>45</v>
      </c>
      <c r="H467">
        <v>4</v>
      </c>
      <c r="I467">
        <v>0</v>
      </c>
      <c r="J467" t="s">
        <v>43</v>
      </c>
      <c r="K467" t="s">
        <v>42</v>
      </c>
      <c r="L467" t="s">
        <v>43</v>
      </c>
      <c r="M467" t="s">
        <v>43</v>
      </c>
      <c r="N467" t="s">
        <v>43</v>
      </c>
      <c r="O467">
        <v>4</v>
      </c>
      <c r="P467">
        <v>3</v>
      </c>
      <c r="Q467">
        <v>2</v>
      </c>
      <c r="R467" t="s">
        <v>61</v>
      </c>
      <c r="S467">
        <v>1</v>
      </c>
      <c r="T467" s="1">
        <v>11.666666666666666</v>
      </c>
      <c r="U467" t="s">
        <v>61</v>
      </c>
    </row>
    <row r="468" spans="1:21" x14ac:dyDescent="0.35">
      <c r="A468" t="s">
        <v>50</v>
      </c>
      <c r="B468">
        <v>15</v>
      </c>
      <c r="C468" t="s">
        <v>35</v>
      </c>
      <c r="D468" t="s">
        <v>36</v>
      </c>
      <c r="E468" t="s">
        <v>44</v>
      </c>
      <c r="F468" t="s">
        <v>45</v>
      </c>
      <c r="G468" t="s">
        <v>45</v>
      </c>
      <c r="H468">
        <v>4</v>
      </c>
      <c r="I468">
        <v>0</v>
      </c>
      <c r="J468" t="s">
        <v>43</v>
      </c>
      <c r="K468" t="s">
        <v>43</v>
      </c>
      <c r="L468" t="s">
        <v>43</v>
      </c>
      <c r="M468" t="s">
        <v>43</v>
      </c>
      <c r="N468" t="s">
        <v>43</v>
      </c>
      <c r="O468">
        <v>3</v>
      </c>
      <c r="P468">
        <v>3</v>
      </c>
      <c r="Q468">
        <v>3</v>
      </c>
      <c r="R468" t="s">
        <v>61</v>
      </c>
      <c r="S468">
        <v>1</v>
      </c>
      <c r="T468" s="1">
        <v>10</v>
      </c>
      <c r="U468" t="s">
        <v>61</v>
      </c>
    </row>
    <row r="469" spans="1:21" x14ac:dyDescent="0.35">
      <c r="A469" t="s">
        <v>34</v>
      </c>
      <c r="B469">
        <v>15</v>
      </c>
      <c r="C469" t="s">
        <v>52</v>
      </c>
      <c r="D469" t="s">
        <v>36</v>
      </c>
      <c r="E469" t="s">
        <v>44</v>
      </c>
      <c r="F469" t="s">
        <v>45</v>
      </c>
      <c r="G469" t="s">
        <v>45</v>
      </c>
      <c r="H469">
        <v>2</v>
      </c>
      <c r="I469">
        <v>0</v>
      </c>
      <c r="J469" t="s">
        <v>42</v>
      </c>
      <c r="K469" t="s">
        <v>42</v>
      </c>
      <c r="L469" t="s">
        <v>43</v>
      </c>
      <c r="M469" t="s">
        <v>43</v>
      </c>
      <c r="N469" t="s">
        <v>42</v>
      </c>
      <c r="O469">
        <v>3</v>
      </c>
      <c r="P469">
        <v>3</v>
      </c>
      <c r="Q469">
        <v>4</v>
      </c>
      <c r="R469" t="s">
        <v>61</v>
      </c>
      <c r="S469">
        <v>1</v>
      </c>
      <c r="T469" s="1">
        <v>11.666666666666666</v>
      </c>
      <c r="U469" t="s">
        <v>63</v>
      </c>
    </row>
    <row r="470" spans="1:21" x14ac:dyDescent="0.35">
      <c r="A470" t="s">
        <v>50</v>
      </c>
      <c r="B470">
        <v>16</v>
      </c>
      <c r="C470" t="s">
        <v>35</v>
      </c>
      <c r="D470" t="s">
        <v>36</v>
      </c>
      <c r="E470" t="s">
        <v>44</v>
      </c>
      <c r="F470" t="s">
        <v>45</v>
      </c>
      <c r="G470" t="s">
        <v>45</v>
      </c>
      <c r="H470">
        <v>1</v>
      </c>
      <c r="I470">
        <v>0</v>
      </c>
      <c r="J470" t="s">
        <v>43</v>
      </c>
      <c r="K470" t="s">
        <v>43</v>
      </c>
      <c r="L470" t="s">
        <v>43</v>
      </c>
      <c r="M470" t="s">
        <v>42</v>
      </c>
      <c r="N470" t="s">
        <v>43</v>
      </c>
      <c r="O470">
        <v>5</v>
      </c>
      <c r="P470">
        <v>3</v>
      </c>
      <c r="Q470">
        <v>2</v>
      </c>
      <c r="R470" t="s">
        <v>61</v>
      </c>
      <c r="S470">
        <v>0</v>
      </c>
      <c r="T470" s="1">
        <v>13.333333333333334</v>
      </c>
      <c r="U470" t="s">
        <v>62</v>
      </c>
    </row>
    <row r="471" spans="1:21" x14ac:dyDescent="0.35">
      <c r="A471" t="s">
        <v>34</v>
      </c>
      <c r="B471">
        <v>16</v>
      </c>
      <c r="C471" t="s">
        <v>35</v>
      </c>
      <c r="D471" t="s">
        <v>36</v>
      </c>
      <c r="E471" t="s">
        <v>44</v>
      </c>
      <c r="F471" t="s">
        <v>45</v>
      </c>
      <c r="G471" t="s">
        <v>48</v>
      </c>
      <c r="H471">
        <v>2</v>
      </c>
      <c r="I471">
        <v>0</v>
      </c>
      <c r="J471" t="s">
        <v>42</v>
      </c>
      <c r="K471" t="s">
        <v>42</v>
      </c>
      <c r="L471" t="s">
        <v>43</v>
      </c>
      <c r="M471" t="s">
        <v>42</v>
      </c>
      <c r="N471" t="s">
        <v>43</v>
      </c>
      <c r="O471">
        <v>4</v>
      </c>
      <c r="P471">
        <v>3</v>
      </c>
      <c r="Q471">
        <v>3</v>
      </c>
      <c r="R471" t="s">
        <v>61</v>
      </c>
      <c r="S471">
        <v>0</v>
      </c>
      <c r="T471" s="1">
        <v>11</v>
      </c>
      <c r="U471" t="s">
        <v>63</v>
      </c>
    </row>
    <row r="472" spans="1:21" x14ac:dyDescent="0.35">
      <c r="A472" t="s">
        <v>50</v>
      </c>
      <c r="B472">
        <v>15</v>
      </c>
      <c r="C472" t="s">
        <v>35</v>
      </c>
      <c r="D472" t="s">
        <v>36</v>
      </c>
      <c r="E472" t="s">
        <v>44</v>
      </c>
      <c r="F472" t="s">
        <v>39</v>
      </c>
      <c r="G472" t="s">
        <v>45</v>
      </c>
      <c r="H472">
        <v>2</v>
      </c>
      <c r="I472">
        <v>0</v>
      </c>
      <c r="J472" t="s">
        <v>43</v>
      </c>
      <c r="K472" t="s">
        <v>42</v>
      </c>
      <c r="L472" t="s">
        <v>43</v>
      </c>
      <c r="M472" t="s">
        <v>42</v>
      </c>
      <c r="N472" t="s">
        <v>43</v>
      </c>
      <c r="O472">
        <v>4</v>
      </c>
      <c r="P472">
        <v>3</v>
      </c>
      <c r="Q472">
        <v>3</v>
      </c>
      <c r="R472" t="s">
        <v>61</v>
      </c>
      <c r="S472">
        <v>0</v>
      </c>
      <c r="T472" s="1">
        <v>11</v>
      </c>
      <c r="U472" t="s">
        <v>63</v>
      </c>
    </row>
    <row r="473" spans="1:21" x14ac:dyDescent="0.35">
      <c r="A473" t="s">
        <v>50</v>
      </c>
      <c r="B473">
        <v>15</v>
      </c>
      <c r="C473" t="s">
        <v>35</v>
      </c>
      <c r="D473" t="s">
        <v>36</v>
      </c>
      <c r="E473" t="s">
        <v>44</v>
      </c>
      <c r="F473" t="s">
        <v>39</v>
      </c>
      <c r="G473" t="s">
        <v>45</v>
      </c>
      <c r="H473">
        <v>4</v>
      </c>
      <c r="I473">
        <v>0</v>
      </c>
      <c r="J473" t="s">
        <v>43</v>
      </c>
      <c r="K473" t="s">
        <v>43</v>
      </c>
      <c r="L473" t="s">
        <v>43</v>
      </c>
      <c r="M473" t="s">
        <v>42</v>
      </c>
      <c r="N473" t="s">
        <v>43</v>
      </c>
      <c r="O473">
        <v>3</v>
      </c>
      <c r="P473">
        <v>4</v>
      </c>
      <c r="Q473">
        <v>3</v>
      </c>
      <c r="R473" t="s">
        <v>61</v>
      </c>
      <c r="S473">
        <v>1</v>
      </c>
      <c r="T473" s="1">
        <v>11.333333333333334</v>
      </c>
      <c r="U473" t="s">
        <v>61</v>
      </c>
    </row>
    <row r="474" spans="1:21" x14ac:dyDescent="0.35">
      <c r="A474" t="s">
        <v>34</v>
      </c>
      <c r="B474">
        <v>16</v>
      </c>
      <c r="C474" t="s">
        <v>35</v>
      </c>
      <c r="D474" t="s">
        <v>36</v>
      </c>
      <c r="E474" t="s">
        <v>44</v>
      </c>
      <c r="F474" t="s">
        <v>45</v>
      </c>
      <c r="G474" t="s">
        <v>45</v>
      </c>
      <c r="H474">
        <v>4</v>
      </c>
      <c r="I474">
        <v>0</v>
      </c>
      <c r="J474" t="s">
        <v>43</v>
      </c>
      <c r="K474" t="s">
        <v>43</v>
      </c>
      <c r="L474" t="s">
        <v>43</v>
      </c>
      <c r="M474" t="s">
        <v>43</v>
      </c>
      <c r="N474" t="s">
        <v>42</v>
      </c>
      <c r="O474">
        <v>5</v>
      </c>
      <c r="P474">
        <v>2</v>
      </c>
      <c r="Q474">
        <v>3</v>
      </c>
      <c r="R474" t="s">
        <v>61</v>
      </c>
      <c r="S474">
        <v>0</v>
      </c>
      <c r="T474" s="1">
        <v>13</v>
      </c>
      <c r="U474" t="s">
        <v>62</v>
      </c>
    </row>
    <row r="475" spans="1:21" x14ac:dyDescent="0.35">
      <c r="A475" t="s">
        <v>50</v>
      </c>
      <c r="B475">
        <v>17</v>
      </c>
      <c r="C475" t="s">
        <v>35</v>
      </c>
      <c r="D475" t="s">
        <v>36</v>
      </c>
      <c r="E475" t="s">
        <v>44</v>
      </c>
      <c r="F475" t="s">
        <v>45</v>
      </c>
      <c r="G475" t="s">
        <v>45</v>
      </c>
      <c r="H475">
        <v>1</v>
      </c>
      <c r="I475">
        <v>3</v>
      </c>
      <c r="J475" t="s">
        <v>42</v>
      </c>
      <c r="K475" t="s">
        <v>42</v>
      </c>
      <c r="L475" t="s">
        <v>43</v>
      </c>
      <c r="M475" t="s">
        <v>42</v>
      </c>
      <c r="N475" t="s">
        <v>43</v>
      </c>
      <c r="O475">
        <v>4</v>
      </c>
      <c r="P475">
        <v>5</v>
      </c>
      <c r="Q475">
        <v>1</v>
      </c>
      <c r="R475" t="s">
        <v>61</v>
      </c>
      <c r="S475">
        <v>0</v>
      </c>
      <c r="T475" s="1">
        <v>9.3333333333333339</v>
      </c>
      <c r="U475" t="s">
        <v>61</v>
      </c>
    </row>
    <row r="476" spans="1:21" x14ac:dyDescent="0.35">
      <c r="A476" t="s">
        <v>34</v>
      </c>
      <c r="B476">
        <v>16</v>
      </c>
      <c r="C476" t="s">
        <v>35</v>
      </c>
      <c r="D476" t="s">
        <v>36</v>
      </c>
      <c r="E476" t="s">
        <v>44</v>
      </c>
      <c r="F476" t="s">
        <v>38</v>
      </c>
      <c r="G476" t="s">
        <v>45</v>
      </c>
      <c r="H476">
        <v>2</v>
      </c>
      <c r="I476">
        <v>0</v>
      </c>
      <c r="J476" t="s">
        <v>43</v>
      </c>
      <c r="K476" t="s">
        <v>42</v>
      </c>
      <c r="L476" t="s">
        <v>43</v>
      </c>
      <c r="M476" t="s">
        <v>43</v>
      </c>
      <c r="N476" t="s">
        <v>43</v>
      </c>
      <c r="O476">
        <v>2</v>
      </c>
      <c r="P476">
        <v>4</v>
      </c>
      <c r="Q476">
        <v>3</v>
      </c>
      <c r="R476" t="s">
        <v>63</v>
      </c>
      <c r="S476">
        <v>1</v>
      </c>
      <c r="T476" s="1">
        <v>11.333333333333334</v>
      </c>
      <c r="U476" t="s">
        <v>62</v>
      </c>
    </row>
    <row r="477" spans="1:21" x14ac:dyDescent="0.35">
      <c r="A477" t="s">
        <v>50</v>
      </c>
      <c r="B477">
        <v>15</v>
      </c>
      <c r="C477" t="s">
        <v>35</v>
      </c>
      <c r="D477" t="s">
        <v>36</v>
      </c>
      <c r="E477" t="s">
        <v>44</v>
      </c>
      <c r="F477" t="s">
        <v>45</v>
      </c>
      <c r="G477" t="s">
        <v>48</v>
      </c>
      <c r="H477">
        <v>1</v>
      </c>
      <c r="I477">
        <v>0</v>
      </c>
      <c r="J477" t="s">
        <v>42</v>
      </c>
      <c r="K477" t="s">
        <v>42</v>
      </c>
      <c r="L477" t="s">
        <v>43</v>
      </c>
      <c r="M477" t="s">
        <v>42</v>
      </c>
      <c r="N477" t="s">
        <v>42</v>
      </c>
      <c r="O477">
        <v>3</v>
      </c>
      <c r="P477">
        <v>2</v>
      </c>
      <c r="Q477">
        <v>2</v>
      </c>
      <c r="R477" t="s">
        <v>61</v>
      </c>
      <c r="S477">
        <v>0</v>
      </c>
      <c r="T477" s="1">
        <v>11.333333333333334</v>
      </c>
      <c r="U477" t="s">
        <v>62</v>
      </c>
    </row>
    <row r="478" spans="1:21" x14ac:dyDescent="0.35">
      <c r="A478" t="s">
        <v>50</v>
      </c>
      <c r="B478">
        <v>15</v>
      </c>
      <c r="C478" t="s">
        <v>35</v>
      </c>
      <c r="D478" t="s">
        <v>36</v>
      </c>
      <c r="E478" t="s">
        <v>44</v>
      </c>
      <c r="F478" t="s">
        <v>45</v>
      </c>
      <c r="G478" t="s">
        <v>45</v>
      </c>
      <c r="H478">
        <v>3</v>
      </c>
      <c r="I478">
        <v>0</v>
      </c>
      <c r="J478" t="s">
        <v>42</v>
      </c>
      <c r="K478" t="s">
        <v>43</v>
      </c>
      <c r="L478" t="s">
        <v>43</v>
      </c>
      <c r="M478" t="s">
        <v>43</v>
      </c>
      <c r="N478" t="s">
        <v>43</v>
      </c>
      <c r="O478">
        <v>5</v>
      </c>
      <c r="P478">
        <v>3</v>
      </c>
      <c r="Q478">
        <v>2</v>
      </c>
      <c r="R478" t="s">
        <v>61</v>
      </c>
      <c r="S478">
        <v>1</v>
      </c>
      <c r="T478" s="1">
        <v>9.3333333333333339</v>
      </c>
      <c r="U478" t="s">
        <v>62</v>
      </c>
    </row>
    <row r="479" spans="1:21" x14ac:dyDescent="0.35">
      <c r="A479" t="s">
        <v>34</v>
      </c>
      <c r="B479">
        <v>15</v>
      </c>
      <c r="C479" t="s">
        <v>35</v>
      </c>
      <c r="D479" t="s">
        <v>47</v>
      </c>
      <c r="E479" t="s">
        <v>44</v>
      </c>
      <c r="F479" t="s">
        <v>48</v>
      </c>
      <c r="G479" t="s">
        <v>45</v>
      </c>
      <c r="H479">
        <v>2</v>
      </c>
      <c r="I479">
        <v>0</v>
      </c>
      <c r="J479" t="s">
        <v>43</v>
      </c>
      <c r="K479" t="s">
        <v>42</v>
      </c>
      <c r="L479" t="s">
        <v>43</v>
      </c>
      <c r="M479" t="s">
        <v>43</v>
      </c>
      <c r="N479" t="s">
        <v>43</v>
      </c>
      <c r="O479">
        <v>4</v>
      </c>
      <c r="P479">
        <v>4</v>
      </c>
      <c r="Q479">
        <v>4</v>
      </c>
      <c r="R479" t="s">
        <v>61</v>
      </c>
      <c r="S479">
        <v>1</v>
      </c>
      <c r="T479" s="1">
        <v>11.333333333333334</v>
      </c>
      <c r="U479" t="s">
        <v>61</v>
      </c>
    </row>
    <row r="480" spans="1:21" x14ac:dyDescent="0.35">
      <c r="A480" t="s">
        <v>50</v>
      </c>
      <c r="B480">
        <v>15</v>
      </c>
      <c r="C480" t="s">
        <v>35</v>
      </c>
      <c r="D480" t="s">
        <v>47</v>
      </c>
      <c r="E480" t="s">
        <v>44</v>
      </c>
      <c r="F480" t="s">
        <v>48</v>
      </c>
      <c r="G480" t="s">
        <v>48</v>
      </c>
      <c r="H480">
        <v>2</v>
      </c>
      <c r="I480">
        <v>0</v>
      </c>
      <c r="J480" t="s">
        <v>43</v>
      </c>
      <c r="K480" t="s">
        <v>43</v>
      </c>
      <c r="L480" t="s">
        <v>42</v>
      </c>
      <c r="M480" t="s">
        <v>42</v>
      </c>
      <c r="N480" t="s">
        <v>43</v>
      </c>
      <c r="O480">
        <v>5</v>
      </c>
      <c r="P480">
        <v>3</v>
      </c>
      <c r="Q480">
        <v>3</v>
      </c>
      <c r="R480" t="s">
        <v>61</v>
      </c>
      <c r="S480">
        <v>1</v>
      </c>
      <c r="T480" s="1">
        <v>12.666666666666666</v>
      </c>
      <c r="U480" t="s">
        <v>62</v>
      </c>
    </row>
    <row r="481" spans="1:21" x14ac:dyDescent="0.35">
      <c r="A481" t="s">
        <v>34</v>
      </c>
      <c r="B481">
        <v>15</v>
      </c>
      <c r="C481" t="s">
        <v>35</v>
      </c>
      <c r="D481" t="s">
        <v>36</v>
      </c>
      <c r="E481" t="s">
        <v>44</v>
      </c>
      <c r="F481" t="s">
        <v>45</v>
      </c>
      <c r="G481" t="s">
        <v>45</v>
      </c>
      <c r="H481">
        <v>2</v>
      </c>
      <c r="I481">
        <v>0</v>
      </c>
      <c r="J481" t="s">
        <v>43</v>
      </c>
      <c r="K481" t="s">
        <v>42</v>
      </c>
      <c r="L481" t="s">
        <v>43</v>
      </c>
      <c r="M481" t="s">
        <v>42</v>
      </c>
      <c r="N481" t="s">
        <v>43</v>
      </c>
      <c r="O481">
        <v>4</v>
      </c>
      <c r="P481">
        <v>3</v>
      </c>
      <c r="Q481">
        <v>2</v>
      </c>
      <c r="R481" t="s">
        <v>61</v>
      </c>
      <c r="S481">
        <v>1</v>
      </c>
      <c r="T481" s="1">
        <v>12.333333333333334</v>
      </c>
      <c r="U481" t="s">
        <v>63</v>
      </c>
    </row>
    <row r="482" spans="1:21" x14ac:dyDescent="0.35">
      <c r="A482" t="s">
        <v>34</v>
      </c>
      <c r="B482">
        <v>15</v>
      </c>
      <c r="C482" t="s">
        <v>35</v>
      </c>
      <c r="D482" t="s">
        <v>36</v>
      </c>
      <c r="E482" t="s">
        <v>44</v>
      </c>
      <c r="F482" t="s">
        <v>48</v>
      </c>
      <c r="G482" t="s">
        <v>48</v>
      </c>
      <c r="H482">
        <v>2</v>
      </c>
      <c r="I482">
        <v>0</v>
      </c>
      <c r="J482" t="s">
        <v>43</v>
      </c>
      <c r="K482" t="s">
        <v>43</v>
      </c>
      <c r="L482" t="s">
        <v>43</v>
      </c>
      <c r="M482" t="s">
        <v>43</v>
      </c>
      <c r="N482" t="s">
        <v>42</v>
      </c>
      <c r="O482">
        <v>4</v>
      </c>
      <c r="P482">
        <v>4</v>
      </c>
      <c r="Q482">
        <v>4</v>
      </c>
      <c r="R482" t="s">
        <v>61</v>
      </c>
      <c r="S482">
        <v>1</v>
      </c>
      <c r="T482" s="1">
        <v>11.666666666666666</v>
      </c>
      <c r="U482" t="s">
        <v>63</v>
      </c>
    </row>
    <row r="483" spans="1:21" x14ac:dyDescent="0.35">
      <c r="A483" t="s">
        <v>34</v>
      </c>
      <c r="B483">
        <v>16</v>
      </c>
      <c r="C483" t="s">
        <v>35</v>
      </c>
      <c r="D483" t="s">
        <v>47</v>
      </c>
      <c r="E483" t="s">
        <v>44</v>
      </c>
      <c r="F483" t="s">
        <v>38</v>
      </c>
      <c r="G483" t="s">
        <v>45</v>
      </c>
      <c r="H483">
        <v>2</v>
      </c>
      <c r="I483">
        <v>0</v>
      </c>
      <c r="J483" t="s">
        <v>43</v>
      </c>
      <c r="K483" t="s">
        <v>42</v>
      </c>
      <c r="L483" t="s">
        <v>43</v>
      </c>
      <c r="M483" t="s">
        <v>43</v>
      </c>
      <c r="N483" t="s">
        <v>43</v>
      </c>
      <c r="O483">
        <v>4</v>
      </c>
      <c r="P483">
        <v>3</v>
      </c>
      <c r="Q483">
        <v>4</v>
      </c>
      <c r="R483" t="s">
        <v>62</v>
      </c>
      <c r="S483">
        <v>1</v>
      </c>
      <c r="T483" s="1">
        <v>11.666666666666666</v>
      </c>
      <c r="U483" t="s">
        <v>62</v>
      </c>
    </row>
    <row r="484" spans="1:21" x14ac:dyDescent="0.35">
      <c r="A484" t="s">
        <v>34</v>
      </c>
      <c r="B484">
        <v>15</v>
      </c>
      <c r="C484" t="s">
        <v>35</v>
      </c>
      <c r="D484" t="s">
        <v>36</v>
      </c>
      <c r="E484" t="s">
        <v>44</v>
      </c>
      <c r="F484" t="s">
        <v>45</v>
      </c>
      <c r="G484" t="s">
        <v>45</v>
      </c>
      <c r="H484">
        <v>3</v>
      </c>
      <c r="I484">
        <v>0</v>
      </c>
      <c r="J484" t="s">
        <v>43</v>
      </c>
      <c r="K484" t="s">
        <v>42</v>
      </c>
      <c r="L484" t="s">
        <v>43</v>
      </c>
      <c r="M484" t="s">
        <v>42</v>
      </c>
      <c r="N484" t="s">
        <v>43</v>
      </c>
      <c r="O484">
        <v>5</v>
      </c>
      <c r="P484">
        <v>3</v>
      </c>
      <c r="Q484">
        <v>3</v>
      </c>
      <c r="R484" t="s">
        <v>61</v>
      </c>
      <c r="S484">
        <v>0</v>
      </c>
      <c r="T484" s="1">
        <v>15</v>
      </c>
      <c r="U484" t="s">
        <v>62</v>
      </c>
    </row>
    <row r="485" spans="1:21" x14ac:dyDescent="0.35">
      <c r="A485" t="s">
        <v>50</v>
      </c>
      <c r="B485">
        <v>16</v>
      </c>
      <c r="C485" t="s">
        <v>35</v>
      </c>
      <c r="D485" t="s">
        <v>36</v>
      </c>
      <c r="E485" t="s">
        <v>44</v>
      </c>
      <c r="F485" t="s">
        <v>48</v>
      </c>
      <c r="G485" t="s">
        <v>45</v>
      </c>
      <c r="H485">
        <v>2</v>
      </c>
      <c r="I485">
        <v>0</v>
      </c>
      <c r="J485" t="s">
        <v>43</v>
      </c>
      <c r="K485" t="s">
        <v>43</v>
      </c>
      <c r="L485" t="s">
        <v>43</v>
      </c>
      <c r="M485" t="s">
        <v>42</v>
      </c>
      <c r="N485" t="s">
        <v>43</v>
      </c>
      <c r="O485">
        <v>4</v>
      </c>
      <c r="P485">
        <v>4</v>
      </c>
      <c r="Q485">
        <v>2</v>
      </c>
      <c r="R485" t="s">
        <v>62</v>
      </c>
      <c r="S485">
        <v>1</v>
      </c>
      <c r="T485" s="1">
        <v>11</v>
      </c>
      <c r="U485" t="s">
        <v>61</v>
      </c>
    </row>
    <row r="486" spans="1:21" x14ac:dyDescent="0.35">
      <c r="A486" t="s">
        <v>50</v>
      </c>
      <c r="B486">
        <v>16</v>
      </c>
      <c r="C486" t="s">
        <v>35</v>
      </c>
      <c r="D486" t="s">
        <v>47</v>
      </c>
      <c r="E486" t="s">
        <v>37</v>
      </c>
      <c r="F486" t="s">
        <v>39</v>
      </c>
      <c r="G486" t="s">
        <v>28</v>
      </c>
      <c r="H486">
        <v>2</v>
      </c>
      <c r="I486">
        <v>0</v>
      </c>
      <c r="J486" t="s">
        <v>43</v>
      </c>
      <c r="K486" t="s">
        <v>42</v>
      </c>
      <c r="L486" t="s">
        <v>43</v>
      </c>
      <c r="M486" t="s">
        <v>43</v>
      </c>
      <c r="N486" t="s">
        <v>43</v>
      </c>
      <c r="O486">
        <v>4</v>
      </c>
      <c r="P486">
        <v>1</v>
      </c>
      <c r="Q486">
        <v>3</v>
      </c>
      <c r="R486" t="s">
        <v>62</v>
      </c>
      <c r="S486">
        <v>0</v>
      </c>
      <c r="T486" s="1">
        <v>9.3333333333333339</v>
      </c>
      <c r="U486" t="s">
        <v>63</v>
      </c>
    </row>
    <row r="487" spans="1:21" x14ac:dyDescent="0.35">
      <c r="A487" t="s">
        <v>34</v>
      </c>
      <c r="B487">
        <v>16</v>
      </c>
      <c r="C487" t="s">
        <v>35</v>
      </c>
      <c r="D487" t="s">
        <v>36</v>
      </c>
      <c r="E487" t="s">
        <v>44</v>
      </c>
      <c r="F487" t="s">
        <v>45</v>
      </c>
      <c r="G487" t="s">
        <v>45</v>
      </c>
      <c r="H487">
        <v>3</v>
      </c>
      <c r="I487">
        <v>0</v>
      </c>
      <c r="J487" t="s">
        <v>43</v>
      </c>
      <c r="K487" t="s">
        <v>42</v>
      </c>
      <c r="L487" t="s">
        <v>43</v>
      </c>
      <c r="M487" t="s">
        <v>43</v>
      </c>
      <c r="N487" t="s">
        <v>42</v>
      </c>
      <c r="O487">
        <v>4</v>
      </c>
      <c r="P487">
        <v>3</v>
      </c>
      <c r="Q487">
        <v>3</v>
      </c>
      <c r="R487" t="s">
        <v>61</v>
      </c>
      <c r="S487">
        <v>0</v>
      </c>
      <c r="T487" s="1">
        <v>10.333333333333334</v>
      </c>
      <c r="U487" t="s">
        <v>62</v>
      </c>
    </row>
    <row r="488" spans="1:21" x14ac:dyDescent="0.35">
      <c r="A488" t="s">
        <v>34</v>
      </c>
      <c r="B488">
        <v>15</v>
      </c>
      <c r="C488" t="s">
        <v>35</v>
      </c>
      <c r="D488" t="s">
        <v>36</v>
      </c>
      <c r="E488" t="s">
        <v>44</v>
      </c>
      <c r="F488" t="s">
        <v>48</v>
      </c>
      <c r="G488" t="s">
        <v>45</v>
      </c>
      <c r="H488">
        <v>1</v>
      </c>
      <c r="I488">
        <v>0</v>
      </c>
      <c r="J488" t="s">
        <v>43</v>
      </c>
      <c r="K488" t="s">
        <v>43</v>
      </c>
      <c r="L488" t="s">
        <v>43</v>
      </c>
      <c r="M488" t="s">
        <v>42</v>
      </c>
      <c r="N488" t="s">
        <v>43</v>
      </c>
      <c r="O488">
        <v>4</v>
      </c>
      <c r="P488">
        <v>5</v>
      </c>
      <c r="Q488">
        <v>5</v>
      </c>
      <c r="R488" t="s">
        <v>62</v>
      </c>
      <c r="S488">
        <v>1</v>
      </c>
      <c r="T488" s="1">
        <v>13.333333333333334</v>
      </c>
      <c r="U488" t="s">
        <v>62</v>
      </c>
    </row>
    <row r="489" spans="1:21" x14ac:dyDescent="0.35">
      <c r="A489" t="s">
        <v>34</v>
      </c>
      <c r="B489">
        <v>16</v>
      </c>
      <c r="C489" t="s">
        <v>35</v>
      </c>
      <c r="D489" t="s">
        <v>47</v>
      </c>
      <c r="E489" t="s">
        <v>44</v>
      </c>
      <c r="F489" t="s">
        <v>45</v>
      </c>
      <c r="G489" t="s">
        <v>45</v>
      </c>
      <c r="H489">
        <v>2</v>
      </c>
      <c r="I489">
        <v>0</v>
      </c>
      <c r="J489" t="s">
        <v>42</v>
      </c>
      <c r="K489" t="s">
        <v>42</v>
      </c>
      <c r="L489" t="s">
        <v>43</v>
      </c>
      <c r="M489" t="s">
        <v>43</v>
      </c>
      <c r="N489" t="s">
        <v>43</v>
      </c>
      <c r="O489">
        <v>3</v>
      </c>
      <c r="P489">
        <v>3</v>
      </c>
      <c r="Q489">
        <v>3</v>
      </c>
      <c r="R489" t="s">
        <v>61</v>
      </c>
      <c r="S489">
        <v>1</v>
      </c>
      <c r="T489" s="1">
        <v>12.333333333333334</v>
      </c>
      <c r="U489" t="s">
        <v>63</v>
      </c>
    </row>
    <row r="490" spans="1:21" x14ac:dyDescent="0.35">
      <c r="A490" t="s">
        <v>34</v>
      </c>
      <c r="B490">
        <v>16</v>
      </c>
      <c r="C490" t="s">
        <v>35</v>
      </c>
      <c r="D490" t="s">
        <v>36</v>
      </c>
      <c r="E490" t="s">
        <v>44</v>
      </c>
      <c r="F490" t="s">
        <v>39</v>
      </c>
      <c r="G490" t="s">
        <v>48</v>
      </c>
      <c r="H490">
        <v>2</v>
      </c>
      <c r="I490">
        <v>0</v>
      </c>
      <c r="J490" t="s">
        <v>43</v>
      </c>
      <c r="K490" t="s">
        <v>42</v>
      </c>
      <c r="L490" t="s">
        <v>43</v>
      </c>
      <c r="M490" t="s">
        <v>42</v>
      </c>
      <c r="N490" t="s">
        <v>43</v>
      </c>
      <c r="O490">
        <v>5</v>
      </c>
      <c r="P490">
        <v>3</v>
      </c>
      <c r="Q490">
        <v>3</v>
      </c>
      <c r="R490" t="s">
        <v>61</v>
      </c>
      <c r="S490">
        <v>0</v>
      </c>
      <c r="T490" s="1">
        <v>13.666666666666666</v>
      </c>
      <c r="U490" t="s">
        <v>61</v>
      </c>
    </row>
    <row r="491" spans="1:21" x14ac:dyDescent="0.35">
      <c r="A491" t="s">
        <v>50</v>
      </c>
      <c r="B491">
        <v>15</v>
      </c>
      <c r="C491" t="s">
        <v>35</v>
      </c>
      <c r="D491" t="s">
        <v>47</v>
      </c>
      <c r="E491" t="s">
        <v>44</v>
      </c>
      <c r="F491" t="s">
        <v>48</v>
      </c>
      <c r="G491" t="s">
        <v>28</v>
      </c>
      <c r="H491">
        <v>4</v>
      </c>
      <c r="I491">
        <v>0</v>
      </c>
      <c r="J491" t="s">
        <v>43</v>
      </c>
      <c r="K491" t="s">
        <v>42</v>
      </c>
      <c r="L491" t="s">
        <v>43</v>
      </c>
      <c r="M491" t="s">
        <v>42</v>
      </c>
      <c r="N491" t="s">
        <v>43</v>
      </c>
      <c r="O491">
        <v>4</v>
      </c>
      <c r="P491">
        <v>3</v>
      </c>
      <c r="Q491">
        <v>4</v>
      </c>
      <c r="R491" t="s">
        <v>61</v>
      </c>
      <c r="S491">
        <v>0</v>
      </c>
      <c r="T491" s="1">
        <v>11.666666666666666</v>
      </c>
      <c r="U491" t="s">
        <v>61</v>
      </c>
    </row>
    <row r="492" spans="1:21" x14ac:dyDescent="0.35">
      <c r="A492" t="s">
        <v>34</v>
      </c>
      <c r="B492">
        <v>15</v>
      </c>
      <c r="C492" t="s">
        <v>52</v>
      </c>
      <c r="D492" t="s">
        <v>36</v>
      </c>
      <c r="E492" t="s">
        <v>44</v>
      </c>
      <c r="F492" t="s">
        <v>38</v>
      </c>
      <c r="G492" t="s">
        <v>45</v>
      </c>
      <c r="H492">
        <v>4</v>
      </c>
      <c r="I492">
        <v>0</v>
      </c>
      <c r="J492" t="s">
        <v>42</v>
      </c>
      <c r="K492" t="s">
        <v>42</v>
      </c>
      <c r="L492" t="s">
        <v>42</v>
      </c>
      <c r="M492" t="s">
        <v>42</v>
      </c>
      <c r="N492" t="s">
        <v>43</v>
      </c>
      <c r="O492">
        <v>3</v>
      </c>
      <c r="P492">
        <v>1</v>
      </c>
      <c r="Q492">
        <v>2</v>
      </c>
      <c r="R492" t="s">
        <v>61</v>
      </c>
      <c r="S492">
        <v>0</v>
      </c>
      <c r="T492" s="1">
        <v>13</v>
      </c>
      <c r="U492" t="s">
        <v>61</v>
      </c>
    </row>
    <row r="493" spans="1:21" x14ac:dyDescent="0.35">
      <c r="A493" t="s">
        <v>50</v>
      </c>
      <c r="B493">
        <v>16</v>
      </c>
      <c r="C493" t="s">
        <v>52</v>
      </c>
      <c r="D493" t="s">
        <v>36</v>
      </c>
      <c r="E493" t="s">
        <v>44</v>
      </c>
      <c r="F493" t="s">
        <v>48</v>
      </c>
      <c r="G493" t="s">
        <v>45</v>
      </c>
      <c r="H493">
        <v>1</v>
      </c>
      <c r="I493">
        <v>0</v>
      </c>
      <c r="J493" t="s">
        <v>42</v>
      </c>
      <c r="K493" t="s">
        <v>42</v>
      </c>
      <c r="L493" t="s">
        <v>42</v>
      </c>
      <c r="M493" t="s">
        <v>42</v>
      </c>
      <c r="N493" t="s">
        <v>43</v>
      </c>
      <c r="O493">
        <v>3</v>
      </c>
      <c r="P493">
        <v>3</v>
      </c>
      <c r="Q493">
        <v>3</v>
      </c>
      <c r="R493" t="s">
        <v>62</v>
      </c>
      <c r="S493">
        <v>0</v>
      </c>
      <c r="T493" s="1">
        <v>10.333333333333334</v>
      </c>
      <c r="U493" t="s">
        <v>61</v>
      </c>
    </row>
    <row r="494" spans="1:21" x14ac:dyDescent="0.35">
      <c r="A494" t="s">
        <v>34</v>
      </c>
      <c r="B494">
        <v>16</v>
      </c>
      <c r="C494" t="s">
        <v>35</v>
      </c>
      <c r="D494" t="s">
        <v>36</v>
      </c>
      <c r="E494" t="s">
        <v>44</v>
      </c>
      <c r="F494" t="s">
        <v>45</v>
      </c>
      <c r="G494" t="s">
        <v>45</v>
      </c>
      <c r="H494">
        <v>2</v>
      </c>
      <c r="I494">
        <v>0</v>
      </c>
      <c r="J494" t="s">
        <v>43</v>
      </c>
      <c r="K494" t="s">
        <v>42</v>
      </c>
      <c r="L494" t="s">
        <v>43</v>
      </c>
      <c r="M494" t="s">
        <v>43</v>
      </c>
      <c r="N494" t="s">
        <v>42</v>
      </c>
      <c r="O494">
        <v>4</v>
      </c>
      <c r="P494">
        <v>3</v>
      </c>
      <c r="Q494">
        <v>5</v>
      </c>
      <c r="R494" t="s">
        <v>61</v>
      </c>
      <c r="S494">
        <v>1</v>
      </c>
      <c r="T494" s="1">
        <v>12.333333333333334</v>
      </c>
      <c r="U494" t="s">
        <v>61</v>
      </c>
    </row>
    <row r="495" spans="1:21" x14ac:dyDescent="0.35">
      <c r="A495" t="s">
        <v>34</v>
      </c>
      <c r="B495">
        <v>16</v>
      </c>
      <c r="C495" t="s">
        <v>35</v>
      </c>
      <c r="D495" t="s">
        <v>36</v>
      </c>
      <c r="E495" t="s">
        <v>44</v>
      </c>
      <c r="F495" t="s">
        <v>45</v>
      </c>
      <c r="G495" t="s">
        <v>45</v>
      </c>
      <c r="H495">
        <v>1</v>
      </c>
      <c r="I495">
        <v>0</v>
      </c>
      <c r="J495" t="s">
        <v>43</v>
      </c>
      <c r="K495" t="s">
        <v>43</v>
      </c>
      <c r="L495" t="s">
        <v>43</v>
      </c>
      <c r="M495" t="s">
        <v>42</v>
      </c>
      <c r="N495" t="s">
        <v>43</v>
      </c>
      <c r="O495">
        <v>5</v>
      </c>
      <c r="P495">
        <v>3</v>
      </c>
      <c r="Q495">
        <v>4</v>
      </c>
      <c r="R495" t="s">
        <v>61</v>
      </c>
      <c r="S495">
        <v>0</v>
      </c>
      <c r="T495" s="1">
        <v>12.666666666666666</v>
      </c>
      <c r="U495" t="s">
        <v>62</v>
      </c>
    </row>
    <row r="496" spans="1:21" x14ac:dyDescent="0.35">
      <c r="A496" t="s">
        <v>34</v>
      </c>
      <c r="B496">
        <v>16</v>
      </c>
      <c r="C496" t="s">
        <v>35</v>
      </c>
      <c r="D496" t="s">
        <v>36</v>
      </c>
      <c r="E496" t="s">
        <v>44</v>
      </c>
      <c r="F496" t="s">
        <v>45</v>
      </c>
      <c r="G496" t="s">
        <v>38</v>
      </c>
      <c r="H496">
        <v>3</v>
      </c>
      <c r="I496">
        <v>0</v>
      </c>
      <c r="J496" t="s">
        <v>42</v>
      </c>
      <c r="K496" t="s">
        <v>42</v>
      </c>
      <c r="L496" t="s">
        <v>43</v>
      </c>
      <c r="M496" t="s">
        <v>43</v>
      </c>
      <c r="N496" t="s">
        <v>43</v>
      </c>
      <c r="O496">
        <v>5</v>
      </c>
      <c r="P496">
        <v>3</v>
      </c>
      <c r="Q496">
        <v>5</v>
      </c>
      <c r="R496" t="s">
        <v>61</v>
      </c>
      <c r="S496">
        <v>0</v>
      </c>
      <c r="T496" s="1">
        <v>12.666666666666666</v>
      </c>
      <c r="U496" t="s">
        <v>61</v>
      </c>
    </row>
    <row r="497" spans="1:21" x14ac:dyDescent="0.35">
      <c r="A497" t="s">
        <v>50</v>
      </c>
      <c r="B497">
        <v>16</v>
      </c>
      <c r="C497" t="s">
        <v>35</v>
      </c>
      <c r="D497" t="s">
        <v>36</v>
      </c>
      <c r="E497" t="s">
        <v>44</v>
      </c>
      <c r="F497" t="s">
        <v>48</v>
      </c>
      <c r="G497" t="s">
        <v>48</v>
      </c>
      <c r="H497">
        <v>1</v>
      </c>
      <c r="I497">
        <v>0</v>
      </c>
      <c r="J497" t="s">
        <v>42</v>
      </c>
      <c r="K497" t="s">
        <v>42</v>
      </c>
      <c r="L497" t="s">
        <v>43</v>
      </c>
      <c r="M497" t="s">
        <v>42</v>
      </c>
      <c r="N497" t="s">
        <v>43</v>
      </c>
      <c r="O497">
        <v>4</v>
      </c>
      <c r="P497">
        <v>5</v>
      </c>
      <c r="Q497">
        <v>5</v>
      </c>
      <c r="R497" t="s">
        <v>63</v>
      </c>
      <c r="S497">
        <v>1</v>
      </c>
      <c r="T497" s="1">
        <v>8.6666666666666661</v>
      </c>
      <c r="U497" t="s">
        <v>63</v>
      </c>
    </row>
    <row r="498" spans="1:21" x14ac:dyDescent="0.35">
      <c r="A498" t="s">
        <v>50</v>
      </c>
      <c r="B498">
        <v>16</v>
      </c>
      <c r="C498" t="s">
        <v>35</v>
      </c>
      <c r="D498" t="s">
        <v>36</v>
      </c>
      <c r="E498" t="s">
        <v>44</v>
      </c>
      <c r="F498" t="s">
        <v>48</v>
      </c>
      <c r="G498" t="s">
        <v>39</v>
      </c>
      <c r="H498">
        <v>3</v>
      </c>
      <c r="I498">
        <v>0</v>
      </c>
      <c r="J498" t="s">
        <v>43</v>
      </c>
      <c r="K498" t="s">
        <v>42</v>
      </c>
      <c r="L498" t="s">
        <v>43</v>
      </c>
      <c r="M498" t="s">
        <v>42</v>
      </c>
      <c r="N498" t="s">
        <v>42</v>
      </c>
      <c r="O498">
        <v>4</v>
      </c>
      <c r="P498">
        <v>4</v>
      </c>
      <c r="Q498">
        <v>3</v>
      </c>
      <c r="R498" t="s">
        <v>61</v>
      </c>
      <c r="S498">
        <v>0</v>
      </c>
      <c r="T498" s="1">
        <v>16</v>
      </c>
      <c r="U498" t="s">
        <v>61</v>
      </c>
    </row>
    <row r="499" spans="1:21" x14ac:dyDescent="0.35">
      <c r="A499" t="s">
        <v>50</v>
      </c>
      <c r="B499">
        <v>15</v>
      </c>
      <c r="C499" t="s">
        <v>35</v>
      </c>
      <c r="D499" t="s">
        <v>36</v>
      </c>
      <c r="E499" t="s">
        <v>44</v>
      </c>
      <c r="F499" t="s">
        <v>48</v>
      </c>
      <c r="G499" t="s">
        <v>45</v>
      </c>
      <c r="H499">
        <v>1</v>
      </c>
      <c r="I499">
        <v>0</v>
      </c>
      <c r="J499" t="s">
        <v>43</v>
      </c>
      <c r="K499" t="s">
        <v>42</v>
      </c>
      <c r="L499" t="s">
        <v>42</v>
      </c>
      <c r="M499" t="s">
        <v>42</v>
      </c>
      <c r="N499" t="s">
        <v>43</v>
      </c>
      <c r="O499">
        <v>5</v>
      </c>
      <c r="P499">
        <v>3</v>
      </c>
      <c r="Q499">
        <v>3</v>
      </c>
      <c r="R499" t="s">
        <v>61</v>
      </c>
      <c r="S499">
        <v>1</v>
      </c>
      <c r="T499" s="1">
        <v>12.333333333333334</v>
      </c>
      <c r="U499" t="s">
        <v>61</v>
      </c>
    </row>
    <row r="500" spans="1:21" x14ac:dyDescent="0.35">
      <c r="A500" t="s">
        <v>34</v>
      </c>
      <c r="B500">
        <v>15</v>
      </c>
      <c r="C500" t="s">
        <v>35</v>
      </c>
      <c r="D500" t="s">
        <v>36</v>
      </c>
      <c r="E500" t="s">
        <v>44</v>
      </c>
      <c r="F500" t="s">
        <v>48</v>
      </c>
      <c r="G500" t="s">
        <v>45</v>
      </c>
      <c r="H500">
        <v>2</v>
      </c>
      <c r="I500">
        <v>0</v>
      </c>
      <c r="J500" t="s">
        <v>42</v>
      </c>
      <c r="K500" t="s">
        <v>42</v>
      </c>
      <c r="L500" t="s">
        <v>43</v>
      </c>
      <c r="M500" t="s">
        <v>43</v>
      </c>
      <c r="N500" t="s">
        <v>43</v>
      </c>
      <c r="O500">
        <v>4</v>
      </c>
      <c r="P500">
        <v>3</v>
      </c>
      <c r="Q500">
        <v>5</v>
      </c>
      <c r="R500" t="s">
        <v>63</v>
      </c>
      <c r="S500">
        <v>1</v>
      </c>
      <c r="T500" s="1">
        <v>10.333333333333334</v>
      </c>
      <c r="U500" t="s">
        <v>61</v>
      </c>
    </row>
    <row r="501" spans="1:21" x14ac:dyDescent="0.35">
      <c r="A501" t="s">
        <v>50</v>
      </c>
      <c r="B501">
        <v>15</v>
      </c>
      <c r="C501" t="s">
        <v>35</v>
      </c>
      <c r="D501" t="s">
        <v>36</v>
      </c>
      <c r="E501" t="s">
        <v>37</v>
      </c>
      <c r="F501" t="s">
        <v>48</v>
      </c>
      <c r="G501" t="s">
        <v>45</v>
      </c>
      <c r="H501">
        <v>2</v>
      </c>
      <c r="I501">
        <v>0</v>
      </c>
      <c r="J501" t="s">
        <v>43</v>
      </c>
      <c r="K501" t="s">
        <v>42</v>
      </c>
      <c r="L501" t="s">
        <v>43</v>
      </c>
      <c r="M501" t="s">
        <v>42</v>
      </c>
      <c r="N501" t="s">
        <v>43</v>
      </c>
      <c r="O501">
        <v>5</v>
      </c>
      <c r="P501">
        <v>4</v>
      </c>
      <c r="Q501">
        <v>4</v>
      </c>
      <c r="R501" t="s">
        <v>61</v>
      </c>
      <c r="S501">
        <v>0</v>
      </c>
      <c r="T501" s="1">
        <v>16</v>
      </c>
      <c r="U501" t="s">
        <v>61</v>
      </c>
    </row>
    <row r="502" spans="1:21" x14ac:dyDescent="0.35">
      <c r="A502" t="s">
        <v>34</v>
      </c>
      <c r="B502">
        <v>15</v>
      </c>
      <c r="C502" t="s">
        <v>35</v>
      </c>
      <c r="D502" t="s">
        <v>36</v>
      </c>
      <c r="E502" t="s">
        <v>37</v>
      </c>
      <c r="F502" t="s">
        <v>45</v>
      </c>
      <c r="G502" t="s">
        <v>28</v>
      </c>
      <c r="H502">
        <v>4</v>
      </c>
      <c r="I502">
        <v>0</v>
      </c>
      <c r="J502" t="s">
        <v>42</v>
      </c>
      <c r="K502" t="s">
        <v>43</v>
      </c>
      <c r="L502" t="s">
        <v>43</v>
      </c>
      <c r="M502" t="s">
        <v>43</v>
      </c>
      <c r="N502" t="s">
        <v>43</v>
      </c>
      <c r="O502">
        <v>4</v>
      </c>
      <c r="P502">
        <v>3</v>
      </c>
      <c r="Q502">
        <v>3</v>
      </c>
      <c r="R502" t="s">
        <v>63</v>
      </c>
      <c r="S502">
        <v>0</v>
      </c>
      <c r="T502" s="1">
        <v>10</v>
      </c>
      <c r="U502" t="s">
        <v>61</v>
      </c>
    </row>
    <row r="503" spans="1:21" x14ac:dyDescent="0.35">
      <c r="A503" t="s">
        <v>34</v>
      </c>
      <c r="B503">
        <v>15</v>
      </c>
      <c r="C503" t="s">
        <v>35</v>
      </c>
      <c r="D503" t="s">
        <v>36</v>
      </c>
      <c r="E503" t="s">
        <v>44</v>
      </c>
      <c r="F503" t="s">
        <v>45</v>
      </c>
      <c r="G503" t="s">
        <v>45</v>
      </c>
      <c r="H503">
        <v>4</v>
      </c>
      <c r="I503">
        <v>0</v>
      </c>
      <c r="J503" t="s">
        <v>42</v>
      </c>
      <c r="K503" t="s">
        <v>42</v>
      </c>
      <c r="L503" t="s">
        <v>43</v>
      </c>
      <c r="M503" t="s">
        <v>43</v>
      </c>
      <c r="N503" t="s">
        <v>43</v>
      </c>
      <c r="O503">
        <v>5</v>
      </c>
      <c r="P503">
        <v>1</v>
      </c>
      <c r="Q503">
        <v>2</v>
      </c>
      <c r="R503" t="s">
        <v>61</v>
      </c>
      <c r="S503">
        <v>0</v>
      </c>
      <c r="T503" s="1">
        <v>10</v>
      </c>
      <c r="U503" t="s">
        <v>61</v>
      </c>
    </row>
    <row r="504" spans="1:21" x14ac:dyDescent="0.35">
      <c r="A504" t="s">
        <v>50</v>
      </c>
      <c r="B504">
        <v>16</v>
      </c>
      <c r="C504" t="s">
        <v>35</v>
      </c>
      <c r="D504" t="s">
        <v>36</v>
      </c>
      <c r="E504" t="s">
        <v>44</v>
      </c>
      <c r="F504" t="s">
        <v>48</v>
      </c>
      <c r="G504" t="s">
        <v>45</v>
      </c>
      <c r="H504">
        <v>3</v>
      </c>
      <c r="I504">
        <v>0</v>
      </c>
      <c r="J504" t="s">
        <v>43</v>
      </c>
      <c r="K504" t="s">
        <v>42</v>
      </c>
      <c r="L504" t="s">
        <v>43</v>
      </c>
      <c r="M504" t="s">
        <v>42</v>
      </c>
      <c r="N504" t="s">
        <v>43</v>
      </c>
      <c r="O504">
        <v>5</v>
      </c>
      <c r="P504">
        <v>3</v>
      </c>
      <c r="Q504">
        <v>3</v>
      </c>
      <c r="R504" t="s">
        <v>61</v>
      </c>
      <c r="S504">
        <v>0</v>
      </c>
      <c r="T504" s="1">
        <v>13.666666666666666</v>
      </c>
      <c r="U504" t="s">
        <v>61</v>
      </c>
    </row>
    <row r="505" spans="1:21" x14ac:dyDescent="0.35">
      <c r="A505" t="s">
        <v>50</v>
      </c>
      <c r="B505">
        <v>15</v>
      </c>
      <c r="C505" t="s">
        <v>52</v>
      </c>
      <c r="D505" t="s">
        <v>36</v>
      </c>
      <c r="E505" t="s">
        <v>44</v>
      </c>
      <c r="F505" t="s">
        <v>45</v>
      </c>
      <c r="G505" t="s">
        <v>45</v>
      </c>
      <c r="H505">
        <v>4</v>
      </c>
      <c r="I505">
        <v>0</v>
      </c>
      <c r="J505" t="s">
        <v>43</v>
      </c>
      <c r="K505" t="s">
        <v>42</v>
      </c>
      <c r="L505" t="s">
        <v>43</v>
      </c>
      <c r="M505" t="s">
        <v>42</v>
      </c>
      <c r="N505" t="s">
        <v>42</v>
      </c>
      <c r="O505">
        <v>1</v>
      </c>
      <c r="P505">
        <v>3</v>
      </c>
      <c r="Q505">
        <v>5</v>
      </c>
      <c r="R505" t="s">
        <v>62</v>
      </c>
      <c r="S505">
        <v>1</v>
      </c>
      <c r="T505" s="1">
        <v>11</v>
      </c>
      <c r="U505" t="s">
        <v>63</v>
      </c>
    </row>
    <row r="506" spans="1:21" x14ac:dyDescent="0.35">
      <c r="A506" t="s">
        <v>34</v>
      </c>
      <c r="B506">
        <v>16</v>
      </c>
      <c r="C506" t="s">
        <v>35</v>
      </c>
      <c r="D506" t="s">
        <v>47</v>
      </c>
      <c r="E506" t="s">
        <v>44</v>
      </c>
      <c r="F506" t="s">
        <v>28</v>
      </c>
      <c r="G506" t="s">
        <v>28</v>
      </c>
      <c r="H506">
        <v>3</v>
      </c>
      <c r="I506">
        <v>0</v>
      </c>
      <c r="J506" t="s">
        <v>43</v>
      </c>
      <c r="K506" t="s">
        <v>42</v>
      </c>
      <c r="L506" t="s">
        <v>43</v>
      </c>
      <c r="M506" t="s">
        <v>42</v>
      </c>
      <c r="N506" t="s">
        <v>42</v>
      </c>
      <c r="O506">
        <v>5</v>
      </c>
      <c r="P506">
        <v>4</v>
      </c>
      <c r="Q506">
        <v>5</v>
      </c>
      <c r="R506" t="s">
        <v>61</v>
      </c>
      <c r="S506">
        <v>1</v>
      </c>
      <c r="T506" s="1">
        <v>14.666666666666666</v>
      </c>
      <c r="U506" t="s">
        <v>61</v>
      </c>
    </row>
    <row r="507" spans="1:21" x14ac:dyDescent="0.35">
      <c r="A507" t="s">
        <v>50</v>
      </c>
      <c r="B507">
        <v>15</v>
      </c>
      <c r="C507" t="s">
        <v>35</v>
      </c>
      <c r="D507" t="s">
        <v>47</v>
      </c>
      <c r="E507" t="s">
        <v>37</v>
      </c>
      <c r="F507" t="s">
        <v>39</v>
      </c>
      <c r="G507" t="s">
        <v>39</v>
      </c>
      <c r="H507">
        <v>1</v>
      </c>
      <c r="I507">
        <v>0</v>
      </c>
      <c r="J507" t="s">
        <v>43</v>
      </c>
      <c r="K507" t="s">
        <v>43</v>
      </c>
      <c r="L507" t="s">
        <v>43</v>
      </c>
      <c r="M507" t="s">
        <v>42</v>
      </c>
      <c r="N507" t="s">
        <v>43</v>
      </c>
      <c r="O507">
        <v>5</v>
      </c>
      <c r="P507">
        <v>5</v>
      </c>
      <c r="Q507">
        <v>3</v>
      </c>
      <c r="R507" t="s">
        <v>61</v>
      </c>
      <c r="S507">
        <v>0</v>
      </c>
      <c r="T507" s="1">
        <v>13.666666666666666</v>
      </c>
      <c r="U507" t="s">
        <v>61</v>
      </c>
    </row>
    <row r="508" spans="1:21" x14ac:dyDescent="0.35">
      <c r="A508" t="s">
        <v>34</v>
      </c>
      <c r="B508">
        <v>16</v>
      </c>
      <c r="C508" t="s">
        <v>52</v>
      </c>
      <c r="D508" t="s">
        <v>36</v>
      </c>
      <c r="E508" t="s">
        <v>44</v>
      </c>
      <c r="F508" t="s">
        <v>48</v>
      </c>
      <c r="G508" t="s">
        <v>45</v>
      </c>
      <c r="H508">
        <v>3</v>
      </c>
      <c r="I508">
        <v>0</v>
      </c>
      <c r="J508" t="s">
        <v>42</v>
      </c>
      <c r="K508" t="s">
        <v>42</v>
      </c>
      <c r="L508" t="s">
        <v>43</v>
      </c>
      <c r="M508" t="s">
        <v>42</v>
      </c>
      <c r="N508" t="s">
        <v>43</v>
      </c>
      <c r="O508">
        <v>4</v>
      </c>
      <c r="P508">
        <v>1</v>
      </c>
      <c r="Q508">
        <v>2</v>
      </c>
      <c r="R508" t="s">
        <v>61</v>
      </c>
      <c r="S508">
        <v>0</v>
      </c>
      <c r="T508" s="1">
        <v>11</v>
      </c>
      <c r="U508" t="s">
        <v>61</v>
      </c>
    </row>
    <row r="509" spans="1:21" x14ac:dyDescent="0.35">
      <c r="A509" t="s">
        <v>34</v>
      </c>
      <c r="B509">
        <v>16</v>
      </c>
      <c r="C509" t="s">
        <v>35</v>
      </c>
      <c r="D509" t="s">
        <v>36</v>
      </c>
      <c r="E509" t="s">
        <v>44</v>
      </c>
      <c r="F509" t="s">
        <v>38</v>
      </c>
      <c r="G509" t="s">
        <v>45</v>
      </c>
      <c r="H509">
        <v>2</v>
      </c>
      <c r="I509">
        <v>1</v>
      </c>
      <c r="J509" t="s">
        <v>42</v>
      </c>
      <c r="K509" t="s">
        <v>43</v>
      </c>
      <c r="L509" t="s">
        <v>43</v>
      </c>
      <c r="M509" t="s">
        <v>42</v>
      </c>
      <c r="N509" t="s">
        <v>43</v>
      </c>
      <c r="O509">
        <v>3</v>
      </c>
      <c r="P509">
        <v>1</v>
      </c>
      <c r="Q509">
        <v>2</v>
      </c>
      <c r="R509" t="s">
        <v>63</v>
      </c>
      <c r="S509">
        <v>0</v>
      </c>
      <c r="T509" s="1">
        <v>9.3333333333333339</v>
      </c>
      <c r="U509" t="s">
        <v>61</v>
      </c>
    </row>
    <row r="510" spans="1:21" x14ac:dyDescent="0.35">
      <c r="A510" t="s">
        <v>50</v>
      </c>
      <c r="B510">
        <v>15</v>
      </c>
      <c r="C510" t="s">
        <v>35</v>
      </c>
      <c r="D510" t="s">
        <v>47</v>
      </c>
      <c r="E510" t="s">
        <v>44</v>
      </c>
      <c r="F510" t="s">
        <v>39</v>
      </c>
      <c r="G510" t="s">
        <v>45</v>
      </c>
      <c r="H510">
        <v>1</v>
      </c>
      <c r="I510">
        <v>0</v>
      </c>
      <c r="J510" t="s">
        <v>43</v>
      </c>
      <c r="K510" t="s">
        <v>43</v>
      </c>
      <c r="L510" t="s">
        <v>43</v>
      </c>
      <c r="M510" t="s">
        <v>43</v>
      </c>
      <c r="N510" t="s">
        <v>43</v>
      </c>
      <c r="O510">
        <v>3</v>
      </c>
      <c r="P510">
        <v>5</v>
      </c>
      <c r="Q510">
        <v>2</v>
      </c>
      <c r="R510" t="s">
        <v>63</v>
      </c>
      <c r="S510">
        <v>1</v>
      </c>
      <c r="T510" s="1">
        <v>17.666666666666668</v>
      </c>
      <c r="U510" t="s">
        <v>61</v>
      </c>
    </row>
    <row r="511" spans="1:21" x14ac:dyDescent="0.35">
      <c r="A511" t="s">
        <v>50</v>
      </c>
      <c r="B511">
        <v>15</v>
      </c>
      <c r="C511" t="s">
        <v>52</v>
      </c>
      <c r="D511" t="s">
        <v>36</v>
      </c>
      <c r="E511" t="s">
        <v>44</v>
      </c>
      <c r="F511" t="s">
        <v>28</v>
      </c>
      <c r="G511" t="s">
        <v>48</v>
      </c>
      <c r="H511">
        <v>2</v>
      </c>
      <c r="I511">
        <v>0</v>
      </c>
      <c r="J511" t="s">
        <v>43</v>
      </c>
      <c r="K511" t="s">
        <v>43</v>
      </c>
      <c r="L511" t="s">
        <v>43</v>
      </c>
      <c r="M511" t="s">
        <v>42</v>
      </c>
      <c r="N511" t="s">
        <v>42</v>
      </c>
      <c r="O511">
        <v>5</v>
      </c>
      <c r="P511">
        <v>4</v>
      </c>
      <c r="Q511">
        <v>2</v>
      </c>
      <c r="R511" t="s">
        <v>61</v>
      </c>
      <c r="S511">
        <v>1</v>
      </c>
      <c r="T511" s="1">
        <v>9.6666666666666661</v>
      </c>
      <c r="U511" t="s">
        <v>61</v>
      </c>
    </row>
    <row r="512" spans="1:21" x14ac:dyDescent="0.35">
      <c r="A512" t="s">
        <v>50</v>
      </c>
      <c r="B512">
        <v>16</v>
      </c>
      <c r="C512" t="s">
        <v>35</v>
      </c>
      <c r="D512" t="s">
        <v>36</v>
      </c>
      <c r="E512" t="s">
        <v>44</v>
      </c>
      <c r="F512" t="s">
        <v>39</v>
      </c>
      <c r="G512" t="s">
        <v>39</v>
      </c>
      <c r="H512">
        <v>2</v>
      </c>
      <c r="I512">
        <v>0</v>
      </c>
      <c r="J512" t="s">
        <v>43</v>
      </c>
      <c r="K512" t="s">
        <v>42</v>
      </c>
      <c r="L512" t="s">
        <v>43</v>
      </c>
      <c r="M512" t="s">
        <v>42</v>
      </c>
      <c r="N512" t="s">
        <v>43</v>
      </c>
      <c r="O512">
        <v>5</v>
      </c>
      <c r="P512">
        <v>4</v>
      </c>
      <c r="Q512">
        <v>4</v>
      </c>
      <c r="R512" t="s">
        <v>62</v>
      </c>
      <c r="S512">
        <v>1</v>
      </c>
      <c r="T512" s="1">
        <v>14.666666666666666</v>
      </c>
      <c r="U512" t="s">
        <v>62</v>
      </c>
    </row>
    <row r="513" spans="1:21" x14ac:dyDescent="0.35">
      <c r="A513" t="s">
        <v>50</v>
      </c>
      <c r="B513">
        <v>15</v>
      </c>
      <c r="C513" t="s">
        <v>35</v>
      </c>
      <c r="D513" t="s">
        <v>36</v>
      </c>
      <c r="E513" t="s">
        <v>44</v>
      </c>
      <c r="F513" t="s">
        <v>45</v>
      </c>
      <c r="G513" t="s">
        <v>39</v>
      </c>
      <c r="H513">
        <v>2</v>
      </c>
      <c r="I513">
        <v>0</v>
      </c>
      <c r="J513" t="s">
        <v>43</v>
      </c>
      <c r="K513" t="s">
        <v>42</v>
      </c>
      <c r="L513" t="s">
        <v>43</v>
      </c>
      <c r="M513" t="s">
        <v>42</v>
      </c>
      <c r="N513" t="s">
        <v>43</v>
      </c>
      <c r="O513">
        <v>4</v>
      </c>
      <c r="P513">
        <v>4</v>
      </c>
      <c r="Q513">
        <v>3</v>
      </c>
      <c r="R513" t="s">
        <v>61</v>
      </c>
      <c r="S513">
        <v>1</v>
      </c>
      <c r="T513" s="1">
        <v>15.666666666666666</v>
      </c>
      <c r="U513" t="s">
        <v>61</v>
      </c>
    </row>
    <row r="514" spans="1:21" x14ac:dyDescent="0.35">
      <c r="A514" t="s">
        <v>50</v>
      </c>
      <c r="B514">
        <v>16</v>
      </c>
      <c r="C514" t="s">
        <v>35</v>
      </c>
      <c r="D514" t="s">
        <v>36</v>
      </c>
      <c r="E514" t="s">
        <v>44</v>
      </c>
      <c r="F514" t="s">
        <v>45</v>
      </c>
      <c r="G514" t="s">
        <v>48</v>
      </c>
      <c r="H514">
        <v>1</v>
      </c>
      <c r="I514">
        <v>0</v>
      </c>
      <c r="J514" t="s">
        <v>43</v>
      </c>
      <c r="K514" t="s">
        <v>43</v>
      </c>
      <c r="L514" t="s">
        <v>43</v>
      </c>
      <c r="M514" t="s">
        <v>42</v>
      </c>
      <c r="N514" t="s">
        <v>43</v>
      </c>
      <c r="O514">
        <v>5</v>
      </c>
      <c r="P514">
        <v>4</v>
      </c>
      <c r="Q514">
        <v>2</v>
      </c>
      <c r="R514" t="s">
        <v>62</v>
      </c>
      <c r="S514">
        <v>0</v>
      </c>
      <c r="T514" s="1">
        <v>14.333333333333334</v>
      </c>
      <c r="U514" t="s">
        <v>61</v>
      </c>
    </row>
    <row r="515" spans="1:21" x14ac:dyDescent="0.35">
      <c r="A515" t="s">
        <v>50</v>
      </c>
      <c r="B515">
        <v>17</v>
      </c>
      <c r="C515" t="s">
        <v>52</v>
      </c>
      <c r="D515" t="s">
        <v>36</v>
      </c>
      <c r="E515" t="s">
        <v>44</v>
      </c>
      <c r="F515" t="s">
        <v>45</v>
      </c>
      <c r="G515" t="s">
        <v>45</v>
      </c>
      <c r="H515">
        <v>2</v>
      </c>
      <c r="I515">
        <v>1</v>
      </c>
      <c r="J515" t="s">
        <v>43</v>
      </c>
      <c r="K515" t="s">
        <v>42</v>
      </c>
      <c r="L515" t="s">
        <v>43</v>
      </c>
      <c r="M515" t="s">
        <v>42</v>
      </c>
      <c r="N515" t="s">
        <v>43</v>
      </c>
      <c r="O515">
        <v>5</v>
      </c>
      <c r="P515">
        <v>2</v>
      </c>
      <c r="Q515">
        <v>4</v>
      </c>
      <c r="R515" t="s">
        <v>63</v>
      </c>
      <c r="S515">
        <v>1</v>
      </c>
      <c r="T515" s="1">
        <v>11.333333333333334</v>
      </c>
      <c r="U515" t="s">
        <v>63</v>
      </c>
    </row>
    <row r="516" spans="1:21" x14ac:dyDescent="0.35">
      <c r="A516" t="s">
        <v>50</v>
      </c>
      <c r="B516">
        <v>15</v>
      </c>
      <c r="C516" t="s">
        <v>35</v>
      </c>
      <c r="D516" t="s">
        <v>36</v>
      </c>
      <c r="E516" t="s">
        <v>44</v>
      </c>
      <c r="F516" t="s">
        <v>45</v>
      </c>
      <c r="G516" t="s">
        <v>45</v>
      </c>
      <c r="H516">
        <v>1</v>
      </c>
      <c r="I516">
        <v>0</v>
      </c>
      <c r="J516" t="s">
        <v>43</v>
      </c>
      <c r="K516" t="s">
        <v>43</v>
      </c>
      <c r="L516" t="s">
        <v>43</v>
      </c>
      <c r="M516" t="s">
        <v>43</v>
      </c>
      <c r="N516" t="s">
        <v>43</v>
      </c>
      <c r="O516">
        <v>3</v>
      </c>
      <c r="P516">
        <v>4</v>
      </c>
      <c r="Q516">
        <v>3</v>
      </c>
      <c r="R516" t="s">
        <v>61</v>
      </c>
      <c r="S516">
        <v>1</v>
      </c>
      <c r="T516" s="1">
        <v>13.666666666666666</v>
      </c>
      <c r="U516" t="s">
        <v>62</v>
      </c>
    </row>
    <row r="517" spans="1:21" x14ac:dyDescent="0.35">
      <c r="A517" t="s">
        <v>34</v>
      </c>
      <c r="B517">
        <v>15</v>
      </c>
      <c r="C517" t="s">
        <v>35</v>
      </c>
      <c r="D517" t="s">
        <v>36</v>
      </c>
      <c r="E517" t="s">
        <v>44</v>
      </c>
      <c r="F517" t="s">
        <v>38</v>
      </c>
      <c r="G517" t="s">
        <v>48</v>
      </c>
      <c r="H517">
        <v>2</v>
      </c>
      <c r="I517">
        <v>0</v>
      </c>
      <c r="J517" t="s">
        <v>43</v>
      </c>
      <c r="K517" t="s">
        <v>43</v>
      </c>
      <c r="L517" t="s">
        <v>43</v>
      </c>
      <c r="M517" t="s">
        <v>43</v>
      </c>
      <c r="N517" t="s">
        <v>43</v>
      </c>
      <c r="O517">
        <v>3</v>
      </c>
      <c r="P517">
        <v>2</v>
      </c>
      <c r="Q517">
        <v>3</v>
      </c>
      <c r="R517" t="s">
        <v>61</v>
      </c>
      <c r="S517">
        <v>0</v>
      </c>
      <c r="T517" s="1">
        <v>14</v>
      </c>
      <c r="U517" t="s">
        <v>62</v>
      </c>
    </row>
    <row r="518" spans="1:21" x14ac:dyDescent="0.35">
      <c r="A518" t="s">
        <v>50</v>
      </c>
      <c r="B518">
        <v>15</v>
      </c>
      <c r="C518" t="s">
        <v>35</v>
      </c>
      <c r="D518" t="s">
        <v>36</v>
      </c>
      <c r="E518" t="s">
        <v>44</v>
      </c>
      <c r="F518" t="s">
        <v>48</v>
      </c>
      <c r="G518" t="s">
        <v>48</v>
      </c>
      <c r="H518">
        <v>4</v>
      </c>
      <c r="I518">
        <v>0</v>
      </c>
      <c r="J518" t="s">
        <v>43</v>
      </c>
      <c r="K518" t="s">
        <v>42</v>
      </c>
      <c r="L518" t="s">
        <v>43</v>
      </c>
      <c r="M518" t="s">
        <v>42</v>
      </c>
      <c r="N518" t="s">
        <v>43</v>
      </c>
      <c r="O518">
        <v>5</v>
      </c>
      <c r="P518">
        <v>5</v>
      </c>
      <c r="Q518">
        <v>4</v>
      </c>
      <c r="R518" t="s">
        <v>62</v>
      </c>
      <c r="S518">
        <v>1</v>
      </c>
      <c r="T518" s="1">
        <v>13.333333333333334</v>
      </c>
      <c r="U518" t="s">
        <v>62</v>
      </c>
    </row>
    <row r="519" spans="1:21" x14ac:dyDescent="0.35">
      <c r="A519" t="s">
        <v>34</v>
      </c>
      <c r="B519">
        <v>16</v>
      </c>
      <c r="C519" t="s">
        <v>35</v>
      </c>
      <c r="D519" t="s">
        <v>47</v>
      </c>
      <c r="E519" t="s">
        <v>44</v>
      </c>
      <c r="F519" t="s">
        <v>45</v>
      </c>
      <c r="G519" t="s">
        <v>28</v>
      </c>
      <c r="H519">
        <v>2</v>
      </c>
      <c r="I519">
        <v>0</v>
      </c>
      <c r="J519" t="s">
        <v>43</v>
      </c>
      <c r="K519" t="s">
        <v>42</v>
      </c>
      <c r="L519" t="s">
        <v>43</v>
      </c>
      <c r="M519" t="s">
        <v>42</v>
      </c>
      <c r="N519" t="s">
        <v>42</v>
      </c>
      <c r="O519">
        <v>4</v>
      </c>
      <c r="P519">
        <v>2</v>
      </c>
      <c r="Q519">
        <v>2</v>
      </c>
      <c r="R519" t="s">
        <v>61</v>
      </c>
      <c r="S519">
        <v>1</v>
      </c>
      <c r="T519" s="1">
        <v>13</v>
      </c>
      <c r="U519" t="s">
        <v>62</v>
      </c>
    </row>
    <row r="520" spans="1:21" x14ac:dyDescent="0.35">
      <c r="A520" t="s">
        <v>50</v>
      </c>
      <c r="B520">
        <v>16</v>
      </c>
      <c r="C520" t="s">
        <v>35</v>
      </c>
      <c r="D520" t="s">
        <v>36</v>
      </c>
      <c r="E520" t="s">
        <v>44</v>
      </c>
      <c r="F520" t="s">
        <v>28</v>
      </c>
      <c r="G520" t="s">
        <v>45</v>
      </c>
      <c r="H520">
        <v>1</v>
      </c>
      <c r="I520">
        <v>0</v>
      </c>
      <c r="J520" t="s">
        <v>43</v>
      </c>
      <c r="K520" t="s">
        <v>42</v>
      </c>
      <c r="L520" t="s">
        <v>43</v>
      </c>
      <c r="M520" t="s">
        <v>42</v>
      </c>
      <c r="N520" t="s">
        <v>43</v>
      </c>
      <c r="O520">
        <v>3</v>
      </c>
      <c r="P520">
        <v>4</v>
      </c>
      <c r="Q520">
        <v>4</v>
      </c>
      <c r="R520" t="s">
        <v>61</v>
      </c>
      <c r="S520">
        <v>0</v>
      </c>
      <c r="T520" s="1">
        <v>12.666666666666666</v>
      </c>
      <c r="U520" t="s">
        <v>63</v>
      </c>
    </row>
    <row r="521" spans="1:21" x14ac:dyDescent="0.35">
      <c r="A521" t="s">
        <v>34</v>
      </c>
      <c r="B521">
        <v>16</v>
      </c>
      <c r="C521" t="s">
        <v>35</v>
      </c>
      <c r="D521" t="s">
        <v>36</v>
      </c>
      <c r="E521" t="s">
        <v>44</v>
      </c>
      <c r="F521" t="s">
        <v>45</v>
      </c>
      <c r="G521" t="s">
        <v>45</v>
      </c>
      <c r="H521">
        <v>2</v>
      </c>
      <c r="I521">
        <v>0</v>
      </c>
      <c r="J521" t="s">
        <v>43</v>
      </c>
      <c r="K521" t="s">
        <v>43</v>
      </c>
      <c r="L521" t="s">
        <v>43</v>
      </c>
      <c r="M521" t="s">
        <v>43</v>
      </c>
      <c r="N521" t="s">
        <v>42</v>
      </c>
      <c r="O521">
        <v>5</v>
      </c>
      <c r="P521">
        <v>4</v>
      </c>
      <c r="Q521">
        <v>4</v>
      </c>
      <c r="R521" t="s">
        <v>61</v>
      </c>
      <c r="S521">
        <v>1</v>
      </c>
      <c r="T521" s="1">
        <v>11.333333333333334</v>
      </c>
      <c r="U521" t="s">
        <v>61</v>
      </c>
    </row>
    <row r="522" spans="1:21" x14ac:dyDescent="0.35">
      <c r="A522" t="s">
        <v>50</v>
      </c>
      <c r="B522">
        <v>15</v>
      </c>
      <c r="C522" t="s">
        <v>35</v>
      </c>
      <c r="D522" t="s">
        <v>36</v>
      </c>
      <c r="E522" t="s">
        <v>44</v>
      </c>
      <c r="F522" t="s">
        <v>48</v>
      </c>
      <c r="G522" t="s">
        <v>48</v>
      </c>
      <c r="H522">
        <v>1</v>
      </c>
      <c r="I522">
        <v>0</v>
      </c>
      <c r="J522" t="s">
        <v>42</v>
      </c>
      <c r="K522" t="s">
        <v>43</v>
      </c>
      <c r="L522" t="s">
        <v>43</v>
      </c>
      <c r="M522" t="s">
        <v>43</v>
      </c>
      <c r="N522" t="s">
        <v>43</v>
      </c>
      <c r="O522">
        <v>5</v>
      </c>
      <c r="P522">
        <v>5</v>
      </c>
      <c r="Q522">
        <v>5</v>
      </c>
      <c r="R522" t="s">
        <v>61</v>
      </c>
      <c r="S522">
        <v>0</v>
      </c>
      <c r="T522" s="1">
        <v>9</v>
      </c>
      <c r="U522" t="s">
        <v>63</v>
      </c>
    </row>
    <row r="523" spans="1:21" x14ac:dyDescent="0.35">
      <c r="A523" t="s">
        <v>34</v>
      </c>
      <c r="B523">
        <v>15</v>
      </c>
      <c r="C523" t="s">
        <v>35</v>
      </c>
      <c r="D523" t="s">
        <v>47</v>
      </c>
      <c r="E523" t="s">
        <v>37</v>
      </c>
      <c r="F523" t="s">
        <v>45</v>
      </c>
      <c r="G523" t="s">
        <v>45</v>
      </c>
      <c r="H523">
        <v>2</v>
      </c>
      <c r="I523">
        <v>0</v>
      </c>
      <c r="J523" t="s">
        <v>42</v>
      </c>
      <c r="K523" t="s">
        <v>43</v>
      </c>
      <c r="L523" t="s">
        <v>43</v>
      </c>
      <c r="M523" t="s">
        <v>42</v>
      </c>
      <c r="N523" t="s">
        <v>42</v>
      </c>
      <c r="O523">
        <v>5</v>
      </c>
      <c r="P523">
        <v>3</v>
      </c>
      <c r="Q523">
        <v>2</v>
      </c>
      <c r="R523" t="s">
        <v>61</v>
      </c>
      <c r="S523">
        <v>0</v>
      </c>
      <c r="T523" s="1">
        <v>10.666666666666666</v>
      </c>
      <c r="U523" t="s">
        <v>61</v>
      </c>
    </row>
    <row r="524" spans="1:21" x14ac:dyDescent="0.35">
      <c r="A524" t="s">
        <v>34</v>
      </c>
      <c r="B524">
        <v>19</v>
      </c>
      <c r="C524" t="s">
        <v>35</v>
      </c>
      <c r="D524" t="s">
        <v>36</v>
      </c>
      <c r="E524" t="s">
        <v>44</v>
      </c>
      <c r="F524" t="s">
        <v>38</v>
      </c>
      <c r="G524" t="s">
        <v>45</v>
      </c>
      <c r="H524">
        <v>2</v>
      </c>
      <c r="I524">
        <v>2</v>
      </c>
      <c r="J524" t="s">
        <v>43</v>
      </c>
      <c r="K524" t="s">
        <v>42</v>
      </c>
      <c r="L524" t="s">
        <v>43</v>
      </c>
      <c r="M524" t="s">
        <v>43</v>
      </c>
      <c r="N524" t="s">
        <v>43</v>
      </c>
      <c r="O524">
        <v>3</v>
      </c>
      <c r="P524">
        <v>4</v>
      </c>
      <c r="Q524">
        <v>2</v>
      </c>
      <c r="R524" t="s">
        <v>61</v>
      </c>
      <c r="S524">
        <v>0</v>
      </c>
      <c r="T524" s="1">
        <v>10</v>
      </c>
      <c r="U524" t="s">
        <v>61</v>
      </c>
    </row>
    <row r="525" spans="1:21" x14ac:dyDescent="0.35">
      <c r="A525" t="s">
        <v>50</v>
      </c>
      <c r="B525">
        <v>16</v>
      </c>
      <c r="C525" t="s">
        <v>52</v>
      </c>
      <c r="D525" t="s">
        <v>36</v>
      </c>
      <c r="E525" t="s">
        <v>44</v>
      </c>
      <c r="F525" t="s">
        <v>39</v>
      </c>
      <c r="G525" t="s">
        <v>39</v>
      </c>
      <c r="H525">
        <v>1</v>
      </c>
      <c r="I525">
        <v>0</v>
      </c>
      <c r="J525" t="s">
        <v>43</v>
      </c>
      <c r="K525" t="s">
        <v>43</v>
      </c>
      <c r="L525" t="s">
        <v>43</v>
      </c>
      <c r="M525" t="s">
        <v>42</v>
      </c>
      <c r="N525" t="s">
        <v>43</v>
      </c>
      <c r="O525">
        <v>3</v>
      </c>
      <c r="P525">
        <v>5</v>
      </c>
      <c r="Q525">
        <v>5</v>
      </c>
      <c r="R525" t="s">
        <v>62</v>
      </c>
      <c r="S525">
        <v>0</v>
      </c>
      <c r="T525" s="1">
        <v>14.333333333333334</v>
      </c>
      <c r="U525" t="s">
        <v>63</v>
      </c>
    </row>
    <row r="526" spans="1:21" x14ac:dyDescent="0.35">
      <c r="A526" t="s">
        <v>50</v>
      </c>
      <c r="B526">
        <v>16</v>
      </c>
      <c r="C526" t="s">
        <v>35</v>
      </c>
      <c r="D526" t="s">
        <v>36</v>
      </c>
      <c r="E526" t="s">
        <v>44</v>
      </c>
      <c r="F526" t="s">
        <v>45</v>
      </c>
      <c r="G526" t="s">
        <v>45</v>
      </c>
      <c r="H526">
        <v>3</v>
      </c>
      <c r="I526">
        <v>0</v>
      </c>
      <c r="J526" t="s">
        <v>43</v>
      </c>
      <c r="K526" t="s">
        <v>42</v>
      </c>
      <c r="L526" t="s">
        <v>43</v>
      </c>
      <c r="M526" t="s">
        <v>43</v>
      </c>
      <c r="N526" t="s">
        <v>42</v>
      </c>
      <c r="O526">
        <v>3</v>
      </c>
      <c r="P526">
        <v>2</v>
      </c>
      <c r="Q526">
        <v>3</v>
      </c>
      <c r="R526" t="s">
        <v>61</v>
      </c>
      <c r="S526">
        <v>1</v>
      </c>
      <c r="T526" s="1">
        <v>12.666666666666666</v>
      </c>
      <c r="U526" t="s">
        <v>62</v>
      </c>
    </row>
    <row r="527" spans="1:21" x14ac:dyDescent="0.35">
      <c r="A527" t="s">
        <v>34</v>
      </c>
      <c r="B527">
        <v>15</v>
      </c>
      <c r="C527" t="s">
        <v>52</v>
      </c>
      <c r="D527" t="s">
        <v>36</v>
      </c>
      <c r="E527" t="s">
        <v>44</v>
      </c>
      <c r="F527" t="s">
        <v>48</v>
      </c>
      <c r="G527" t="s">
        <v>39</v>
      </c>
      <c r="H527">
        <v>3</v>
      </c>
      <c r="I527">
        <v>0</v>
      </c>
      <c r="J527" t="s">
        <v>43</v>
      </c>
      <c r="K527" t="s">
        <v>42</v>
      </c>
      <c r="L527" t="s">
        <v>43</v>
      </c>
      <c r="M527" t="s">
        <v>43</v>
      </c>
      <c r="N527" t="s">
        <v>42</v>
      </c>
      <c r="O527">
        <v>4</v>
      </c>
      <c r="P527">
        <v>2</v>
      </c>
      <c r="Q527">
        <v>2</v>
      </c>
      <c r="R527" t="s">
        <v>61</v>
      </c>
      <c r="S527">
        <v>0</v>
      </c>
      <c r="T527" s="1">
        <v>11</v>
      </c>
      <c r="U527" t="s">
        <v>62</v>
      </c>
    </row>
    <row r="528" spans="1:21" x14ac:dyDescent="0.35">
      <c r="A528" t="s">
        <v>34</v>
      </c>
      <c r="B528">
        <v>18</v>
      </c>
      <c r="C528" t="s">
        <v>35</v>
      </c>
      <c r="D528" t="s">
        <v>36</v>
      </c>
      <c r="E528" t="s">
        <v>44</v>
      </c>
      <c r="F528" t="s">
        <v>48</v>
      </c>
      <c r="G528" t="s">
        <v>45</v>
      </c>
      <c r="H528">
        <v>2</v>
      </c>
      <c r="I528">
        <v>3</v>
      </c>
      <c r="J528" t="s">
        <v>43</v>
      </c>
      <c r="K528" t="s">
        <v>42</v>
      </c>
      <c r="L528" t="s">
        <v>43</v>
      </c>
      <c r="M528" t="s">
        <v>42</v>
      </c>
      <c r="N528" t="s">
        <v>42</v>
      </c>
      <c r="O528">
        <v>5</v>
      </c>
      <c r="P528">
        <v>4</v>
      </c>
      <c r="Q528">
        <v>5</v>
      </c>
      <c r="R528" t="s">
        <v>63</v>
      </c>
      <c r="S528">
        <v>2</v>
      </c>
      <c r="T528" s="1">
        <v>9</v>
      </c>
      <c r="U528" t="s">
        <v>62</v>
      </c>
    </row>
    <row r="529" spans="1:21" x14ac:dyDescent="0.35">
      <c r="A529" t="s">
        <v>34</v>
      </c>
      <c r="B529">
        <v>17</v>
      </c>
      <c r="C529" t="s">
        <v>35</v>
      </c>
      <c r="D529" t="s">
        <v>47</v>
      </c>
      <c r="E529" t="s">
        <v>37</v>
      </c>
      <c r="F529" t="s">
        <v>45</v>
      </c>
      <c r="G529" t="s">
        <v>45</v>
      </c>
      <c r="H529">
        <v>1</v>
      </c>
      <c r="I529">
        <v>0</v>
      </c>
      <c r="J529" t="s">
        <v>43</v>
      </c>
      <c r="K529" t="s">
        <v>42</v>
      </c>
      <c r="L529" t="s">
        <v>43</v>
      </c>
      <c r="M529" t="s">
        <v>43</v>
      </c>
      <c r="N529" t="s">
        <v>43</v>
      </c>
      <c r="O529">
        <v>3</v>
      </c>
      <c r="P529">
        <v>2</v>
      </c>
      <c r="Q529">
        <v>2</v>
      </c>
      <c r="R529" t="s">
        <v>62</v>
      </c>
      <c r="S529">
        <v>1</v>
      </c>
      <c r="T529" s="1">
        <v>10.666666666666666</v>
      </c>
      <c r="U529" t="s">
        <v>62</v>
      </c>
    </row>
    <row r="530" spans="1:21" x14ac:dyDescent="0.35">
      <c r="A530" t="s">
        <v>34</v>
      </c>
      <c r="B530">
        <v>15</v>
      </c>
      <c r="C530" t="s">
        <v>35</v>
      </c>
      <c r="D530" t="s">
        <v>36</v>
      </c>
      <c r="E530" t="s">
        <v>44</v>
      </c>
      <c r="F530" t="s">
        <v>38</v>
      </c>
      <c r="G530" t="s">
        <v>45</v>
      </c>
      <c r="H530">
        <v>1</v>
      </c>
      <c r="I530">
        <v>0</v>
      </c>
      <c r="J530" t="s">
        <v>43</v>
      </c>
      <c r="K530" t="s">
        <v>42</v>
      </c>
      <c r="L530" t="s">
        <v>43</v>
      </c>
      <c r="M530" t="s">
        <v>42</v>
      </c>
      <c r="N530" t="s">
        <v>42</v>
      </c>
      <c r="O530">
        <v>4</v>
      </c>
      <c r="P530">
        <v>3</v>
      </c>
      <c r="Q530">
        <v>3</v>
      </c>
      <c r="R530" t="s">
        <v>62</v>
      </c>
      <c r="S530">
        <v>0</v>
      </c>
      <c r="T530" s="1">
        <v>12</v>
      </c>
      <c r="U530" t="s">
        <v>62</v>
      </c>
    </row>
    <row r="531" spans="1:21" x14ac:dyDescent="0.35">
      <c r="A531" t="s">
        <v>34</v>
      </c>
      <c r="B531">
        <v>17</v>
      </c>
      <c r="C531" t="s">
        <v>35</v>
      </c>
      <c r="D531" t="s">
        <v>47</v>
      </c>
      <c r="E531" t="s">
        <v>44</v>
      </c>
      <c r="F531" t="s">
        <v>45</v>
      </c>
      <c r="G531" t="s">
        <v>45</v>
      </c>
      <c r="H531">
        <v>1</v>
      </c>
      <c r="I531">
        <v>0</v>
      </c>
      <c r="J531" t="s">
        <v>43</v>
      </c>
      <c r="K531" t="s">
        <v>42</v>
      </c>
      <c r="L531" t="s">
        <v>43</v>
      </c>
      <c r="M531" t="s">
        <v>43</v>
      </c>
      <c r="N531" t="s">
        <v>42</v>
      </c>
      <c r="O531">
        <v>3</v>
      </c>
      <c r="P531">
        <v>4</v>
      </c>
      <c r="Q531">
        <v>4</v>
      </c>
      <c r="R531" t="s">
        <v>61</v>
      </c>
      <c r="S531">
        <v>1</v>
      </c>
      <c r="T531" s="1">
        <v>12.333333333333334</v>
      </c>
      <c r="U531" t="s">
        <v>62</v>
      </c>
    </row>
    <row r="532" spans="1:21" x14ac:dyDescent="0.35">
      <c r="A532" t="s">
        <v>34</v>
      </c>
      <c r="B532">
        <v>16</v>
      </c>
      <c r="C532" t="s">
        <v>35</v>
      </c>
      <c r="D532" t="s">
        <v>36</v>
      </c>
      <c r="E532" t="s">
        <v>37</v>
      </c>
      <c r="F532" t="s">
        <v>48</v>
      </c>
      <c r="G532" t="s">
        <v>45</v>
      </c>
      <c r="H532">
        <v>1</v>
      </c>
      <c r="I532">
        <v>0</v>
      </c>
      <c r="J532" t="s">
        <v>43</v>
      </c>
      <c r="K532" t="s">
        <v>43</v>
      </c>
      <c r="L532" t="s">
        <v>43</v>
      </c>
      <c r="M532" t="s">
        <v>43</v>
      </c>
      <c r="N532" t="s">
        <v>43</v>
      </c>
      <c r="O532">
        <v>3</v>
      </c>
      <c r="P532">
        <v>2</v>
      </c>
      <c r="Q532">
        <v>1</v>
      </c>
      <c r="R532" t="s">
        <v>63</v>
      </c>
      <c r="S532">
        <v>1</v>
      </c>
      <c r="T532" s="1">
        <v>14</v>
      </c>
      <c r="U532" t="s">
        <v>63</v>
      </c>
    </row>
    <row r="533" spans="1:21" x14ac:dyDescent="0.35">
      <c r="A533" t="s">
        <v>50</v>
      </c>
      <c r="B533">
        <v>16</v>
      </c>
      <c r="C533" t="s">
        <v>35</v>
      </c>
      <c r="D533" t="s">
        <v>36</v>
      </c>
      <c r="E533" t="s">
        <v>44</v>
      </c>
      <c r="F533" t="s">
        <v>38</v>
      </c>
      <c r="G533" t="s">
        <v>45</v>
      </c>
      <c r="H533">
        <v>1</v>
      </c>
      <c r="I533">
        <v>0</v>
      </c>
      <c r="J533" t="s">
        <v>43</v>
      </c>
      <c r="K533" t="s">
        <v>43</v>
      </c>
      <c r="L533" t="s">
        <v>43</v>
      </c>
      <c r="M533" t="s">
        <v>43</v>
      </c>
      <c r="N533" t="s">
        <v>43</v>
      </c>
      <c r="O533">
        <v>3</v>
      </c>
      <c r="P533">
        <v>2</v>
      </c>
      <c r="Q533">
        <v>1</v>
      </c>
      <c r="R533" t="s">
        <v>61</v>
      </c>
      <c r="S533">
        <v>0</v>
      </c>
      <c r="T533" s="1">
        <v>9.6666666666666661</v>
      </c>
      <c r="U533" t="s">
        <v>61</v>
      </c>
    </row>
    <row r="534" spans="1:21" x14ac:dyDescent="0.35">
      <c r="A534" t="s">
        <v>34</v>
      </c>
      <c r="B534">
        <v>16</v>
      </c>
      <c r="C534" t="s">
        <v>35</v>
      </c>
      <c r="D534" t="s">
        <v>36</v>
      </c>
      <c r="E534" t="s">
        <v>37</v>
      </c>
      <c r="F534" t="s">
        <v>45</v>
      </c>
      <c r="G534" t="s">
        <v>45</v>
      </c>
      <c r="H534">
        <v>1</v>
      </c>
      <c r="I534">
        <v>1</v>
      </c>
      <c r="J534" t="s">
        <v>43</v>
      </c>
      <c r="K534" t="s">
        <v>43</v>
      </c>
      <c r="L534" t="s">
        <v>43</v>
      </c>
      <c r="M534" t="s">
        <v>43</v>
      </c>
      <c r="N534" t="s">
        <v>43</v>
      </c>
      <c r="O534">
        <v>5</v>
      </c>
      <c r="P534">
        <v>3</v>
      </c>
      <c r="Q534">
        <v>4</v>
      </c>
      <c r="R534" t="s">
        <v>63</v>
      </c>
      <c r="S534">
        <v>1</v>
      </c>
      <c r="T534" s="1">
        <v>11.666666666666666</v>
      </c>
      <c r="U534" t="s">
        <v>61</v>
      </c>
    </row>
    <row r="535" spans="1:21" x14ac:dyDescent="0.35">
      <c r="A535" t="s">
        <v>50</v>
      </c>
      <c r="B535">
        <v>15</v>
      </c>
      <c r="C535" t="s">
        <v>52</v>
      </c>
      <c r="D535" t="s">
        <v>36</v>
      </c>
      <c r="E535" t="s">
        <v>44</v>
      </c>
      <c r="F535" t="s">
        <v>38</v>
      </c>
      <c r="G535" t="s">
        <v>39</v>
      </c>
      <c r="H535">
        <v>2</v>
      </c>
      <c r="I535">
        <v>0</v>
      </c>
      <c r="J535" t="s">
        <v>43</v>
      </c>
      <c r="K535" t="s">
        <v>42</v>
      </c>
      <c r="L535" t="s">
        <v>43</v>
      </c>
      <c r="M535" t="s">
        <v>43</v>
      </c>
      <c r="N535" t="s">
        <v>42</v>
      </c>
      <c r="O535">
        <v>5</v>
      </c>
      <c r="P535">
        <v>3</v>
      </c>
      <c r="Q535">
        <v>3</v>
      </c>
      <c r="R535" t="s">
        <v>61</v>
      </c>
      <c r="S535">
        <v>1</v>
      </c>
      <c r="T535" s="1">
        <v>11.333333333333334</v>
      </c>
      <c r="U535" t="s">
        <v>61</v>
      </c>
    </row>
    <row r="536" spans="1:21" x14ac:dyDescent="0.35">
      <c r="A536" t="s">
        <v>34</v>
      </c>
      <c r="B536">
        <v>15</v>
      </c>
      <c r="C536" t="s">
        <v>35</v>
      </c>
      <c r="D536" t="s">
        <v>36</v>
      </c>
      <c r="E536" t="s">
        <v>44</v>
      </c>
      <c r="F536" t="s">
        <v>48</v>
      </c>
      <c r="G536" t="s">
        <v>38</v>
      </c>
      <c r="H536">
        <v>3</v>
      </c>
      <c r="I536">
        <v>0</v>
      </c>
      <c r="J536" t="s">
        <v>43</v>
      </c>
      <c r="K536" t="s">
        <v>42</v>
      </c>
      <c r="L536" t="s">
        <v>43</v>
      </c>
      <c r="M536" t="s">
        <v>42</v>
      </c>
      <c r="N536" t="s">
        <v>42</v>
      </c>
      <c r="O536">
        <v>4</v>
      </c>
      <c r="P536">
        <v>3</v>
      </c>
      <c r="Q536">
        <v>3</v>
      </c>
      <c r="R536" t="s">
        <v>61</v>
      </c>
      <c r="S536">
        <v>0</v>
      </c>
      <c r="T536" s="1">
        <v>14</v>
      </c>
      <c r="U536" t="s">
        <v>61</v>
      </c>
    </row>
    <row r="537" spans="1:21" x14ac:dyDescent="0.35">
      <c r="A537" t="s">
        <v>50</v>
      </c>
      <c r="B537">
        <v>17</v>
      </c>
      <c r="C537" t="s">
        <v>52</v>
      </c>
      <c r="D537" t="s">
        <v>36</v>
      </c>
      <c r="E537" t="s">
        <v>44</v>
      </c>
      <c r="F537" t="s">
        <v>38</v>
      </c>
      <c r="G537" t="s">
        <v>45</v>
      </c>
      <c r="H537">
        <v>2</v>
      </c>
      <c r="I537">
        <v>0</v>
      </c>
      <c r="J537" t="s">
        <v>43</v>
      </c>
      <c r="K537" t="s">
        <v>43</v>
      </c>
      <c r="L537" t="s">
        <v>43</v>
      </c>
      <c r="M537" t="s">
        <v>43</v>
      </c>
      <c r="N537" t="s">
        <v>43</v>
      </c>
      <c r="O537">
        <v>5</v>
      </c>
      <c r="P537">
        <v>4</v>
      </c>
      <c r="Q537">
        <v>5</v>
      </c>
      <c r="R537" t="s">
        <v>61</v>
      </c>
      <c r="S537">
        <v>1</v>
      </c>
      <c r="T537" s="1">
        <v>9.6666666666666661</v>
      </c>
      <c r="U537" t="s">
        <v>63</v>
      </c>
    </row>
    <row r="538" spans="1:21" x14ac:dyDescent="0.35">
      <c r="A538" t="s">
        <v>34</v>
      </c>
      <c r="B538">
        <v>16</v>
      </c>
      <c r="C538" t="s">
        <v>52</v>
      </c>
      <c r="D538" t="s">
        <v>36</v>
      </c>
      <c r="E538" t="s">
        <v>44</v>
      </c>
      <c r="F538" t="s">
        <v>38</v>
      </c>
      <c r="G538" t="s">
        <v>45</v>
      </c>
      <c r="H538">
        <v>2</v>
      </c>
      <c r="I538">
        <v>0</v>
      </c>
      <c r="J538" t="s">
        <v>43</v>
      </c>
      <c r="K538" t="s">
        <v>42</v>
      </c>
      <c r="L538" t="s">
        <v>43</v>
      </c>
      <c r="M538" t="s">
        <v>43</v>
      </c>
      <c r="N538" t="s">
        <v>43</v>
      </c>
      <c r="O538">
        <v>5</v>
      </c>
      <c r="P538">
        <v>1</v>
      </c>
      <c r="Q538">
        <v>3</v>
      </c>
      <c r="R538" t="s">
        <v>61</v>
      </c>
      <c r="S538">
        <v>1</v>
      </c>
      <c r="T538" s="1">
        <v>13.333333333333334</v>
      </c>
      <c r="U538" t="s">
        <v>61</v>
      </c>
    </row>
    <row r="539" spans="1:21" x14ac:dyDescent="0.35">
      <c r="A539" t="s">
        <v>50</v>
      </c>
      <c r="B539">
        <v>18</v>
      </c>
      <c r="C539" t="s">
        <v>35</v>
      </c>
      <c r="D539" t="s">
        <v>47</v>
      </c>
      <c r="E539" t="s">
        <v>44</v>
      </c>
      <c r="F539" t="s">
        <v>48</v>
      </c>
      <c r="G539" t="s">
        <v>48</v>
      </c>
      <c r="H539">
        <v>1</v>
      </c>
      <c r="I539">
        <v>0</v>
      </c>
      <c r="J539" t="s">
        <v>43</v>
      </c>
      <c r="K539" t="s">
        <v>43</v>
      </c>
      <c r="L539" t="s">
        <v>43</v>
      </c>
      <c r="M539" t="s">
        <v>42</v>
      </c>
      <c r="N539" t="s">
        <v>42</v>
      </c>
      <c r="O539">
        <v>3</v>
      </c>
      <c r="P539">
        <v>3</v>
      </c>
      <c r="Q539">
        <v>4</v>
      </c>
      <c r="R539" t="s">
        <v>61</v>
      </c>
      <c r="S539">
        <v>0</v>
      </c>
      <c r="T539" s="1">
        <v>11.333333333333334</v>
      </c>
      <c r="U539" t="s">
        <v>63</v>
      </c>
    </row>
    <row r="540" spans="1:21" x14ac:dyDescent="0.35">
      <c r="A540" t="s">
        <v>34</v>
      </c>
      <c r="B540">
        <v>18</v>
      </c>
      <c r="C540" t="s">
        <v>35</v>
      </c>
      <c r="D540" t="s">
        <v>36</v>
      </c>
      <c r="E540" t="s">
        <v>37</v>
      </c>
      <c r="F540" t="s">
        <v>45</v>
      </c>
      <c r="G540" t="s">
        <v>48</v>
      </c>
      <c r="H540">
        <v>3</v>
      </c>
      <c r="I540">
        <v>0</v>
      </c>
      <c r="J540" t="s">
        <v>43</v>
      </c>
      <c r="K540" t="s">
        <v>42</v>
      </c>
      <c r="L540" t="s">
        <v>43</v>
      </c>
      <c r="M540" t="s">
        <v>42</v>
      </c>
      <c r="N540" t="s">
        <v>42</v>
      </c>
      <c r="O540">
        <v>4</v>
      </c>
      <c r="P540">
        <v>3</v>
      </c>
      <c r="Q540">
        <v>3</v>
      </c>
      <c r="R540" t="s">
        <v>63</v>
      </c>
      <c r="S540">
        <v>1</v>
      </c>
      <c r="T540" s="1">
        <v>11.333333333333334</v>
      </c>
      <c r="U540" t="s">
        <v>63</v>
      </c>
    </row>
    <row r="541" spans="1:21" x14ac:dyDescent="0.35">
      <c r="A541" t="s">
        <v>34</v>
      </c>
      <c r="B541">
        <v>16</v>
      </c>
      <c r="C541" t="s">
        <v>52</v>
      </c>
      <c r="D541" t="s">
        <v>36</v>
      </c>
      <c r="E541" t="s">
        <v>44</v>
      </c>
      <c r="F541" t="s">
        <v>45</v>
      </c>
      <c r="G541" t="s">
        <v>48</v>
      </c>
      <c r="H541">
        <v>1</v>
      </c>
      <c r="I541">
        <v>0</v>
      </c>
      <c r="J541" t="s">
        <v>43</v>
      </c>
      <c r="K541" t="s">
        <v>42</v>
      </c>
      <c r="L541" t="s">
        <v>43</v>
      </c>
      <c r="M541" t="s">
        <v>42</v>
      </c>
      <c r="N541" t="s">
        <v>42</v>
      </c>
      <c r="O541">
        <v>3</v>
      </c>
      <c r="P541">
        <v>3</v>
      </c>
      <c r="Q541">
        <v>3</v>
      </c>
      <c r="R541" t="s">
        <v>62</v>
      </c>
      <c r="S541">
        <v>1</v>
      </c>
      <c r="T541" s="1">
        <v>11.333333333333334</v>
      </c>
      <c r="U541" t="s">
        <v>62</v>
      </c>
    </row>
    <row r="542" spans="1:21" x14ac:dyDescent="0.35">
      <c r="A542" t="s">
        <v>34</v>
      </c>
      <c r="B542">
        <v>16</v>
      </c>
      <c r="C542" t="s">
        <v>35</v>
      </c>
      <c r="D542" t="s">
        <v>36</v>
      </c>
      <c r="E542" t="s">
        <v>37</v>
      </c>
      <c r="F542" t="s">
        <v>45</v>
      </c>
      <c r="G542" t="s">
        <v>45</v>
      </c>
      <c r="H542">
        <v>1</v>
      </c>
      <c r="I542">
        <v>0</v>
      </c>
      <c r="J542" t="s">
        <v>43</v>
      </c>
      <c r="K542" t="s">
        <v>42</v>
      </c>
      <c r="L542" t="s">
        <v>43</v>
      </c>
      <c r="M542" t="s">
        <v>42</v>
      </c>
      <c r="N542" t="s">
        <v>42</v>
      </c>
      <c r="O542">
        <v>4</v>
      </c>
      <c r="P542">
        <v>3</v>
      </c>
      <c r="Q542">
        <v>2</v>
      </c>
      <c r="R542" t="s">
        <v>61</v>
      </c>
      <c r="S542">
        <v>0</v>
      </c>
      <c r="T542" s="1">
        <v>9.3333333333333339</v>
      </c>
      <c r="U542" t="s">
        <v>61</v>
      </c>
    </row>
    <row r="543" spans="1:21" x14ac:dyDescent="0.35">
      <c r="A543" t="s">
        <v>50</v>
      </c>
      <c r="B543">
        <v>16</v>
      </c>
      <c r="C543" t="s">
        <v>35</v>
      </c>
      <c r="D543" t="s">
        <v>47</v>
      </c>
      <c r="E543" t="s">
        <v>44</v>
      </c>
      <c r="F543" t="s">
        <v>48</v>
      </c>
      <c r="G543" t="s">
        <v>45</v>
      </c>
      <c r="H543">
        <v>2</v>
      </c>
      <c r="I543">
        <v>2</v>
      </c>
      <c r="J543" t="s">
        <v>43</v>
      </c>
      <c r="K543" t="s">
        <v>43</v>
      </c>
      <c r="L543" t="s">
        <v>43</v>
      </c>
      <c r="M543" t="s">
        <v>43</v>
      </c>
      <c r="N543" t="s">
        <v>42</v>
      </c>
      <c r="O543">
        <v>4</v>
      </c>
      <c r="P543">
        <v>4</v>
      </c>
      <c r="Q543">
        <v>4</v>
      </c>
      <c r="R543" t="s">
        <v>61</v>
      </c>
      <c r="S543">
        <v>0</v>
      </c>
      <c r="T543" s="1">
        <v>10</v>
      </c>
      <c r="U543" t="s">
        <v>62</v>
      </c>
    </row>
    <row r="544" spans="1:21" x14ac:dyDescent="0.35">
      <c r="A544" t="s">
        <v>34</v>
      </c>
      <c r="B544">
        <v>15</v>
      </c>
      <c r="C544" t="s">
        <v>35</v>
      </c>
      <c r="D544" t="s">
        <v>36</v>
      </c>
      <c r="E544" t="s">
        <v>44</v>
      </c>
      <c r="F544" t="s">
        <v>39</v>
      </c>
      <c r="G544" t="s">
        <v>39</v>
      </c>
      <c r="H544">
        <v>1</v>
      </c>
      <c r="I544">
        <v>0</v>
      </c>
      <c r="J544" t="s">
        <v>43</v>
      </c>
      <c r="K544" t="s">
        <v>43</v>
      </c>
      <c r="L544" t="s">
        <v>43</v>
      </c>
      <c r="M544" t="s">
        <v>42</v>
      </c>
      <c r="N544" t="s">
        <v>43</v>
      </c>
      <c r="O544">
        <v>4</v>
      </c>
      <c r="P544">
        <v>3</v>
      </c>
      <c r="Q544">
        <v>2</v>
      </c>
      <c r="R544" t="s">
        <v>62</v>
      </c>
      <c r="S544">
        <v>0</v>
      </c>
      <c r="T544" s="1">
        <v>13.666666666666666</v>
      </c>
      <c r="U544" t="s">
        <v>61</v>
      </c>
    </row>
    <row r="545" spans="1:21" x14ac:dyDescent="0.35">
      <c r="A545" t="s">
        <v>34</v>
      </c>
      <c r="B545">
        <v>15</v>
      </c>
      <c r="C545" t="s">
        <v>52</v>
      </c>
      <c r="D545" t="s">
        <v>36</v>
      </c>
      <c r="E545" t="s">
        <v>44</v>
      </c>
      <c r="F545" t="s">
        <v>45</v>
      </c>
      <c r="G545" t="s">
        <v>45</v>
      </c>
      <c r="H545">
        <v>1</v>
      </c>
      <c r="I545">
        <v>1</v>
      </c>
      <c r="J545" t="s">
        <v>43</v>
      </c>
      <c r="K545" t="s">
        <v>43</v>
      </c>
      <c r="L545" t="s">
        <v>43</v>
      </c>
      <c r="M545" t="s">
        <v>42</v>
      </c>
      <c r="N545" t="s">
        <v>42</v>
      </c>
      <c r="O545">
        <v>5</v>
      </c>
      <c r="P545">
        <v>5</v>
      </c>
      <c r="Q545">
        <v>5</v>
      </c>
      <c r="R545" t="s">
        <v>61</v>
      </c>
      <c r="S545">
        <v>0</v>
      </c>
      <c r="T545" s="1">
        <v>8.6666666666666661</v>
      </c>
      <c r="U545" t="s">
        <v>61</v>
      </c>
    </row>
    <row r="546" spans="1:21" x14ac:dyDescent="0.35">
      <c r="A546" t="s">
        <v>50</v>
      </c>
      <c r="B546">
        <v>15</v>
      </c>
      <c r="C546" t="s">
        <v>35</v>
      </c>
      <c r="D546" t="s">
        <v>36</v>
      </c>
      <c r="E546" t="s">
        <v>44</v>
      </c>
      <c r="F546" t="s">
        <v>39</v>
      </c>
      <c r="G546" t="s">
        <v>48</v>
      </c>
      <c r="H546">
        <v>4</v>
      </c>
      <c r="I546">
        <v>0</v>
      </c>
      <c r="J546" t="s">
        <v>42</v>
      </c>
      <c r="K546" t="s">
        <v>42</v>
      </c>
      <c r="L546" t="s">
        <v>43</v>
      </c>
      <c r="M546" t="s">
        <v>43</v>
      </c>
      <c r="N546" t="s">
        <v>43</v>
      </c>
      <c r="O546">
        <v>2</v>
      </c>
      <c r="P546">
        <v>2</v>
      </c>
      <c r="Q546">
        <v>2</v>
      </c>
      <c r="R546" t="s">
        <v>62</v>
      </c>
      <c r="S546">
        <v>0</v>
      </c>
      <c r="T546" s="1">
        <v>10.333333333333334</v>
      </c>
      <c r="U546" t="s">
        <v>61</v>
      </c>
    </row>
    <row r="547" spans="1:21" x14ac:dyDescent="0.35">
      <c r="A547" t="s">
        <v>34</v>
      </c>
      <c r="B547">
        <v>15</v>
      </c>
      <c r="C547" t="s">
        <v>35</v>
      </c>
      <c r="D547" t="s">
        <v>36</v>
      </c>
      <c r="E547" t="s">
        <v>37</v>
      </c>
      <c r="F547" t="s">
        <v>48</v>
      </c>
      <c r="G547" t="s">
        <v>48</v>
      </c>
      <c r="H547">
        <v>2</v>
      </c>
      <c r="I547">
        <v>0</v>
      </c>
      <c r="J547" t="s">
        <v>43</v>
      </c>
      <c r="K547" t="s">
        <v>43</v>
      </c>
      <c r="L547" t="s">
        <v>43</v>
      </c>
      <c r="M547" t="s">
        <v>43</v>
      </c>
      <c r="N547" t="s">
        <v>42</v>
      </c>
      <c r="O547">
        <v>1</v>
      </c>
      <c r="P547">
        <v>3</v>
      </c>
      <c r="Q547">
        <v>2</v>
      </c>
      <c r="R547" t="s">
        <v>63</v>
      </c>
      <c r="S547">
        <v>1</v>
      </c>
      <c r="T547" s="1">
        <v>8.6666666666666661</v>
      </c>
      <c r="U547" t="s">
        <v>63</v>
      </c>
    </row>
    <row r="548" spans="1:21" x14ac:dyDescent="0.35">
      <c r="A548" t="s">
        <v>50</v>
      </c>
      <c r="B548">
        <v>16</v>
      </c>
      <c r="C548" t="s">
        <v>35</v>
      </c>
      <c r="D548" t="s">
        <v>36</v>
      </c>
      <c r="E548" t="s">
        <v>44</v>
      </c>
      <c r="F548" t="s">
        <v>48</v>
      </c>
      <c r="G548" t="s">
        <v>48</v>
      </c>
      <c r="H548">
        <v>3</v>
      </c>
      <c r="I548">
        <v>0</v>
      </c>
      <c r="J548" t="s">
        <v>43</v>
      </c>
      <c r="K548" t="s">
        <v>42</v>
      </c>
      <c r="L548" t="s">
        <v>43</v>
      </c>
      <c r="M548" t="s">
        <v>42</v>
      </c>
      <c r="N548" t="s">
        <v>43</v>
      </c>
      <c r="O548">
        <v>5</v>
      </c>
      <c r="P548">
        <v>3</v>
      </c>
      <c r="Q548">
        <v>3</v>
      </c>
      <c r="R548" t="s">
        <v>61</v>
      </c>
      <c r="S548">
        <v>1</v>
      </c>
      <c r="T548" s="1">
        <v>13.666666666666666</v>
      </c>
      <c r="U548" t="s">
        <v>62</v>
      </c>
    </row>
    <row r="549" spans="1:21" x14ac:dyDescent="0.35">
      <c r="A549" t="s">
        <v>50</v>
      </c>
      <c r="B549">
        <v>16</v>
      </c>
      <c r="C549" t="s">
        <v>35</v>
      </c>
      <c r="D549" t="s">
        <v>47</v>
      </c>
      <c r="E549" t="s">
        <v>44</v>
      </c>
      <c r="F549" t="s">
        <v>48</v>
      </c>
      <c r="G549" t="s">
        <v>48</v>
      </c>
      <c r="H549">
        <v>1</v>
      </c>
      <c r="I549">
        <v>0</v>
      </c>
      <c r="J549" t="s">
        <v>43</v>
      </c>
      <c r="K549" t="s">
        <v>42</v>
      </c>
      <c r="L549" t="s">
        <v>43</v>
      </c>
      <c r="M549" t="s">
        <v>42</v>
      </c>
      <c r="N549" t="s">
        <v>43</v>
      </c>
      <c r="O549">
        <v>2</v>
      </c>
      <c r="P549">
        <v>3</v>
      </c>
      <c r="Q549">
        <v>3</v>
      </c>
      <c r="R549" t="s">
        <v>61</v>
      </c>
      <c r="S549">
        <v>1</v>
      </c>
      <c r="T549" s="1">
        <v>11.333333333333334</v>
      </c>
      <c r="U549" t="s">
        <v>62</v>
      </c>
    </row>
    <row r="550" spans="1:21" x14ac:dyDescent="0.35">
      <c r="A550" t="s">
        <v>34</v>
      </c>
      <c r="B550">
        <v>15</v>
      </c>
      <c r="C550" t="s">
        <v>35</v>
      </c>
      <c r="D550" t="s">
        <v>36</v>
      </c>
      <c r="E550" t="s">
        <v>44</v>
      </c>
      <c r="F550" t="s">
        <v>39</v>
      </c>
      <c r="G550" t="s">
        <v>48</v>
      </c>
      <c r="H550">
        <v>3</v>
      </c>
      <c r="I550">
        <v>0</v>
      </c>
      <c r="J550" t="s">
        <v>43</v>
      </c>
      <c r="K550" t="s">
        <v>42</v>
      </c>
      <c r="L550" t="s">
        <v>43</v>
      </c>
      <c r="M550" t="s">
        <v>42</v>
      </c>
      <c r="N550" t="s">
        <v>43</v>
      </c>
      <c r="O550">
        <v>4</v>
      </c>
      <c r="P550">
        <v>2</v>
      </c>
      <c r="Q550">
        <v>2</v>
      </c>
      <c r="R550" t="s">
        <v>61</v>
      </c>
      <c r="S550">
        <v>0</v>
      </c>
      <c r="T550" s="1">
        <v>13</v>
      </c>
      <c r="U550" t="s">
        <v>61</v>
      </c>
    </row>
    <row r="551" spans="1:21" x14ac:dyDescent="0.35">
      <c r="A551" t="s">
        <v>34</v>
      </c>
      <c r="B551">
        <v>16</v>
      </c>
      <c r="C551" t="s">
        <v>35</v>
      </c>
      <c r="D551" t="s">
        <v>47</v>
      </c>
      <c r="E551" t="s">
        <v>44</v>
      </c>
      <c r="F551" t="s">
        <v>38</v>
      </c>
      <c r="G551" t="s">
        <v>38</v>
      </c>
      <c r="H551">
        <v>1</v>
      </c>
      <c r="I551">
        <v>0</v>
      </c>
      <c r="J551" t="s">
        <v>43</v>
      </c>
      <c r="K551" t="s">
        <v>43</v>
      </c>
      <c r="L551" t="s">
        <v>43</v>
      </c>
      <c r="M551" t="s">
        <v>43</v>
      </c>
      <c r="N551" t="s">
        <v>43</v>
      </c>
      <c r="O551">
        <v>3</v>
      </c>
      <c r="P551">
        <v>4</v>
      </c>
      <c r="Q551">
        <v>4</v>
      </c>
      <c r="R551" t="s">
        <v>61</v>
      </c>
      <c r="S551">
        <v>0</v>
      </c>
      <c r="T551" s="1">
        <v>10.666666666666666</v>
      </c>
      <c r="U551" t="s">
        <v>63</v>
      </c>
    </row>
    <row r="552" spans="1:21" x14ac:dyDescent="0.35">
      <c r="A552" t="s">
        <v>50</v>
      </c>
      <c r="B552">
        <v>17</v>
      </c>
      <c r="C552" t="s">
        <v>35</v>
      </c>
      <c r="D552" t="s">
        <v>36</v>
      </c>
      <c r="E552" t="s">
        <v>44</v>
      </c>
      <c r="F552" t="s">
        <v>45</v>
      </c>
      <c r="G552" t="s">
        <v>45</v>
      </c>
      <c r="H552">
        <v>1</v>
      </c>
      <c r="I552">
        <v>0</v>
      </c>
      <c r="J552" t="s">
        <v>43</v>
      </c>
      <c r="K552" t="s">
        <v>42</v>
      </c>
      <c r="L552" t="s">
        <v>43</v>
      </c>
      <c r="M552" t="s">
        <v>43</v>
      </c>
      <c r="N552" t="s">
        <v>43</v>
      </c>
      <c r="O552">
        <v>5</v>
      </c>
      <c r="P552">
        <v>4</v>
      </c>
      <c r="Q552">
        <v>5</v>
      </c>
      <c r="R552" t="s">
        <v>63</v>
      </c>
      <c r="S552">
        <v>2</v>
      </c>
      <c r="T552" s="1">
        <v>7.333333333333333</v>
      </c>
      <c r="U552" t="s">
        <v>62</v>
      </c>
    </row>
    <row r="553" spans="1:21" x14ac:dyDescent="0.35">
      <c r="A553" t="s">
        <v>34</v>
      </c>
      <c r="B553">
        <v>15</v>
      </c>
      <c r="C553" t="s">
        <v>35</v>
      </c>
      <c r="D553" t="s">
        <v>36</v>
      </c>
      <c r="E553" t="s">
        <v>44</v>
      </c>
      <c r="F553" t="s">
        <v>45</v>
      </c>
      <c r="G553" t="s">
        <v>48</v>
      </c>
      <c r="H553">
        <v>2</v>
      </c>
      <c r="I553">
        <v>0</v>
      </c>
      <c r="J553" t="s">
        <v>43</v>
      </c>
      <c r="K553" t="s">
        <v>42</v>
      </c>
      <c r="L553" t="s">
        <v>43</v>
      </c>
      <c r="M553" t="s">
        <v>43</v>
      </c>
      <c r="N553" t="s">
        <v>43</v>
      </c>
      <c r="O553">
        <v>4</v>
      </c>
      <c r="P553">
        <v>4</v>
      </c>
      <c r="Q553">
        <v>2</v>
      </c>
      <c r="R553" t="s">
        <v>61</v>
      </c>
      <c r="S553">
        <v>0</v>
      </c>
      <c r="T553" s="1">
        <v>12</v>
      </c>
      <c r="U553" t="s">
        <v>62</v>
      </c>
    </row>
    <row r="554" spans="1:21" x14ac:dyDescent="0.35">
      <c r="A554" t="s">
        <v>34</v>
      </c>
      <c r="B554">
        <v>15</v>
      </c>
      <c r="C554" t="s">
        <v>35</v>
      </c>
      <c r="D554" t="s">
        <v>47</v>
      </c>
      <c r="E554" t="s">
        <v>37</v>
      </c>
      <c r="F554" t="s">
        <v>38</v>
      </c>
      <c r="G554" t="s">
        <v>45</v>
      </c>
      <c r="H554">
        <v>1</v>
      </c>
      <c r="I554">
        <v>0</v>
      </c>
      <c r="J554" t="s">
        <v>43</v>
      </c>
      <c r="K554" t="s">
        <v>42</v>
      </c>
      <c r="L554" t="s">
        <v>43</v>
      </c>
      <c r="M554" t="s">
        <v>42</v>
      </c>
      <c r="N554" t="s">
        <v>42</v>
      </c>
      <c r="O554">
        <v>4</v>
      </c>
      <c r="P554">
        <v>4</v>
      </c>
      <c r="Q554">
        <v>2</v>
      </c>
      <c r="R554" t="s">
        <v>61</v>
      </c>
      <c r="S554">
        <v>1</v>
      </c>
      <c r="T554" s="1">
        <v>10.333333333333334</v>
      </c>
      <c r="U554" t="s">
        <v>61</v>
      </c>
    </row>
    <row r="555" spans="1:21" x14ac:dyDescent="0.35">
      <c r="A555" t="s">
        <v>34</v>
      </c>
      <c r="B555">
        <v>15</v>
      </c>
      <c r="C555" t="s">
        <v>35</v>
      </c>
      <c r="D555" t="s">
        <v>36</v>
      </c>
      <c r="E555" t="s">
        <v>44</v>
      </c>
      <c r="F555" t="s">
        <v>28</v>
      </c>
      <c r="G555" t="s">
        <v>48</v>
      </c>
      <c r="H555">
        <v>2</v>
      </c>
      <c r="I555">
        <v>1</v>
      </c>
      <c r="J555" t="s">
        <v>43</v>
      </c>
      <c r="K555" t="s">
        <v>42</v>
      </c>
      <c r="L555" t="s">
        <v>43</v>
      </c>
      <c r="M555" t="s">
        <v>43</v>
      </c>
      <c r="N555" t="s">
        <v>43</v>
      </c>
      <c r="O555">
        <v>3</v>
      </c>
      <c r="P555">
        <v>3</v>
      </c>
      <c r="Q555">
        <v>2</v>
      </c>
      <c r="R555" t="s">
        <v>61</v>
      </c>
      <c r="S555">
        <v>0</v>
      </c>
      <c r="T555" s="1">
        <v>11</v>
      </c>
      <c r="U555" t="s">
        <v>61</v>
      </c>
    </row>
    <row r="556" spans="1:21" x14ac:dyDescent="0.35">
      <c r="A556" t="s">
        <v>34</v>
      </c>
      <c r="B556">
        <v>15</v>
      </c>
      <c r="C556" t="s">
        <v>35</v>
      </c>
      <c r="D556" t="s">
        <v>36</v>
      </c>
      <c r="E556" t="s">
        <v>44</v>
      </c>
      <c r="F556" t="s">
        <v>38</v>
      </c>
      <c r="G556" t="s">
        <v>45</v>
      </c>
      <c r="H556">
        <v>2</v>
      </c>
      <c r="I556">
        <v>0</v>
      </c>
      <c r="J556" t="s">
        <v>43</v>
      </c>
      <c r="K556" t="s">
        <v>42</v>
      </c>
      <c r="L556" t="s">
        <v>43</v>
      </c>
      <c r="M556" t="s">
        <v>43</v>
      </c>
      <c r="N556" t="s">
        <v>43</v>
      </c>
      <c r="O556">
        <v>4</v>
      </c>
      <c r="P556">
        <v>3</v>
      </c>
      <c r="Q556">
        <v>2</v>
      </c>
      <c r="R556" t="s">
        <v>62</v>
      </c>
      <c r="S556">
        <v>1</v>
      </c>
      <c r="T556" s="1">
        <v>12.666666666666666</v>
      </c>
      <c r="U556" t="s">
        <v>61</v>
      </c>
    </row>
    <row r="557" spans="1:21" x14ac:dyDescent="0.35">
      <c r="A557" t="s">
        <v>34</v>
      </c>
      <c r="B557">
        <v>15</v>
      </c>
      <c r="C557" t="s">
        <v>35</v>
      </c>
      <c r="D557" t="s">
        <v>36</v>
      </c>
      <c r="E557" t="s">
        <v>44</v>
      </c>
      <c r="F557" t="s">
        <v>38</v>
      </c>
      <c r="G557" t="s">
        <v>48</v>
      </c>
      <c r="H557">
        <v>2</v>
      </c>
      <c r="I557">
        <v>0</v>
      </c>
      <c r="J557" t="s">
        <v>43</v>
      </c>
      <c r="K557" t="s">
        <v>43</v>
      </c>
      <c r="L557" t="s">
        <v>43</v>
      </c>
      <c r="M557" t="s">
        <v>43</v>
      </c>
      <c r="N557" t="s">
        <v>42</v>
      </c>
      <c r="O557">
        <v>2</v>
      </c>
      <c r="P557">
        <v>3</v>
      </c>
      <c r="Q557">
        <v>4</v>
      </c>
      <c r="R557" t="s">
        <v>62</v>
      </c>
      <c r="S557">
        <v>0</v>
      </c>
      <c r="T557" s="1">
        <v>11</v>
      </c>
      <c r="U557" t="s">
        <v>63</v>
      </c>
    </row>
    <row r="558" spans="1:21" x14ac:dyDescent="0.35">
      <c r="A558" t="s">
        <v>50</v>
      </c>
      <c r="B558">
        <v>16</v>
      </c>
      <c r="C558" t="s">
        <v>35</v>
      </c>
      <c r="D558" t="s">
        <v>36</v>
      </c>
      <c r="E558" t="s">
        <v>44</v>
      </c>
      <c r="F558" t="s">
        <v>39</v>
      </c>
      <c r="G558" t="s">
        <v>39</v>
      </c>
      <c r="H558">
        <v>1</v>
      </c>
      <c r="I558">
        <v>0</v>
      </c>
      <c r="J558" t="s">
        <v>43</v>
      </c>
      <c r="K558" t="s">
        <v>42</v>
      </c>
      <c r="L558" t="s">
        <v>43</v>
      </c>
      <c r="M558" t="s">
        <v>43</v>
      </c>
      <c r="N558" t="s">
        <v>42</v>
      </c>
      <c r="O558">
        <v>3</v>
      </c>
      <c r="P558">
        <v>3</v>
      </c>
      <c r="Q558">
        <v>2</v>
      </c>
      <c r="R558" t="s">
        <v>63</v>
      </c>
      <c r="S558">
        <v>1</v>
      </c>
      <c r="T558" s="1">
        <v>8.6666666666666661</v>
      </c>
      <c r="U558" t="s">
        <v>62</v>
      </c>
    </row>
    <row r="559" spans="1:21" x14ac:dyDescent="0.35">
      <c r="A559" t="s">
        <v>50</v>
      </c>
      <c r="B559">
        <v>15</v>
      </c>
      <c r="C559" t="s">
        <v>35</v>
      </c>
      <c r="D559" t="s">
        <v>47</v>
      </c>
      <c r="E559" t="s">
        <v>37</v>
      </c>
      <c r="F559" t="s">
        <v>48</v>
      </c>
      <c r="G559" t="s">
        <v>45</v>
      </c>
      <c r="H559">
        <v>1</v>
      </c>
      <c r="I559">
        <v>0</v>
      </c>
      <c r="J559" t="s">
        <v>43</v>
      </c>
      <c r="K559" t="s">
        <v>43</v>
      </c>
      <c r="L559" t="s">
        <v>43</v>
      </c>
      <c r="M559" t="s">
        <v>43</v>
      </c>
      <c r="N559" t="s">
        <v>43</v>
      </c>
      <c r="O559">
        <v>4</v>
      </c>
      <c r="P559">
        <v>5</v>
      </c>
      <c r="Q559">
        <v>5</v>
      </c>
      <c r="R559" t="s">
        <v>61</v>
      </c>
      <c r="S559">
        <v>1</v>
      </c>
      <c r="T559" s="1">
        <v>11.333333333333334</v>
      </c>
      <c r="U559" t="s">
        <v>63</v>
      </c>
    </row>
    <row r="560" spans="1:21" x14ac:dyDescent="0.35">
      <c r="A560" t="s">
        <v>50</v>
      </c>
      <c r="B560">
        <v>18</v>
      </c>
      <c r="C560" t="s">
        <v>35</v>
      </c>
      <c r="D560" t="s">
        <v>47</v>
      </c>
      <c r="E560" t="s">
        <v>44</v>
      </c>
      <c r="F560" t="s">
        <v>45</v>
      </c>
      <c r="G560" t="s">
        <v>45</v>
      </c>
      <c r="H560">
        <v>1</v>
      </c>
      <c r="I560">
        <v>2</v>
      </c>
      <c r="J560" t="s">
        <v>43</v>
      </c>
      <c r="K560" t="s">
        <v>43</v>
      </c>
      <c r="L560" t="s">
        <v>43</v>
      </c>
      <c r="M560" t="s">
        <v>43</v>
      </c>
      <c r="N560" t="s">
        <v>42</v>
      </c>
      <c r="O560">
        <v>2</v>
      </c>
      <c r="P560">
        <v>3</v>
      </c>
      <c r="Q560">
        <v>5</v>
      </c>
      <c r="R560" t="s">
        <v>61</v>
      </c>
      <c r="S560">
        <v>2</v>
      </c>
      <c r="T560" s="1">
        <v>6.666666666666667</v>
      </c>
      <c r="U560" t="s">
        <v>63</v>
      </c>
    </row>
    <row r="561" spans="1:21" x14ac:dyDescent="0.35">
      <c r="A561" t="s">
        <v>50</v>
      </c>
      <c r="B561">
        <v>16</v>
      </c>
      <c r="C561" t="s">
        <v>35</v>
      </c>
      <c r="D561" t="s">
        <v>47</v>
      </c>
      <c r="E561" t="s">
        <v>44</v>
      </c>
      <c r="F561" t="s">
        <v>38</v>
      </c>
      <c r="G561" t="s">
        <v>45</v>
      </c>
      <c r="H561">
        <v>1</v>
      </c>
      <c r="I561">
        <v>1</v>
      </c>
      <c r="J561" t="s">
        <v>43</v>
      </c>
      <c r="K561" t="s">
        <v>43</v>
      </c>
      <c r="L561" t="s">
        <v>43</v>
      </c>
      <c r="M561" t="s">
        <v>42</v>
      </c>
      <c r="N561" t="s">
        <v>42</v>
      </c>
      <c r="O561">
        <v>4</v>
      </c>
      <c r="P561">
        <v>4</v>
      </c>
      <c r="Q561">
        <v>4</v>
      </c>
      <c r="R561" t="s">
        <v>62</v>
      </c>
      <c r="S561">
        <v>0</v>
      </c>
      <c r="T561" s="1">
        <v>9.6666666666666661</v>
      </c>
      <c r="U561" t="s">
        <v>63</v>
      </c>
    </row>
    <row r="562" spans="1:21" x14ac:dyDescent="0.35">
      <c r="A562" t="s">
        <v>34</v>
      </c>
      <c r="B562">
        <v>15</v>
      </c>
      <c r="C562" t="s">
        <v>52</v>
      </c>
      <c r="D562" t="s">
        <v>36</v>
      </c>
      <c r="E562" t="s">
        <v>44</v>
      </c>
      <c r="F562" t="s">
        <v>48</v>
      </c>
      <c r="G562" t="s">
        <v>48</v>
      </c>
      <c r="H562">
        <v>3</v>
      </c>
      <c r="I562">
        <v>0</v>
      </c>
      <c r="J562" t="s">
        <v>43</v>
      </c>
      <c r="K562" t="s">
        <v>42</v>
      </c>
      <c r="L562" t="s">
        <v>42</v>
      </c>
      <c r="M562" t="s">
        <v>42</v>
      </c>
      <c r="N562" t="s">
        <v>42</v>
      </c>
      <c r="O562">
        <v>4</v>
      </c>
      <c r="P562">
        <v>2</v>
      </c>
      <c r="Q562">
        <v>1</v>
      </c>
      <c r="R562" t="s">
        <v>61</v>
      </c>
      <c r="S562">
        <v>0</v>
      </c>
      <c r="T562" s="1">
        <v>13</v>
      </c>
      <c r="U562" t="s">
        <v>63</v>
      </c>
    </row>
    <row r="563" spans="1:21" x14ac:dyDescent="0.35">
      <c r="A563" t="s">
        <v>50</v>
      </c>
      <c r="B563">
        <v>19</v>
      </c>
      <c r="C563" t="s">
        <v>35</v>
      </c>
      <c r="D563" t="s">
        <v>36</v>
      </c>
      <c r="E563" t="s">
        <v>44</v>
      </c>
      <c r="F563" t="s">
        <v>48</v>
      </c>
      <c r="G563" t="s">
        <v>38</v>
      </c>
      <c r="H563">
        <v>1</v>
      </c>
      <c r="I563">
        <v>0</v>
      </c>
      <c r="J563" t="s">
        <v>43</v>
      </c>
      <c r="K563" t="s">
        <v>42</v>
      </c>
      <c r="L563" t="s">
        <v>43</v>
      </c>
      <c r="M563" t="s">
        <v>43</v>
      </c>
      <c r="N563" t="s">
        <v>42</v>
      </c>
      <c r="O563">
        <v>4</v>
      </c>
      <c r="P563">
        <v>5</v>
      </c>
      <c r="Q563">
        <v>4</v>
      </c>
      <c r="R563" t="s">
        <v>62</v>
      </c>
      <c r="S563">
        <v>1</v>
      </c>
      <c r="T563" s="1">
        <v>10.333333333333334</v>
      </c>
      <c r="U563" t="s">
        <v>61</v>
      </c>
    </row>
    <row r="564" spans="1:21" x14ac:dyDescent="0.35">
      <c r="A564" t="s">
        <v>34</v>
      </c>
      <c r="B564">
        <v>17</v>
      </c>
      <c r="C564" t="s">
        <v>35</v>
      </c>
      <c r="D564" t="s">
        <v>36</v>
      </c>
      <c r="E564" t="s">
        <v>44</v>
      </c>
      <c r="F564" t="s">
        <v>45</v>
      </c>
      <c r="G564" t="s">
        <v>39</v>
      </c>
      <c r="H564">
        <v>1</v>
      </c>
      <c r="I564">
        <v>0</v>
      </c>
      <c r="J564" t="s">
        <v>42</v>
      </c>
      <c r="K564" t="s">
        <v>42</v>
      </c>
      <c r="L564" t="s">
        <v>43</v>
      </c>
      <c r="M564" t="s">
        <v>43</v>
      </c>
      <c r="N564" t="s">
        <v>42</v>
      </c>
      <c r="O564">
        <v>4</v>
      </c>
      <c r="P564">
        <v>2</v>
      </c>
      <c r="Q564">
        <v>1</v>
      </c>
      <c r="R564" t="s">
        <v>61</v>
      </c>
      <c r="S564">
        <v>0</v>
      </c>
      <c r="T564" s="1">
        <v>13</v>
      </c>
      <c r="U564" t="s">
        <v>61</v>
      </c>
    </row>
    <row r="565" spans="1:21" x14ac:dyDescent="0.35">
      <c r="A565" t="s">
        <v>50</v>
      </c>
      <c r="B565">
        <v>15</v>
      </c>
      <c r="C565" t="s">
        <v>52</v>
      </c>
      <c r="D565" t="s">
        <v>36</v>
      </c>
      <c r="E565" t="s">
        <v>44</v>
      </c>
      <c r="F565" t="s">
        <v>38</v>
      </c>
      <c r="G565" t="s">
        <v>48</v>
      </c>
      <c r="H565">
        <v>2</v>
      </c>
      <c r="I565">
        <v>0</v>
      </c>
      <c r="J565" t="s">
        <v>42</v>
      </c>
      <c r="K565" t="s">
        <v>43</v>
      </c>
      <c r="L565" t="s">
        <v>42</v>
      </c>
      <c r="M565" t="s">
        <v>42</v>
      </c>
      <c r="N565" t="s">
        <v>43</v>
      </c>
      <c r="O565">
        <v>4</v>
      </c>
      <c r="P565">
        <v>4</v>
      </c>
      <c r="Q565">
        <v>4</v>
      </c>
      <c r="R565" t="s">
        <v>61</v>
      </c>
      <c r="S565">
        <v>0</v>
      </c>
      <c r="T565" s="1">
        <v>7.666666666666667</v>
      </c>
      <c r="U565" t="s">
        <v>61</v>
      </c>
    </row>
    <row r="566" spans="1:21" x14ac:dyDescent="0.35">
      <c r="A566" t="s">
        <v>50</v>
      </c>
      <c r="B566">
        <v>17</v>
      </c>
      <c r="C566" t="s">
        <v>52</v>
      </c>
      <c r="D566" t="s">
        <v>47</v>
      </c>
      <c r="E566" t="s">
        <v>44</v>
      </c>
      <c r="F566" t="s">
        <v>45</v>
      </c>
      <c r="G566" t="s">
        <v>45</v>
      </c>
      <c r="H566">
        <v>1</v>
      </c>
      <c r="I566">
        <v>3</v>
      </c>
      <c r="J566" t="s">
        <v>43</v>
      </c>
      <c r="K566" t="s">
        <v>43</v>
      </c>
      <c r="L566" t="s">
        <v>43</v>
      </c>
      <c r="M566" t="s">
        <v>43</v>
      </c>
      <c r="N566" t="s">
        <v>43</v>
      </c>
      <c r="O566">
        <v>2</v>
      </c>
      <c r="P566">
        <v>2</v>
      </c>
      <c r="Q566">
        <v>2</v>
      </c>
      <c r="R566" t="s">
        <v>63</v>
      </c>
      <c r="S566">
        <v>1</v>
      </c>
      <c r="T566" s="1">
        <v>9</v>
      </c>
      <c r="U566" t="s">
        <v>63</v>
      </c>
    </row>
    <row r="567" spans="1:21" x14ac:dyDescent="0.35">
      <c r="A567" t="s">
        <v>34</v>
      </c>
      <c r="B567">
        <v>18</v>
      </c>
      <c r="C567" t="s">
        <v>52</v>
      </c>
      <c r="D567" t="s">
        <v>36</v>
      </c>
      <c r="E567" t="s">
        <v>44</v>
      </c>
      <c r="F567" t="s">
        <v>38</v>
      </c>
      <c r="G567" t="s">
        <v>45</v>
      </c>
      <c r="H567">
        <v>1</v>
      </c>
      <c r="I567">
        <v>3</v>
      </c>
      <c r="J567" t="s">
        <v>43</v>
      </c>
      <c r="K567" t="s">
        <v>42</v>
      </c>
      <c r="L567" t="s">
        <v>43</v>
      </c>
      <c r="M567" t="s">
        <v>42</v>
      </c>
      <c r="N567" t="s">
        <v>43</v>
      </c>
      <c r="O567">
        <v>5</v>
      </c>
      <c r="P567">
        <v>2</v>
      </c>
      <c r="Q567">
        <v>5</v>
      </c>
      <c r="R567" t="s">
        <v>62</v>
      </c>
      <c r="S567">
        <v>1</v>
      </c>
      <c r="T567" s="1">
        <v>10.666666666666666</v>
      </c>
      <c r="U567" t="s">
        <v>63</v>
      </c>
    </row>
    <row r="568" spans="1:21" x14ac:dyDescent="0.35">
      <c r="A568" t="s">
        <v>50</v>
      </c>
      <c r="B568">
        <v>16</v>
      </c>
      <c r="C568" t="s">
        <v>52</v>
      </c>
      <c r="D568" t="s">
        <v>36</v>
      </c>
      <c r="E568" t="s">
        <v>44</v>
      </c>
      <c r="F568" t="s">
        <v>38</v>
      </c>
      <c r="G568" t="s">
        <v>45</v>
      </c>
      <c r="H568">
        <v>1</v>
      </c>
      <c r="I568">
        <v>0</v>
      </c>
      <c r="J568" t="s">
        <v>43</v>
      </c>
      <c r="K568" t="s">
        <v>43</v>
      </c>
      <c r="L568" t="s">
        <v>43</v>
      </c>
      <c r="M568" t="s">
        <v>43</v>
      </c>
      <c r="N568" t="s">
        <v>43</v>
      </c>
      <c r="O568">
        <v>4</v>
      </c>
      <c r="P568">
        <v>2</v>
      </c>
      <c r="Q568">
        <v>2</v>
      </c>
      <c r="R568" t="s">
        <v>61</v>
      </c>
      <c r="S568">
        <v>1</v>
      </c>
      <c r="T568" s="1">
        <v>11</v>
      </c>
      <c r="U568" t="s">
        <v>62</v>
      </c>
    </row>
    <row r="569" spans="1:21" x14ac:dyDescent="0.35">
      <c r="A569" t="s">
        <v>50</v>
      </c>
      <c r="B569">
        <v>16</v>
      </c>
      <c r="C569" t="s">
        <v>35</v>
      </c>
      <c r="D569" t="s">
        <v>36</v>
      </c>
      <c r="E569" t="s">
        <v>44</v>
      </c>
      <c r="F569" t="s">
        <v>45</v>
      </c>
      <c r="G569" t="s">
        <v>48</v>
      </c>
      <c r="H569">
        <v>2</v>
      </c>
      <c r="I569">
        <v>1</v>
      </c>
      <c r="J569" t="s">
        <v>43</v>
      </c>
      <c r="K569" t="s">
        <v>42</v>
      </c>
      <c r="L569" t="s">
        <v>43</v>
      </c>
      <c r="M569" t="s">
        <v>43</v>
      </c>
      <c r="N569" t="s">
        <v>42</v>
      </c>
      <c r="O569">
        <v>4</v>
      </c>
      <c r="P569">
        <v>5</v>
      </c>
      <c r="Q569">
        <v>5</v>
      </c>
      <c r="R569" t="s">
        <v>61</v>
      </c>
      <c r="S569">
        <v>1</v>
      </c>
      <c r="T569" s="1">
        <v>7</v>
      </c>
      <c r="U569" t="s">
        <v>63</v>
      </c>
    </row>
    <row r="570" spans="1:21" x14ac:dyDescent="0.35">
      <c r="A570" t="s">
        <v>50</v>
      </c>
      <c r="B570">
        <v>16</v>
      </c>
      <c r="C570" t="s">
        <v>35</v>
      </c>
      <c r="D570" t="s">
        <v>47</v>
      </c>
      <c r="E570" t="s">
        <v>44</v>
      </c>
      <c r="F570" t="s">
        <v>28</v>
      </c>
      <c r="G570" t="s">
        <v>48</v>
      </c>
      <c r="H570">
        <v>1</v>
      </c>
      <c r="I570">
        <v>2</v>
      </c>
      <c r="J570" t="s">
        <v>43</v>
      </c>
      <c r="K570" t="s">
        <v>43</v>
      </c>
      <c r="L570" t="s">
        <v>43</v>
      </c>
      <c r="M570" t="s">
        <v>43</v>
      </c>
      <c r="N570" t="s">
        <v>43</v>
      </c>
      <c r="O570">
        <v>4</v>
      </c>
      <c r="P570">
        <v>4</v>
      </c>
      <c r="Q570">
        <v>5</v>
      </c>
      <c r="R570" t="s">
        <v>61</v>
      </c>
      <c r="S570">
        <v>1</v>
      </c>
      <c r="T570" s="1">
        <v>9</v>
      </c>
      <c r="U570" t="s">
        <v>63</v>
      </c>
    </row>
    <row r="571" spans="1:21" x14ac:dyDescent="0.35">
      <c r="A571" t="s">
        <v>50</v>
      </c>
      <c r="B571">
        <v>17</v>
      </c>
      <c r="C571" t="s">
        <v>52</v>
      </c>
      <c r="D571" t="s">
        <v>47</v>
      </c>
      <c r="E571" t="s">
        <v>44</v>
      </c>
      <c r="F571" t="s">
        <v>38</v>
      </c>
      <c r="G571" t="s">
        <v>45</v>
      </c>
      <c r="H571">
        <v>1</v>
      </c>
      <c r="I571">
        <v>1</v>
      </c>
      <c r="J571" t="s">
        <v>43</v>
      </c>
      <c r="K571" t="s">
        <v>43</v>
      </c>
      <c r="L571" t="s">
        <v>42</v>
      </c>
      <c r="M571" t="s">
        <v>42</v>
      </c>
      <c r="N571" t="s">
        <v>42</v>
      </c>
      <c r="O571">
        <v>3</v>
      </c>
      <c r="P571">
        <v>3</v>
      </c>
      <c r="Q571">
        <v>2</v>
      </c>
      <c r="R571" t="s">
        <v>62</v>
      </c>
      <c r="S571">
        <v>0</v>
      </c>
      <c r="T571" s="1">
        <v>8.3333333333333339</v>
      </c>
      <c r="U571" t="s">
        <v>62</v>
      </c>
    </row>
    <row r="572" spans="1:21" x14ac:dyDescent="0.35">
      <c r="A572" t="s">
        <v>50</v>
      </c>
      <c r="B572">
        <v>17</v>
      </c>
      <c r="C572" t="s">
        <v>52</v>
      </c>
      <c r="D572" t="s">
        <v>36</v>
      </c>
      <c r="E572" t="s">
        <v>44</v>
      </c>
      <c r="F572" t="s">
        <v>45</v>
      </c>
      <c r="G572" t="s">
        <v>45</v>
      </c>
      <c r="H572">
        <v>2</v>
      </c>
      <c r="I572">
        <v>2</v>
      </c>
      <c r="J572" t="s">
        <v>42</v>
      </c>
      <c r="K572" t="s">
        <v>42</v>
      </c>
      <c r="L572" t="s">
        <v>43</v>
      </c>
      <c r="M572" t="s">
        <v>43</v>
      </c>
      <c r="N572" t="s">
        <v>42</v>
      </c>
      <c r="O572">
        <v>4</v>
      </c>
      <c r="P572">
        <v>4</v>
      </c>
      <c r="Q572">
        <v>4</v>
      </c>
      <c r="R572" t="s">
        <v>61</v>
      </c>
      <c r="S572">
        <v>1</v>
      </c>
      <c r="T572" s="1">
        <v>7</v>
      </c>
      <c r="U572" t="s">
        <v>63</v>
      </c>
    </row>
    <row r="573" spans="1:21" x14ac:dyDescent="0.35">
      <c r="A573" t="s">
        <v>50</v>
      </c>
      <c r="B573">
        <v>15</v>
      </c>
      <c r="C573" t="s">
        <v>35</v>
      </c>
      <c r="D573" t="s">
        <v>47</v>
      </c>
      <c r="E573" t="s">
        <v>44</v>
      </c>
      <c r="F573" t="s">
        <v>45</v>
      </c>
      <c r="G573" t="s">
        <v>45</v>
      </c>
      <c r="H573">
        <v>1</v>
      </c>
      <c r="I573">
        <v>0</v>
      </c>
      <c r="J573" t="s">
        <v>43</v>
      </c>
      <c r="K573" t="s">
        <v>43</v>
      </c>
      <c r="L573" t="s">
        <v>43</v>
      </c>
      <c r="M573" t="s">
        <v>42</v>
      </c>
      <c r="N573" t="s">
        <v>43</v>
      </c>
      <c r="O573">
        <v>4</v>
      </c>
      <c r="P573">
        <v>4</v>
      </c>
      <c r="Q573">
        <v>4</v>
      </c>
      <c r="R573" t="s">
        <v>61</v>
      </c>
      <c r="S573">
        <v>0</v>
      </c>
      <c r="T573" s="1">
        <v>9</v>
      </c>
      <c r="U573" t="s">
        <v>63</v>
      </c>
    </row>
    <row r="574" spans="1:21" x14ac:dyDescent="0.35">
      <c r="A574" t="s">
        <v>50</v>
      </c>
      <c r="B574">
        <v>16</v>
      </c>
      <c r="C574" t="s">
        <v>35</v>
      </c>
      <c r="D574" t="s">
        <v>36</v>
      </c>
      <c r="E574" t="s">
        <v>44</v>
      </c>
      <c r="F574" t="s">
        <v>38</v>
      </c>
      <c r="G574" t="s">
        <v>48</v>
      </c>
      <c r="H574">
        <v>1</v>
      </c>
      <c r="I574">
        <v>1</v>
      </c>
      <c r="J574" t="s">
        <v>43</v>
      </c>
      <c r="K574" t="s">
        <v>43</v>
      </c>
      <c r="L574" t="s">
        <v>43</v>
      </c>
      <c r="M574" t="s">
        <v>43</v>
      </c>
      <c r="N574" t="s">
        <v>43</v>
      </c>
      <c r="O574">
        <v>5</v>
      </c>
      <c r="P574">
        <v>3</v>
      </c>
      <c r="Q574">
        <v>3</v>
      </c>
      <c r="R574" t="s">
        <v>61</v>
      </c>
      <c r="S574">
        <v>1</v>
      </c>
      <c r="T574" s="1">
        <v>8.3333333333333339</v>
      </c>
      <c r="U574" t="s">
        <v>63</v>
      </c>
    </row>
    <row r="575" spans="1:21" x14ac:dyDescent="0.35">
      <c r="A575" t="s">
        <v>50</v>
      </c>
      <c r="B575">
        <v>17</v>
      </c>
      <c r="C575" t="s">
        <v>52</v>
      </c>
      <c r="D575" t="s">
        <v>47</v>
      </c>
      <c r="E575" t="s">
        <v>44</v>
      </c>
      <c r="F575" t="s">
        <v>45</v>
      </c>
      <c r="G575" t="s">
        <v>48</v>
      </c>
      <c r="H575">
        <v>2</v>
      </c>
      <c r="I575">
        <v>0</v>
      </c>
      <c r="J575" t="s">
        <v>43</v>
      </c>
      <c r="K575" t="s">
        <v>43</v>
      </c>
      <c r="L575" t="s">
        <v>43</v>
      </c>
      <c r="M575" t="s">
        <v>42</v>
      </c>
      <c r="N575" t="s">
        <v>42</v>
      </c>
      <c r="O575">
        <v>5</v>
      </c>
      <c r="P575">
        <v>3</v>
      </c>
      <c r="Q575">
        <v>5</v>
      </c>
      <c r="R575" t="s">
        <v>61</v>
      </c>
      <c r="S575">
        <v>0</v>
      </c>
      <c r="T575" s="1">
        <v>8</v>
      </c>
      <c r="U575" t="s">
        <v>63</v>
      </c>
    </row>
    <row r="576" spans="1:21" x14ac:dyDescent="0.35">
      <c r="A576" t="s">
        <v>50</v>
      </c>
      <c r="B576">
        <v>17</v>
      </c>
      <c r="C576" t="s">
        <v>35</v>
      </c>
      <c r="D576" t="s">
        <v>36</v>
      </c>
      <c r="E576" t="s">
        <v>44</v>
      </c>
      <c r="F576" t="s">
        <v>48</v>
      </c>
      <c r="G576" t="s">
        <v>48</v>
      </c>
      <c r="H576">
        <v>1</v>
      </c>
      <c r="I576">
        <v>3</v>
      </c>
      <c r="J576" t="s">
        <v>43</v>
      </c>
      <c r="K576" t="s">
        <v>42</v>
      </c>
      <c r="L576" t="s">
        <v>43</v>
      </c>
      <c r="M576" t="s">
        <v>42</v>
      </c>
      <c r="N576" t="s">
        <v>43</v>
      </c>
      <c r="O576">
        <v>4</v>
      </c>
      <c r="P576">
        <v>5</v>
      </c>
      <c r="Q576">
        <v>2</v>
      </c>
      <c r="R576" t="s">
        <v>63</v>
      </c>
      <c r="S576">
        <v>1</v>
      </c>
      <c r="T576" s="1">
        <v>7.666666666666667</v>
      </c>
      <c r="U576" t="s">
        <v>61</v>
      </c>
    </row>
    <row r="577" spans="1:21" x14ac:dyDescent="0.35">
      <c r="A577" t="s">
        <v>50</v>
      </c>
      <c r="B577">
        <v>16</v>
      </c>
      <c r="C577" t="s">
        <v>35</v>
      </c>
      <c r="D577" t="s">
        <v>36</v>
      </c>
      <c r="E577" t="s">
        <v>44</v>
      </c>
      <c r="F577" t="s">
        <v>45</v>
      </c>
      <c r="G577" t="s">
        <v>45</v>
      </c>
      <c r="H577">
        <v>2</v>
      </c>
      <c r="I577">
        <v>0</v>
      </c>
      <c r="J577" t="s">
        <v>43</v>
      </c>
      <c r="K577" t="s">
        <v>43</v>
      </c>
      <c r="L577" t="s">
        <v>43</v>
      </c>
      <c r="M577" t="s">
        <v>43</v>
      </c>
      <c r="N577" t="s">
        <v>43</v>
      </c>
      <c r="O577">
        <v>4</v>
      </c>
      <c r="P577">
        <v>3</v>
      </c>
      <c r="Q577">
        <v>5</v>
      </c>
      <c r="R577" t="s">
        <v>61</v>
      </c>
      <c r="S577">
        <v>0</v>
      </c>
      <c r="T577" s="1">
        <v>10</v>
      </c>
      <c r="U577" t="s">
        <v>63</v>
      </c>
    </row>
    <row r="578" spans="1:21" x14ac:dyDescent="0.35">
      <c r="A578" t="s">
        <v>34</v>
      </c>
      <c r="B578">
        <v>16</v>
      </c>
      <c r="C578" t="s">
        <v>35</v>
      </c>
      <c r="D578" t="s">
        <v>36</v>
      </c>
      <c r="E578" t="s">
        <v>44</v>
      </c>
      <c r="F578" t="s">
        <v>28</v>
      </c>
      <c r="G578" t="s">
        <v>48</v>
      </c>
      <c r="H578">
        <v>2</v>
      </c>
      <c r="I578">
        <v>0</v>
      </c>
      <c r="J578" t="s">
        <v>43</v>
      </c>
      <c r="K578" t="s">
        <v>43</v>
      </c>
      <c r="L578" t="s">
        <v>43</v>
      </c>
      <c r="M578" t="s">
        <v>43</v>
      </c>
      <c r="N578" t="s">
        <v>42</v>
      </c>
      <c r="O578">
        <v>4</v>
      </c>
      <c r="P578">
        <v>2</v>
      </c>
      <c r="Q578">
        <v>3</v>
      </c>
      <c r="R578" t="s">
        <v>61</v>
      </c>
      <c r="S578">
        <v>0</v>
      </c>
      <c r="T578" s="1">
        <v>17.333333333333332</v>
      </c>
      <c r="U578" t="s">
        <v>61</v>
      </c>
    </row>
    <row r="579" spans="1:21" x14ac:dyDescent="0.35">
      <c r="A579" t="s">
        <v>34</v>
      </c>
      <c r="B579">
        <v>16</v>
      </c>
      <c r="C579" t="s">
        <v>35</v>
      </c>
      <c r="D579" t="s">
        <v>36</v>
      </c>
      <c r="E579" t="s">
        <v>44</v>
      </c>
      <c r="F579" t="s">
        <v>45</v>
      </c>
      <c r="G579" t="s">
        <v>45</v>
      </c>
      <c r="H579">
        <v>2</v>
      </c>
      <c r="I579">
        <v>0</v>
      </c>
      <c r="J579" t="s">
        <v>43</v>
      </c>
      <c r="K579" t="s">
        <v>42</v>
      </c>
      <c r="L579" t="s">
        <v>43</v>
      </c>
      <c r="M579" t="s">
        <v>43</v>
      </c>
      <c r="N579" t="s">
        <v>43</v>
      </c>
      <c r="O579">
        <v>5</v>
      </c>
      <c r="P579">
        <v>1</v>
      </c>
      <c r="Q579">
        <v>5</v>
      </c>
      <c r="R579" t="s">
        <v>61</v>
      </c>
      <c r="S579">
        <v>0</v>
      </c>
      <c r="T579" s="1">
        <v>12.333333333333334</v>
      </c>
      <c r="U579" t="s">
        <v>61</v>
      </c>
    </row>
    <row r="580" spans="1:21" x14ac:dyDescent="0.35">
      <c r="A580" t="s">
        <v>34</v>
      </c>
      <c r="B580">
        <v>16</v>
      </c>
      <c r="C580" t="s">
        <v>35</v>
      </c>
      <c r="D580" t="s">
        <v>36</v>
      </c>
      <c r="E580" t="s">
        <v>44</v>
      </c>
      <c r="F580" t="s">
        <v>28</v>
      </c>
      <c r="G580" t="s">
        <v>28</v>
      </c>
      <c r="H580">
        <v>2</v>
      </c>
      <c r="I580">
        <v>0</v>
      </c>
      <c r="J580" t="s">
        <v>43</v>
      </c>
      <c r="K580" t="s">
        <v>42</v>
      </c>
      <c r="L580" t="s">
        <v>43</v>
      </c>
      <c r="M580" t="s">
        <v>43</v>
      </c>
      <c r="N580" t="s">
        <v>42</v>
      </c>
      <c r="O580">
        <v>4</v>
      </c>
      <c r="P580">
        <v>4</v>
      </c>
      <c r="Q580">
        <v>2</v>
      </c>
      <c r="R580" t="s">
        <v>61</v>
      </c>
      <c r="S580">
        <v>0</v>
      </c>
      <c r="T580" s="1">
        <v>16.333333333333332</v>
      </c>
      <c r="U580" t="s">
        <v>61</v>
      </c>
    </row>
    <row r="581" spans="1:21" x14ac:dyDescent="0.35">
      <c r="A581" t="s">
        <v>50</v>
      </c>
      <c r="B581">
        <v>16</v>
      </c>
      <c r="C581" t="s">
        <v>35</v>
      </c>
      <c r="D581" t="s">
        <v>36</v>
      </c>
      <c r="E581" t="s">
        <v>44</v>
      </c>
      <c r="F581" t="s">
        <v>45</v>
      </c>
      <c r="G581" t="s">
        <v>45</v>
      </c>
      <c r="H581">
        <v>1</v>
      </c>
      <c r="I581">
        <v>1</v>
      </c>
      <c r="J581" t="s">
        <v>43</v>
      </c>
      <c r="K581" t="s">
        <v>42</v>
      </c>
      <c r="L581" t="s">
        <v>43</v>
      </c>
      <c r="M581" t="s">
        <v>42</v>
      </c>
      <c r="N581" t="s">
        <v>43</v>
      </c>
      <c r="O581">
        <v>3</v>
      </c>
      <c r="P581">
        <v>4</v>
      </c>
      <c r="Q581">
        <v>5</v>
      </c>
      <c r="R581" t="s">
        <v>61</v>
      </c>
      <c r="S581">
        <v>0</v>
      </c>
      <c r="T581" s="1">
        <v>9.3333333333333339</v>
      </c>
      <c r="U581" t="s">
        <v>63</v>
      </c>
    </row>
    <row r="582" spans="1:21" x14ac:dyDescent="0.35">
      <c r="A582" t="s">
        <v>50</v>
      </c>
      <c r="B582">
        <v>16</v>
      </c>
      <c r="C582" t="s">
        <v>35</v>
      </c>
      <c r="D582" t="s">
        <v>36</v>
      </c>
      <c r="E582" t="s">
        <v>44</v>
      </c>
      <c r="F582" t="s">
        <v>45</v>
      </c>
      <c r="G582" t="s">
        <v>45</v>
      </c>
      <c r="H582">
        <v>2</v>
      </c>
      <c r="I582">
        <v>0</v>
      </c>
      <c r="J582" t="s">
        <v>43</v>
      </c>
      <c r="K582" t="s">
        <v>42</v>
      </c>
      <c r="L582" t="s">
        <v>43</v>
      </c>
      <c r="M582" t="s">
        <v>42</v>
      </c>
      <c r="N582" t="s">
        <v>42</v>
      </c>
      <c r="O582">
        <v>4</v>
      </c>
      <c r="P582">
        <v>3</v>
      </c>
      <c r="Q582">
        <v>2</v>
      </c>
      <c r="R582" t="s">
        <v>61</v>
      </c>
      <c r="S582">
        <v>0</v>
      </c>
      <c r="T582" s="1">
        <v>17</v>
      </c>
      <c r="U582" t="s">
        <v>61</v>
      </c>
    </row>
    <row r="583" spans="1:21" x14ac:dyDescent="0.35">
      <c r="A583" t="s">
        <v>50</v>
      </c>
      <c r="B583">
        <v>17</v>
      </c>
      <c r="C583" t="s">
        <v>35</v>
      </c>
      <c r="D583" t="s">
        <v>47</v>
      </c>
      <c r="E583" t="s">
        <v>44</v>
      </c>
      <c r="F583" t="s">
        <v>39</v>
      </c>
      <c r="G583" t="s">
        <v>45</v>
      </c>
      <c r="H583">
        <v>2</v>
      </c>
      <c r="I583">
        <v>0</v>
      </c>
      <c r="J583" t="s">
        <v>43</v>
      </c>
      <c r="K583" t="s">
        <v>42</v>
      </c>
      <c r="L583" t="s">
        <v>43</v>
      </c>
      <c r="M583" t="s">
        <v>42</v>
      </c>
      <c r="N583" t="s">
        <v>43</v>
      </c>
      <c r="O583">
        <v>4</v>
      </c>
      <c r="P583">
        <v>4</v>
      </c>
      <c r="Q583">
        <v>4</v>
      </c>
      <c r="R583" t="s">
        <v>61</v>
      </c>
      <c r="S583">
        <v>1</v>
      </c>
      <c r="T583" s="1">
        <v>10</v>
      </c>
      <c r="U583" t="s">
        <v>62</v>
      </c>
    </row>
    <row r="584" spans="1:21" x14ac:dyDescent="0.35">
      <c r="A584" t="s">
        <v>34</v>
      </c>
      <c r="B584">
        <v>16</v>
      </c>
      <c r="C584" t="s">
        <v>35</v>
      </c>
      <c r="D584" t="s">
        <v>36</v>
      </c>
      <c r="E584" t="s">
        <v>44</v>
      </c>
      <c r="F584" t="s">
        <v>38</v>
      </c>
      <c r="G584" t="s">
        <v>48</v>
      </c>
      <c r="H584">
        <v>2</v>
      </c>
      <c r="I584">
        <v>0</v>
      </c>
      <c r="J584" t="s">
        <v>43</v>
      </c>
      <c r="K584" t="s">
        <v>43</v>
      </c>
      <c r="L584" t="s">
        <v>43</v>
      </c>
      <c r="M584" t="s">
        <v>42</v>
      </c>
      <c r="N584" t="s">
        <v>42</v>
      </c>
      <c r="O584">
        <v>4</v>
      </c>
      <c r="P584">
        <v>3</v>
      </c>
      <c r="Q584">
        <v>5</v>
      </c>
      <c r="R584" t="s">
        <v>61</v>
      </c>
      <c r="S584">
        <v>1</v>
      </c>
      <c r="T584" s="1">
        <v>13.333333333333334</v>
      </c>
      <c r="U584" t="s">
        <v>61</v>
      </c>
    </row>
    <row r="585" spans="1:21" x14ac:dyDescent="0.35">
      <c r="A585" t="s">
        <v>34</v>
      </c>
      <c r="B585">
        <v>16</v>
      </c>
      <c r="C585" t="s">
        <v>35</v>
      </c>
      <c r="D585" t="s">
        <v>47</v>
      </c>
      <c r="E585" t="s">
        <v>44</v>
      </c>
      <c r="F585" t="s">
        <v>45</v>
      </c>
      <c r="G585" t="s">
        <v>45</v>
      </c>
      <c r="H585">
        <v>2</v>
      </c>
      <c r="I585">
        <v>0</v>
      </c>
      <c r="J585" t="s">
        <v>43</v>
      </c>
      <c r="K585" t="s">
        <v>42</v>
      </c>
      <c r="L585" t="s">
        <v>43</v>
      </c>
      <c r="M585" t="s">
        <v>42</v>
      </c>
      <c r="N585" t="s">
        <v>43</v>
      </c>
      <c r="O585">
        <v>4</v>
      </c>
      <c r="P585">
        <v>4</v>
      </c>
      <c r="Q585">
        <v>5</v>
      </c>
      <c r="R585" t="s">
        <v>61</v>
      </c>
      <c r="S585">
        <v>0</v>
      </c>
      <c r="T585" s="1">
        <v>14.333333333333334</v>
      </c>
      <c r="U585" t="s">
        <v>61</v>
      </c>
    </row>
    <row r="586" spans="1:21" x14ac:dyDescent="0.35">
      <c r="A586" t="s">
        <v>50</v>
      </c>
      <c r="B586">
        <v>17</v>
      </c>
      <c r="C586" t="s">
        <v>35</v>
      </c>
      <c r="D586" t="s">
        <v>47</v>
      </c>
      <c r="E586" t="s">
        <v>44</v>
      </c>
      <c r="F586" t="s">
        <v>39</v>
      </c>
      <c r="G586" t="s">
        <v>45</v>
      </c>
      <c r="H586">
        <v>2</v>
      </c>
      <c r="I586">
        <v>0</v>
      </c>
      <c r="J586" t="s">
        <v>43</v>
      </c>
      <c r="K586" t="s">
        <v>43</v>
      </c>
      <c r="L586" t="s">
        <v>43</v>
      </c>
      <c r="M586" t="s">
        <v>42</v>
      </c>
      <c r="N586" t="s">
        <v>43</v>
      </c>
      <c r="O586">
        <v>4</v>
      </c>
      <c r="P586">
        <v>4</v>
      </c>
      <c r="Q586">
        <v>4</v>
      </c>
      <c r="R586" t="s">
        <v>61</v>
      </c>
      <c r="S586">
        <v>0</v>
      </c>
      <c r="T586" s="1">
        <v>10.666666666666666</v>
      </c>
      <c r="U586" t="s">
        <v>63</v>
      </c>
    </row>
    <row r="587" spans="1:21" x14ac:dyDescent="0.35">
      <c r="A587" t="s">
        <v>34</v>
      </c>
      <c r="B587">
        <v>16</v>
      </c>
      <c r="C587" t="s">
        <v>35</v>
      </c>
      <c r="D587" t="s">
        <v>36</v>
      </c>
      <c r="E587" t="s">
        <v>44</v>
      </c>
      <c r="F587" t="s">
        <v>48</v>
      </c>
      <c r="G587" t="s">
        <v>45</v>
      </c>
      <c r="H587">
        <v>2</v>
      </c>
      <c r="I587">
        <v>0</v>
      </c>
      <c r="J587" t="s">
        <v>43</v>
      </c>
      <c r="K587" t="s">
        <v>43</v>
      </c>
      <c r="L587" t="s">
        <v>43</v>
      </c>
      <c r="M587" t="s">
        <v>42</v>
      </c>
      <c r="N587" t="s">
        <v>43</v>
      </c>
      <c r="O587">
        <v>3</v>
      </c>
      <c r="P587">
        <v>4</v>
      </c>
      <c r="Q587">
        <v>4</v>
      </c>
      <c r="R587" t="s">
        <v>61</v>
      </c>
      <c r="S587">
        <v>1</v>
      </c>
      <c r="T587" s="1">
        <v>13</v>
      </c>
      <c r="U587" t="s">
        <v>63</v>
      </c>
    </row>
    <row r="588" spans="1:21" x14ac:dyDescent="0.35">
      <c r="A588" t="s">
        <v>50</v>
      </c>
      <c r="B588">
        <v>17</v>
      </c>
      <c r="C588" t="s">
        <v>35</v>
      </c>
      <c r="D588" t="s">
        <v>36</v>
      </c>
      <c r="E588" t="s">
        <v>44</v>
      </c>
      <c r="F588" t="s">
        <v>45</v>
      </c>
      <c r="G588" t="s">
        <v>45</v>
      </c>
      <c r="H588">
        <v>2</v>
      </c>
      <c r="I588">
        <v>0</v>
      </c>
      <c r="J588" t="s">
        <v>43</v>
      </c>
      <c r="K588" t="s">
        <v>43</v>
      </c>
      <c r="L588" t="s">
        <v>43</v>
      </c>
      <c r="M588" t="s">
        <v>42</v>
      </c>
      <c r="N588" t="s">
        <v>43</v>
      </c>
      <c r="O588">
        <v>4</v>
      </c>
      <c r="P588">
        <v>3</v>
      </c>
      <c r="Q588">
        <v>4</v>
      </c>
      <c r="R588" t="s">
        <v>61</v>
      </c>
      <c r="S588">
        <v>1</v>
      </c>
      <c r="T588" s="1">
        <v>10</v>
      </c>
      <c r="U588" t="s">
        <v>63</v>
      </c>
    </row>
    <row r="589" spans="1:21" x14ac:dyDescent="0.35">
      <c r="A589" t="s">
        <v>50</v>
      </c>
      <c r="B589">
        <v>16</v>
      </c>
      <c r="C589" t="s">
        <v>52</v>
      </c>
      <c r="D589" t="s">
        <v>36</v>
      </c>
      <c r="E589" t="s">
        <v>44</v>
      </c>
      <c r="F589" t="s">
        <v>39</v>
      </c>
      <c r="G589" t="s">
        <v>48</v>
      </c>
      <c r="H589">
        <v>1</v>
      </c>
      <c r="I589">
        <v>0</v>
      </c>
      <c r="J589" t="s">
        <v>43</v>
      </c>
      <c r="K589" t="s">
        <v>42</v>
      </c>
      <c r="L589" t="s">
        <v>43</v>
      </c>
      <c r="M589" t="s">
        <v>42</v>
      </c>
      <c r="N589" t="s">
        <v>42</v>
      </c>
      <c r="O589">
        <v>4</v>
      </c>
      <c r="P589">
        <v>3</v>
      </c>
      <c r="Q589">
        <v>3</v>
      </c>
      <c r="R589" t="s">
        <v>62</v>
      </c>
      <c r="S589">
        <v>1</v>
      </c>
      <c r="T589" s="1">
        <v>10</v>
      </c>
      <c r="U589" t="s">
        <v>63</v>
      </c>
    </row>
    <row r="590" spans="1:21" x14ac:dyDescent="0.35">
      <c r="A590" t="s">
        <v>50</v>
      </c>
      <c r="B590">
        <v>17</v>
      </c>
      <c r="C590" t="s">
        <v>35</v>
      </c>
      <c r="D590" t="s">
        <v>36</v>
      </c>
      <c r="E590" t="s">
        <v>44</v>
      </c>
      <c r="F590" t="s">
        <v>45</v>
      </c>
      <c r="G590" t="s">
        <v>45</v>
      </c>
      <c r="H590">
        <v>2</v>
      </c>
      <c r="I590">
        <v>0</v>
      </c>
      <c r="J590" t="s">
        <v>43</v>
      </c>
      <c r="K590" t="s">
        <v>42</v>
      </c>
      <c r="L590" t="s">
        <v>42</v>
      </c>
      <c r="M590" t="s">
        <v>42</v>
      </c>
      <c r="N590" t="s">
        <v>42</v>
      </c>
      <c r="O590">
        <v>5</v>
      </c>
      <c r="P590">
        <v>2</v>
      </c>
      <c r="Q590">
        <v>3</v>
      </c>
      <c r="R590" t="s">
        <v>61</v>
      </c>
      <c r="S590">
        <v>0</v>
      </c>
      <c r="T590" s="1">
        <v>11.666666666666666</v>
      </c>
      <c r="U590" t="s">
        <v>61</v>
      </c>
    </row>
    <row r="591" spans="1:21" x14ac:dyDescent="0.35">
      <c r="A591" t="s">
        <v>50</v>
      </c>
      <c r="B591">
        <v>16</v>
      </c>
      <c r="C591" t="s">
        <v>35</v>
      </c>
      <c r="D591" t="s">
        <v>36</v>
      </c>
      <c r="E591" t="s">
        <v>44</v>
      </c>
      <c r="F591" t="s">
        <v>39</v>
      </c>
      <c r="G591" t="s">
        <v>45</v>
      </c>
      <c r="H591">
        <v>2</v>
      </c>
      <c r="I591">
        <v>0</v>
      </c>
      <c r="J591" t="s">
        <v>43</v>
      </c>
      <c r="K591" t="s">
        <v>42</v>
      </c>
      <c r="L591" t="s">
        <v>42</v>
      </c>
      <c r="M591" t="s">
        <v>42</v>
      </c>
      <c r="N591" t="s">
        <v>43</v>
      </c>
      <c r="O591">
        <v>3</v>
      </c>
      <c r="P591">
        <v>4</v>
      </c>
      <c r="Q591">
        <v>3</v>
      </c>
      <c r="R591" t="s">
        <v>61</v>
      </c>
      <c r="S591">
        <v>1</v>
      </c>
      <c r="T591" s="1">
        <v>10.666666666666666</v>
      </c>
      <c r="U591" t="s">
        <v>63</v>
      </c>
    </row>
    <row r="592" spans="1:21" x14ac:dyDescent="0.35">
      <c r="A592" t="s">
        <v>50</v>
      </c>
      <c r="B592">
        <v>16</v>
      </c>
      <c r="C592" t="s">
        <v>35</v>
      </c>
      <c r="D592" t="s">
        <v>36</v>
      </c>
      <c r="E592" t="s">
        <v>44</v>
      </c>
      <c r="F592" t="s">
        <v>48</v>
      </c>
      <c r="G592" t="s">
        <v>45</v>
      </c>
      <c r="H592">
        <v>2</v>
      </c>
      <c r="I592">
        <v>0</v>
      </c>
      <c r="J592" t="s">
        <v>43</v>
      </c>
      <c r="K592" t="s">
        <v>43</v>
      </c>
      <c r="L592" t="s">
        <v>43</v>
      </c>
      <c r="M592" t="s">
        <v>42</v>
      </c>
      <c r="N592" t="s">
        <v>42</v>
      </c>
      <c r="O592">
        <v>4</v>
      </c>
      <c r="P592">
        <v>2</v>
      </c>
      <c r="Q592">
        <v>3</v>
      </c>
      <c r="R592" t="s">
        <v>61</v>
      </c>
      <c r="S592">
        <v>0</v>
      </c>
      <c r="T592" s="1">
        <v>12</v>
      </c>
      <c r="U592" t="s">
        <v>62</v>
      </c>
    </row>
    <row r="593" spans="1:21" x14ac:dyDescent="0.35">
      <c r="A593" t="s">
        <v>34</v>
      </c>
      <c r="B593">
        <v>17</v>
      </c>
      <c r="C593" t="s">
        <v>35</v>
      </c>
      <c r="D593" t="s">
        <v>36</v>
      </c>
      <c r="E593" t="s">
        <v>44</v>
      </c>
      <c r="F593" t="s">
        <v>48</v>
      </c>
      <c r="G593" t="s">
        <v>48</v>
      </c>
      <c r="H593">
        <v>2</v>
      </c>
      <c r="I593">
        <v>0</v>
      </c>
      <c r="J593" t="s">
        <v>43</v>
      </c>
      <c r="K593" t="s">
        <v>42</v>
      </c>
      <c r="L593" t="s">
        <v>43</v>
      </c>
      <c r="M593" t="s">
        <v>42</v>
      </c>
      <c r="N593" t="s">
        <v>43</v>
      </c>
      <c r="O593">
        <v>5</v>
      </c>
      <c r="P593">
        <v>4</v>
      </c>
      <c r="Q593">
        <v>2</v>
      </c>
      <c r="R593" t="s">
        <v>61</v>
      </c>
      <c r="S593">
        <v>1</v>
      </c>
      <c r="T593" s="1">
        <v>17.333333333333332</v>
      </c>
      <c r="U593" t="s">
        <v>63</v>
      </c>
    </row>
    <row r="594" spans="1:21" x14ac:dyDescent="0.35">
      <c r="A594" t="s">
        <v>34</v>
      </c>
      <c r="B594">
        <v>17</v>
      </c>
      <c r="C594" t="s">
        <v>35</v>
      </c>
      <c r="D594" t="s">
        <v>47</v>
      </c>
      <c r="E594" t="s">
        <v>44</v>
      </c>
      <c r="F594" t="s">
        <v>45</v>
      </c>
      <c r="G594" t="s">
        <v>45</v>
      </c>
      <c r="H594">
        <v>2</v>
      </c>
      <c r="I594">
        <v>0</v>
      </c>
      <c r="J594" t="s">
        <v>43</v>
      </c>
      <c r="K594" t="s">
        <v>42</v>
      </c>
      <c r="L594" t="s">
        <v>43</v>
      </c>
      <c r="M594" t="s">
        <v>42</v>
      </c>
      <c r="N594" t="s">
        <v>42</v>
      </c>
      <c r="O594">
        <v>5</v>
      </c>
      <c r="P594">
        <v>3</v>
      </c>
      <c r="Q594">
        <v>3</v>
      </c>
      <c r="R594" t="s">
        <v>63</v>
      </c>
      <c r="S594">
        <v>1</v>
      </c>
      <c r="T594" s="1">
        <v>13.666666666666666</v>
      </c>
      <c r="U594" t="s">
        <v>63</v>
      </c>
    </row>
    <row r="595" spans="1:21" x14ac:dyDescent="0.35">
      <c r="A595" t="s">
        <v>34</v>
      </c>
      <c r="B595">
        <v>16</v>
      </c>
      <c r="C595" t="s">
        <v>35</v>
      </c>
      <c r="D595" t="s">
        <v>36</v>
      </c>
      <c r="E595" t="s">
        <v>44</v>
      </c>
      <c r="F595" t="s">
        <v>45</v>
      </c>
      <c r="G595" t="s">
        <v>45</v>
      </c>
      <c r="H595">
        <v>2</v>
      </c>
      <c r="I595">
        <v>0</v>
      </c>
      <c r="J595" t="s">
        <v>43</v>
      </c>
      <c r="K595" t="s">
        <v>42</v>
      </c>
      <c r="L595" t="s">
        <v>43</v>
      </c>
      <c r="M595" t="s">
        <v>43</v>
      </c>
      <c r="N595" t="s">
        <v>43</v>
      </c>
      <c r="O595">
        <v>1</v>
      </c>
      <c r="P595">
        <v>2</v>
      </c>
      <c r="Q595">
        <v>2</v>
      </c>
      <c r="R595" t="s">
        <v>62</v>
      </c>
      <c r="S595">
        <v>0</v>
      </c>
      <c r="T595" s="1">
        <v>15</v>
      </c>
      <c r="U595" t="s">
        <v>62</v>
      </c>
    </row>
    <row r="596" spans="1:21" x14ac:dyDescent="0.35">
      <c r="A596" t="s">
        <v>50</v>
      </c>
      <c r="B596">
        <v>17</v>
      </c>
      <c r="C596" t="s">
        <v>35</v>
      </c>
      <c r="D596" t="s">
        <v>36</v>
      </c>
      <c r="E596" t="s">
        <v>44</v>
      </c>
      <c r="F596" t="s">
        <v>48</v>
      </c>
      <c r="G596" t="s">
        <v>48</v>
      </c>
      <c r="H596">
        <v>2</v>
      </c>
      <c r="I596">
        <v>0</v>
      </c>
      <c r="J596" t="s">
        <v>43</v>
      </c>
      <c r="K596" t="s">
        <v>42</v>
      </c>
      <c r="L596" t="s">
        <v>43</v>
      </c>
      <c r="M596" t="s">
        <v>42</v>
      </c>
      <c r="N596" t="s">
        <v>42</v>
      </c>
      <c r="O596">
        <v>4</v>
      </c>
      <c r="P596">
        <v>3</v>
      </c>
      <c r="Q596">
        <v>4</v>
      </c>
      <c r="R596" t="s">
        <v>62</v>
      </c>
      <c r="S596">
        <v>0</v>
      </c>
      <c r="T596" s="1">
        <v>12.666666666666666</v>
      </c>
      <c r="U596" t="s">
        <v>63</v>
      </c>
    </row>
    <row r="597" spans="1:21" x14ac:dyDescent="0.35">
      <c r="A597" t="s">
        <v>50</v>
      </c>
      <c r="B597">
        <v>16</v>
      </c>
      <c r="C597" t="s">
        <v>35</v>
      </c>
      <c r="D597" t="s">
        <v>36</v>
      </c>
      <c r="E597" t="s">
        <v>44</v>
      </c>
      <c r="F597" t="s">
        <v>48</v>
      </c>
      <c r="G597" t="s">
        <v>48</v>
      </c>
      <c r="H597">
        <v>1</v>
      </c>
      <c r="I597">
        <v>0</v>
      </c>
      <c r="J597" t="s">
        <v>43</v>
      </c>
      <c r="K597" t="s">
        <v>42</v>
      </c>
      <c r="L597" t="s">
        <v>43</v>
      </c>
      <c r="M597" t="s">
        <v>42</v>
      </c>
      <c r="N597" t="s">
        <v>42</v>
      </c>
      <c r="O597">
        <v>3</v>
      </c>
      <c r="P597">
        <v>3</v>
      </c>
      <c r="Q597">
        <v>3</v>
      </c>
      <c r="R597" t="s">
        <v>61</v>
      </c>
      <c r="S597">
        <v>1</v>
      </c>
      <c r="T597" s="1">
        <v>10</v>
      </c>
      <c r="U597" t="s">
        <v>62</v>
      </c>
    </row>
    <row r="598" spans="1:21" x14ac:dyDescent="0.35">
      <c r="A598" t="s">
        <v>50</v>
      </c>
      <c r="B598">
        <v>16</v>
      </c>
      <c r="C598" t="s">
        <v>35</v>
      </c>
      <c r="D598" t="s">
        <v>47</v>
      </c>
      <c r="E598" t="s">
        <v>44</v>
      </c>
      <c r="F598" t="s">
        <v>45</v>
      </c>
      <c r="G598" t="s">
        <v>45</v>
      </c>
      <c r="H598">
        <v>2</v>
      </c>
      <c r="I598">
        <v>0</v>
      </c>
      <c r="J598" t="s">
        <v>43</v>
      </c>
      <c r="K598" t="s">
        <v>43</v>
      </c>
      <c r="L598" t="s">
        <v>43</v>
      </c>
      <c r="M598" t="s">
        <v>42</v>
      </c>
      <c r="N598" t="s">
        <v>42</v>
      </c>
      <c r="O598">
        <v>4</v>
      </c>
      <c r="P598">
        <v>2</v>
      </c>
      <c r="Q598">
        <v>3</v>
      </c>
      <c r="R598" t="s">
        <v>61</v>
      </c>
      <c r="S598">
        <v>0</v>
      </c>
      <c r="T598" s="1">
        <v>14.333333333333334</v>
      </c>
      <c r="U598" t="s">
        <v>62</v>
      </c>
    </row>
    <row r="599" spans="1:21" x14ac:dyDescent="0.35">
      <c r="A599" t="s">
        <v>34</v>
      </c>
      <c r="B599">
        <v>17</v>
      </c>
      <c r="C599" t="s">
        <v>35</v>
      </c>
      <c r="D599" t="s">
        <v>36</v>
      </c>
      <c r="E599" t="s">
        <v>37</v>
      </c>
      <c r="F599" t="s">
        <v>28</v>
      </c>
      <c r="G599" t="s">
        <v>45</v>
      </c>
      <c r="H599">
        <v>2</v>
      </c>
      <c r="I599">
        <v>0</v>
      </c>
      <c r="J599" t="s">
        <v>43</v>
      </c>
      <c r="K599" t="s">
        <v>42</v>
      </c>
      <c r="L599" t="s">
        <v>43</v>
      </c>
      <c r="M599" t="s">
        <v>43</v>
      </c>
      <c r="N599" t="s">
        <v>42</v>
      </c>
      <c r="O599">
        <v>3</v>
      </c>
      <c r="P599">
        <v>3</v>
      </c>
      <c r="Q599">
        <v>3</v>
      </c>
      <c r="R599" t="s">
        <v>63</v>
      </c>
      <c r="S599">
        <v>0</v>
      </c>
      <c r="T599" s="1">
        <v>13</v>
      </c>
      <c r="U599" t="s">
        <v>62</v>
      </c>
    </row>
    <row r="600" spans="1:21" x14ac:dyDescent="0.35">
      <c r="A600" t="s">
        <v>50</v>
      </c>
      <c r="B600">
        <v>17</v>
      </c>
      <c r="C600" t="s">
        <v>52</v>
      </c>
      <c r="D600" t="s">
        <v>36</v>
      </c>
      <c r="E600" t="s">
        <v>44</v>
      </c>
      <c r="F600" t="s">
        <v>38</v>
      </c>
      <c r="G600" t="s">
        <v>45</v>
      </c>
      <c r="H600">
        <v>2</v>
      </c>
      <c r="I600">
        <v>0</v>
      </c>
      <c r="J600" t="s">
        <v>43</v>
      </c>
      <c r="K600" t="s">
        <v>43</v>
      </c>
      <c r="L600" t="s">
        <v>43</v>
      </c>
      <c r="M600" t="s">
        <v>43</v>
      </c>
      <c r="N600" t="s">
        <v>43</v>
      </c>
      <c r="O600">
        <v>3</v>
      </c>
      <c r="P600">
        <v>1</v>
      </c>
      <c r="Q600">
        <v>3</v>
      </c>
      <c r="R600" t="s">
        <v>62</v>
      </c>
      <c r="S600">
        <v>0</v>
      </c>
      <c r="T600" s="1">
        <v>9.3333333333333339</v>
      </c>
      <c r="U600" t="s">
        <v>63</v>
      </c>
    </row>
    <row r="601" spans="1:21" x14ac:dyDescent="0.35">
      <c r="A601" t="s">
        <v>34</v>
      </c>
      <c r="B601">
        <v>16</v>
      </c>
      <c r="C601" t="s">
        <v>35</v>
      </c>
      <c r="D601" t="s">
        <v>36</v>
      </c>
      <c r="E601" t="s">
        <v>44</v>
      </c>
      <c r="F601" t="s">
        <v>48</v>
      </c>
      <c r="G601" t="s">
        <v>48</v>
      </c>
      <c r="H601">
        <v>2</v>
      </c>
      <c r="I601">
        <v>0</v>
      </c>
      <c r="J601" t="s">
        <v>43</v>
      </c>
      <c r="K601" t="s">
        <v>43</v>
      </c>
      <c r="L601" t="s">
        <v>43</v>
      </c>
      <c r="M601" t="s">
        <v>43</v>
      </c>
      <c r="N601" t="s">
        <v>43</v>
      </c>
      <c r="O601">
        <v>4</v>
      </c>
      <c r="P601">
        <v>3</v>
      </c>
      <c r="Q601">
        <v>3</v>
      </c>
      <c r="R601" t="s">
        <v>62</v>
      </c>
      <c r="S601">
        <v>0</v>
      </c>
      <c r="T601" s="1">
        <v>12.333333333333334</v>
      </c>
      <c r="U601" t="s">
        <v>61</v>
      </c>
    </row>
    <row r="602" spans="1:21" x14ac:dyDescent="0.35">
      <c r="A602" t="s">
        <v>34</v>
      </c>
      <c r="B602">
        <v>17</v>
      </c>
      <c r="C602" t="s">
        <v>35</v>
      </c>
      <c r="D602" t="s">
        <v>36</v>
      </c>
      <c r="E602" t="s">
        <v>44</v>
      </c>
      <c r="F602" t="s">
        <v>38</v>
      </c>
      <c r="G602" t="s">
        <v>48</v>
      </c>
      <c r="H602">
        <v>2</v>
      </c>
      <c r="I602">
        <v>0</v>
      </c>
      <c r="J602" t="s">
        <v>43</v>
      </c>
      <c r="K602" t="s">
        <v>43</v>
      </c>
      <c r="L602" t="s">
        <v>43</v>
      </c>
      <c r="M602" t="s">
        <v>42</v>
      </c>
      <c r="N602" t="s">
        <v>43</v>
      </c>
      <c r="O602">
        <v>5</v>
      </c>
      <c r="P602">
        <v>3</v>
      </c>
      <c r="Q602">
        <v>3</v>
      </c>
      <c r="R602" t="s">
        <v>61</v>
      </c>
      <c r="S602">
        <v>1</v>
      </c>
      <c r="T602" s="1">
        <v>11.666666666666666</v>
      </c>
      <c r="U602" t="s">
        <v>61</v>
      </c>
    </row>
    <row r="603" spans="1:21" x14ac:dyDescent="0.35">
      <c r="A603" t="s">
        <v>50</v>
      </c>
      <c r="B603">
        <v>17</v>
      </c>
      <c r="C603" t="s">
        <v>35</v>
      </c>
      <c r="D603" t="s">
        <v>36</v>
      </c>
      <c r="E603" t="s">
        <v>44</v>
      </c>
      <c r="F603" t="s">
        <v>38</v>
      </c>
      <c r="G603" t="s">
        <v>48</v>
      </c>
      <c r="H603">
        <v>2</v>
      </c>
      <c r="I603">
        <v>0</v>
      </c>
      <c r="J603" t="s">
        <v>43</v>
      </c>
      <c r="K603" t="s">
        <v>43</v>
      </c>
      <c r="L603" t="s">
        <v>43</v>
      </c>
      <c r="M603" t="s">
        <v>42</v>
      </c>
      <c r="N603" t="s">
        <v>43</v>
      </c>
      <c r="O603">
        <v>4</v>
      </c>
      <c r="P603">
        <v>4</v>
      </c>
      <c r="Q603">
        <v>4</v>
      </c>
      <c r="R603" t="s">
        <v>63</v>
      </c>
      <c r="S603">
        <v>0</v>
      </c>
      <c r="T603" s="1">
        <v>11</v>
      </c>
      <c r="U603" t="s">
        <v>63</v>
      </c>
    </row>
    <row r="604" spans="1:21" x14ac:dyDescent="0.35">
      <c r="A604" t="s">
        <v>50</v>
      </c>
      <c r="B604">
        <v>16</v>
      </c>
      <c r="C604" t="s">
        <v>52</v>
      </c>
      <c r="D604" t="s">
        <v>36</v>
      </c>
      <c r="E604" t="s">
        <v>44</v>
      </c>
      <c r="F604" t="s">
        <v>48</v>
      </c>
      <c r="G604" t="s">
        <v>48</v>
      </c>
      <c r="H604">
        <v>1</v>
      </c>
      <c r="I604">
        <v>0</v>
      </c>
      <c r="J604" t="s">
        <v>43</v>
      </c>
      <c r="K604" t="s">
        <v>42</v>
      </c>
      <c r="L604" t="s">
        <v>43</v>
      </c>
      <c r="M604" t="s">
        <v>42</v>
      </c>
      <c r="N604" t="s">
        <v>43</v>
      </c>
      <c r="O604">
        <v>4</v>
      </c>
      <c r="P604">
        <v>3</v>
      </c>
      <c r="Q604">
        <v>2</v>
      </c>
      <c r="R604" t="s">
        <v>61</v>
      </c>
      <c r="S604">
        <v>1</v>
      </c>
      <c r="T604" s="1">
        <v>10.333333333333334</v>
      </c>
      <c r="U604" t="s">
        <v>63</v>
      </c>
    </row>
    <row r="605" spans="1:21" x14ac:dyDescent="0.35">
      <c r="A605" t="s">
        <v>50</v>
      </c>
      <c r="B605">
        <v>16</v>
      </c>
      <c r="C605" t="s">
        <v>35</v>
      </c>
      <c r="D605" t="s">
        <v>36</v>
      </c>
      <c r="E605" t="s">
        <v>44</v>
      </c>
      <c r="F605" t="s">
        <v>45</v>
      </c>
      <c r="G605" t="s">
        <v>45</v>
      </c>
      <c r="H605">
        <v>1</v>
      </c>
      <c r="I605">
        <v>0</v>
      </c>
      <c r="J605" t="s">
        <v>43</v>
      </c>
      <c r="K605" t="s">
        <v>43</v>
      </c>
      <c r="L605" t="s">
        <v>43</v>
      </c>
      <c r="M605" t="s">
        <v>43</v>
      </c>
      <c r="N605" t="s">
        <v>43</v>
      </c>
      <c r="O605">
        <v>5</v>
      </c>
      <c r="P605">
        <v>3</v>
      </c>
      <c r="Q605">
        <v>3</v>
      </c>
      <c r="R605" t="s">
        <v>61</v>
      </c>
      <c r="S605">
        <v>1</v>
      </c>
      <c r="T605" s="1">
        <v>12.333333333333334</v>
      </c>
      <c r="U605" t="s">
        <v>61</v>
      </c>
    </row>
    <row r="606" spans="1:21" x14ac:dyDescent="0.35">
      <c r="A606" t="s">
        <v>34</v>
      </c>
      <c r="B606">
        <v>17</v>
      </c>
      <c r="C606" t="s">
        <v>35</v>
      </c>
      <c r="D606" t="s">
        <v>47</v>
      </c>
      <c r="E606" t="s">
        <v>44</v>
      </c>
      <c r="F606" t="s">
        <v>48</v>
      </c>
      <c r="G606" t="s">
        <v>48</v>
      </c>
      <c r="H606">
        <v>2</v>
      </c>
      <c r="I606">
        <v>0</v>
      </c>
      <c r="J606" t="s">
        <v>43</v>
      </c>
      <c r="K606" t="s">
        <v>43</v>
      </c>
      <c r="L606" t="s">
        <v>43</v>
      </c>
      <c r="M606" t="s">
        <v>42</v>
      </c>
      <c r="N606" t="s">
        <v>42</v>
      </c>
      <c r="O606">
        <v>4</v>
      </c>
      <c r="P606">
        <v>3</v>
      </c>
      <c r="Q606">
        <v>2</v>
      </c>
      <c r="R606" t="s">
        <v>62</v>
      </c>
      <c r="S606">
        <v>0</v>
      </c>
      <c r="T606" s="1">
        <v>15</v>
      </c>
      <c r="U606" t="s">
        <v>61</v>
      </c>
    </row>
    <row r="607" spans="1:21" x14ac:dyDescent="0.35">
      <c r="A607" t="s">
        <v>50</v>
      </c>
      <c r="B607">
        <v>17</v>
      </c>
      <c r="C607" t="s">
        <v>35</v>
      </c>
      <c r="D607" t="s">
        <v>36</v>
      </c>
      <c r="E607" t="s">
        <v>44</v>
      </c>
      <c r="F607" t="s">
        <v>48</v>
      </c>
      <c r="G607" t="s">
        <v>39</v>
      </c>
      <c r="H607">
        <v>1</v>
      </c>
      <c r="I607">
        <v>0</v>
      </c>
      <c r="J607" t="s">
        <v>43</v>
      </c>
      <c r="K607" t="s">
        <v>43</v>
      </c>
      <c r="L607" t="s">
        <v>43</v>
      </c>
      <c r="M607" t="s">
        <v>43</v>
      </c>
      <c r="N607" t="s">
        <v>43</v>
      </c>
      <c r="O607">
        <v>5</v>
      </c>
      <c r="P607">
        <v>2</v>
      </c>
      <c r="Q607">
        <v>3</v>
      </c>
      <c r="R607" t="s">
        <v>61</v>
      </c>
      <c r="S607">
        <v>0</v>
      </c>
      <c r="T607" s="1">
        <v>13.333333333333334</v>
      </c>
      <c r="U607" t="s">
        <v>62</v>
      </c>
    </row>
    <row r="608" spans="1:21" x14ac:dyDescent="0.35">
      <c r="A608" t="s">
        <v>50</v>
      </c>
      <c r="B608">
        <v>16</v>
      </c>
      <c r="C608" t="s">
        <v>52</v>
      </c>
      <c r="D608" t="s">
        <v>47</v>
      </c>
      <c r="E608" t="s">
        <v>44</v>
      </c>
      <c r="F608" t="s">
        <v>39</v>
      </c>
      <c r="G608" t="s">
        <v>45</v>
      </c>
      <c r="H608">
        <v>1</v>
      </c>
      <c r="I608">
        <v>0</v>
      </c>
      <c r="J608" t="s">
        <v>43</v>
      </c>
      <c r="K608" t="s">
        <v>42</v>
      </c>
      <c r="L608" t="s">
        <v>43</v>
      </c>
      <c r="M608" t="s">
        <v>42</v>
      </c>
      <c r="N608" t="s">
        <v>43</v>
      </c>
      <c r="O608">
        <v>3</v>
      </c>
      <c r="P608">
        <v>3</v>
      </c>
      <c r="Q608">
        <v>4</v>
      </c>
      <c r="R608" t="s">
        <v>63</v>
      </c>
      <c r="S608">
        <v>0</v>
      </c>
      <c r="T608" s="1">
        <v>11</v>
      </c>
      <c r="U608" t="s">
        <v>63</v>
      </c>
    </row>
    <row r="609" spans="1:21" x14ac:dyDescent="0.35">
      <c r="A609" t="s">
        <v>34</v>
      </c>
      <c r="B609">
        <v>17</v>
      </c>
      <c r="C609" t="s">
        <v>35</v>
      </c>
      <c r="D609" t="s">
        <v>36</v>
      </c>
      <c r="E609" t="s">
        <v>44</v>
      </c>
      <c r="F609" t="s">
        <v>48</v>
      </c>
      <c r="G609" t="s">
        <v>39</v>
      </c>
      <c r="H609">
        <v>1</v>
      </c>
      <c r="I609">
        <v>1</v>
      </c>
      <c r="J609" t="s">
        <v>43</v>
      </c>
      <c r="K609" t="s">
        <v>42</v>
      </c>
      <c r="L609" t="s">
        <v>43</v>
      </c>
      <c r="M609" t="s">
        <v>43</v>
      </c>
      <c r="N609" t="s">
        <v>43</v>
      </c>
      <c r="O609">
        <v>4</v>
      </c>
      <c r="P609">
        <v>2</v>
      </c>
      <c r="Q609">
        <v>4</v>
      </c>
      <c r="R609" t="s">
        <v>63</v>
      </c>
      <c r="S609">
        <v>0</v>
      </c>
      <c r="T609" s="1">
        <v>15</v>
      </c>
      <c r="U609" t="s">
        <v>63</v>
      </c>
    </row>
    <row r="610" spans="1:21" x14ac:dyDescent="0.35">
      <c r="A610" t="s">
        <v>34</v>
      </c>
      <c r="B610">
        <v>16</v>
      </c>
      <c r="C610" t="s">
        <v>35</v>
      </c>
      <c r="D610" t="s">
        <v>47</v>
      </c>
      <c r="E610" t="s">
        <v>44</v>
      </c>
      <c r="F610" t="s">
        <v>39</v>
      </c>
      <c r="G610" t="s">
        <v>39</v>
      </c>
      <c r="H610">
        <v>2</v>
      </c>
      <c r="I610">
        <v>0</v>
      </c>
      <c r="J610" t="s">
        <v>43</v>
      </c>
      <c r="K610" t="s">
        <v>42</v>
      </c>
      <c r="L610" t="s">
        <v>43</v>
      </c>
      <c r="M610" t="s">
        <v>43</v>
      </c>
      <c r="N610" t="s">
        <v>43</v>
      </c>
      <c r="O610">
        <v>4</v>
      </c>
      <c r="P610">
        <v>5</v>
      </c>
      <c r="Q610">
        <v>2</v>
      </c>
      <c r="R610" t="s">
        <v>61</v>
      </c>
      <c r="S610">
        <v>1</v>
      </c>
      <c r="T610" s="1">
        <v>10.666666666666666</v>
      </c>
      <c r="U610" t="s">
        <v>62</v>
      </c>
    </row>
    <row r="611" spans="1:21" x14ac:dyDescent="0.35">
      <c r="A611" t="s">
        <v>34</v>
      </c>
      <c r="B611">
        <v>16</v>
      </c>
      <c r="C611" t="s">
        <v>35</v>
      </c>
      <c r="D611" t="s">
        <v>36</v>
      </c>
      <c r="E611" t="s">
        <v>44</v>
      </c>
      <c r="F611" t="s">
        <v>28</v>
      </c>
      <c r="G611" t="s">
        <v>45</v>
      </c>
      <c r="H611">
        <v>2</v>
      </c>
      <c r="I611">
        <v>0</v>
      </c>
      <c r="J611" t="s">
        <v>43</v>
      </c>
      <c r="K611" t="s">
        <v>42</v>
      </c>
      <c r="L611" t="s">
        <v>43</v>
      </c>
      <c r="M611" t="s">
        <v>42</v>
      </c>
      <c r="N611" t="s">
        <v>43</v>
      </c>
      <c r="O611">
        <v>4</v>
      </c>
      <c r="P611">
        <v>3</v>
      </c>
      <c r="Q611">
        <v>5</v>
      </c>
      <c r="R611" t="s">
        <v>61</v>
      </c>
      <c r="S611">
        <v>0</v>
      </c>
      <c r="T611" s="1">
        <v>14.333333333333334</v>
      </c>
      <c r="U611" t="s">
        <v>63</v>
      </c>
    </row>
    <row r="612" spans="1:21" x14ac:dyDescent="0.35">
      <c r="A612" t="s">
        <v>34</v>
      </c>
      <c r="B612">
        <v>16</v>
      </c>
      <c r="C612" t="s">
        <v>35</v>
      </c>
      <c r="D612" t="s">
        <v>36</v>
      </c>
      <c r="E612" t="s">
        <v>44</v>
      </c>
      <c r="F612" t="s">
        <v>45</v>
      </c>
      <c r="G612" t="s">
        <v>45</v>
      </c>
      <c r="H612">
        <v>2</v>
      </c>
      <c r="I612">
        <v>0</v>
      </c>
      <c r="J612" t="s">
        <v>42</v>
      </c>
      <c r="K612" t="s">
        <v>42</v>
      </c>
      <c r="L612" t="s">
        <v>43</v>
      </c>
      <c r="M612" t="s">
        <v>42</v>
      </c>
      <c r="N612" t="s">
        <v>43</v>
      </c>
      <c r="O612">
        <v>4</v>
      </c>
      <c r="P612">
        <v>4</v>
      </c>
      <c r="Q612">
        <v>3</v>
      </c>
      <c r="R612" t="s">
        <v>61</v>
      </c>
      <c r="S612">
        <v>0</v>
      </c>
      <c r="T612" s="1">
        <v>11.666666666666666</v>
      </c>
      <c r="U612" t="s">
        <v>62</v>
      </c>
    </row>
    <row r="613" spans="1:21" x14ac:dyDescent="0.35">
      <c r="A613" t="s">
        <v>34</v>
      </c>
      <c r="B613">
        <v>17</v>
      </c>
      <c r="C613" t="s">
        <v>35</v>
      </c>
      <c r="D613" t="s">
        <v>36</v>
      </c>
      <c r="E613" t="s">
        <v>44</v>
      </c>
      <c r="F613" t="s">
        <v>45</v>
      </c>
      <c r="G613" t="s">
        <v>45</v>
      </c>
      <c r="H613">
        <v>2</v>
      </c>
      <c r="I613">
        <v>0</v>
      </c>
      <c r="J613" t="s">
        <v>43</v>
      </c>
      <c r="K613" t="s">
        <v>42</v>
      </c>
      <c r="L613" t="s">
        <v>43</v>
      </c>
      <c r="M613" t="s">
        <v>43</v>
      </c>
      <c r="N613" t="s">
        <v>43</v>
      </c>
      <c r="O613">
        <v>4</v>
      </c>
      <c r="P613">
        <v>4</v>
      </c>
      <c r="Q613">
        <v>4</v>
      </c>
      <c r="R613" t="s">
        <v>61</v>
      </c>
      <c r="S613">
        <v>0</v>
      </c>
      <c r="T613" s="1">
        <v>14.666666666666666</v>
      </c>
      <c r="U613" t="s">
        <v>62</v>
      </c>
    </row>
    <row r="614" spans="1:21" x14ac:dyDescent="0.35">
      <c r="A614" t="s">
        <v>34</v>
      </c>
      <c r="B614">
        <v>17</v>
      </c>
      <c r="C614" t="s">
        <v>52</v>
      </c>
      <c r="D614" t="s">
        <v>36</v>
      </c>
      <c r="E614" t="s">
        <v>44</v>
      </c>
      <c r="F614" t="s">
        <v>45</v>
      </c>
      <c r="G614" t="s">
        <v>45</v>
      </c>
      <c r="H614">
        <v>1</v>
      </c>
      <c r="I614">
        <v>0</v>
      </c>
      <c r="J614" t="s">
        <v>43</v>
      </c>
      <c r="K614" t="s">
        <v>42</v>
      </c>
      <c r="L614" t="s">
        <v>43</v>
      </c>
      <c r="M614" t="s">
        <v>43</v>
      </c>
      <c r="N614" t="s">
        <v>43</v>
      </c>
      <c r="O614">
        <v>5</v>
      </c>
      <c r="P614">
        <v>3</v>
      </c>
      <c r="Q614">
        <v>2</v>
      </c>
      <c r="R614" t="s">
        <v>63</v>
      </c>
      <c r="S614">
        <v>0</v>
      </c>
      <c r="T614" s="1">
        <v>13</v>
      </c>
      <c r="U614" t="s">
        <v>62</v>
      </c>
    </row>
    <row r="615" spans="1:21" x14ac:dyDescent="0.35">
      <c r="A615" t="s">
        <v>34</v>
      </c>
      <c r="B615">
        <v>16</v>
      </c>
      <c r="C615" t="s">
        <v>52</v>
      </c>
      <c r="D615" t="s">
        <v>36</v>
      </c>
      <c r="E615" t="s">
        <v>44</v>
      </c>
      <c r="F615" t="s">
        <v>48</v>
      </c>
      <c r="G615" t="s">
        <v>48</v>
      </c>
      <c r="H615">
        <v>4</v>
      </c>
      <c r="I615">
        <v>0</v>
      </c>
      <c r="J615" t="s">
        <v>43</v>
      </c>
      <c r="K615" t="s">
        <v>42</v>
      </c>
      <c r="L615" t="s">
        <v>43</v>
      </c>
      <c r="M615" t="s">
        <v>42</v>
      </c>
      <c r="N615" t="s">
        <v>43</v>
      </c>
      <c r="O615">
        <v>5</v>
      </c>
      <c r="P615">
        <v>3</v>
      </c>
      <c r="Q615">
        <v>5</v>
      </c>
      <c r="R615" t="s">
        <v>62</v>
      </c>
      <c r="S615">
        <v>0</v>
      </c>
      <c r="T615" s="1">
        <v>13</v>
      </c>
      <c r="U615" t="s">
        <v>61</v>
      </c>
    </row>
    <row r="616" spans="1:21" x14ac:dyDescent="0.35">
      <c r="A616" t="s">
        <v>34</v>
      </c>
      <c r="B616">
        <v>17</v>
      </c>
      <c r="C616" t="s">
        <v>35</v>
      </c>
      <c r="D616" t="s">
        <v>36</v>
      </c>
      <c r="E616" t="s">
        <v>44</v>
      </c>
      <c r="F616" t="s">
        <v>38</v>
      </c>
      <c r="G616" t="s">
        <v>48</v>
      </c>
      <c r="H616">
        <v>3</v>
      </c>
      <c r="I616">
        <v>1</v>
      </c>
      <c r="J616" t="s">
        <v>43</v>
      </c>
      <c r="K616" t="s">
        <v>42</v>
      </c>
      <c r="L616" t="s">
        <v>42</v>
      </c>
      <c r="M616" t="s">
        <v>43</v>
      </c>
      <c r="N616" t="s">
        <v>42</v>
      </c>
      <c r="O616">
        <v>4</v>
      </c>
      <c r="P616">
        <v>4</v>
      </c>
      <c r="Q616">
        <v>3</v>
      </c>
      <c r="R616" t="s">
        <v>63</v>
      </c>
      <c r="S616">
        <v>1</v>
      </c>
      <c r="T616" s="1">
        <v>8.3333333333333339</v>
      </c>
      <c r="U616" t="s">
        <v>63</v>
      </c>
    </row>
    <row r="617" spans="1:21" x14ac:dyDescent="0.35">
      <c r="A617" t="s">
        <v>34</v>
      </c>
      <c r="B617">
        <v>16</v>
      </c>
      <c r="C617" t="s">
        <v>35</v>
      </c>
      <c r="D617" t="s">
        <v>36</v>
      </c>
      <c r="E617" t="s">
        <v>37</v>
      </c>
      <c r="F617" t="s">
        <v>48</v>
      </c>
      <c r="G617" t="s">
        <v>45</v>
      </c>
      <c r="H617">
        <v>2</v>
      </c>
      <c r="I617">
        <v>0</v>
      </c>
      <c r="J617" t="s">
        <v>43</v>
      </c>
      <c r="K617" t="s">
        <v>42</v>
      </c>
      <c r="L617" t="s">
        <v>43</v>
      </c>
      <c r="M617" t="s">
        <v>43</v>
      </c>
      <c r="N617" t="s">
        <v>43</v>
      </c>
      <c r="O617">
        <v>2</v>
      </c>
      <c r="P617">
        <v>3</v>
      </c>
      <c r="Q617">
        <v>3</v>
      </c>
      <c r="R617" t="s">
        <v>61</v>
      </c>
      <c r="S617">
        <v>0</v>
      </c>
      <c r="T617" s="1">
        <v>11.333333333333334</v>
      </c>
      <c r="U617" t="s">
        <v>62</v>
      </c>
    </row>
    <row r="618" spans="1:21" x14ac:dyDescent="0.35">
      <c r="A618" t="s">
        <v>34</v>
      </c>
      <c r="B618">
        <v>16</v>
      </c>
      <c r="C618" t="s">
        <v>35</v>
      </c>
      <c r="D618" t="s">
        <v>36</v>
      </c>
      <c r="E618" t="s">
        <v>44</v>
      </c>
      <c r="F618" t="s">
        <v>39</v>
      </c>
      <c r="G618" t="s">
        <v>45</v>
      </c>
      <c r="H618">
        <v>2</v>
      </c>
      <c r="I618">
        <v>0</v>
      </c>
      <c r="J618" t="s">
        <v>43</v>
      </c>
      <c r="K618" t="s">
        <v>43</v>
      </c>
      <c r="L618" t="s">
        <v>43</v>
      </c>
      <c r="M618" t="s">
        <v>42</v>
      </c>
      <c r="N618" t="s">
        <v>42</v>
      </c>
      <c r="O618">
        <v>1</v>
      </c>
      <c r="P618">
        <v>3</v>
      </c>
      <c r="Q618">
        <v>2</v>
      </c>
      <c r="R618" t="s">
        <v>61</v>
      </c>
      <c r="S618">
        <v>0</v>
      </c>
      <c r="T618" s="1">
        <v>14.666666666666666</v>
      </c>
      <c r="U618" t="s">
        <v>61</v>
      </c>
    </row>
    <row r="619" spans="1:21" x14ac:dyDescent="0.35">
      <c r="A619" t="s">
        <v>34</v>
      </c>
      <c r="B619">
        <v>16</v>
      </c>
      <c r="C619" t="s">
        <v>35</v>
      </c>
      <c r="D619" t="s">
        <v>36</v>
      </c>
      <c r="E619" t="s">
        <v>44</v>
      </c>
      <c r="F619" t="s">
        <v>38</v>
      </c>
      <c r="G619" t="s">
        <v>45</v>
      </c>
      <c r="H619">
        <v>1</v>
      </c>
      <c r="I619">
        <v>0</v>
      </c>
      <c r="J619" t="s">
        <v>43</v>
      </c>
      <c r="K619" t="s">
        <v>42</v>
      </c>
      <c r="L619" t="s">
        <v>43</v>
      </c>
      <c r="M619" t="s">
        <v>43</v>
      </c>
      <c r="N619" t="s">
        <v>43</v>
      </c>
      <c r="O619">
        <v>4</v>
      </c>
      <c r="P619">
        <v>3</v>
      </c>
      <c r="Q619">
        <v>2</v>
      </c>
      <c r="R619" t="s">
        <v>61</v>
      </c>
      <c r="S619">
        <v>0</v>
      </c>
      <c r="T619" s="1">
        <v>12.666666666666666</v>
      </c>
      <c r="U619" t="s">
        <v>63</v>
      </c>
    </row>
    <row r="620" spans="1:21" x14ac:dyDescent="0.35">
      <c r="A620" t="s">
        <v>34</v>
      </c>
      <c r="B620">
        <v>17</v>
      </c>
      <c r="C620" t="s">
        <v>52</v>
      </c>
      <c r="D620" t="s">
        <v>36</v>
      </c>
      <c r="E620" t="s">
        <v>44</v>
      </c>
      <c r="F620" t="s">
        <v>39</v>
      </c>
      <c r="G620" t="s">
        <v>45</v>
      </c>
      <c r="H620">
        <v>3</v>
      </c>
      <c r="I620">
        <v>0</v>
      </c>
      <c r="J620" t="s">
        <v>43</v>
      </c>
      <c r="K620" t="s">
        <v>42</v>
      </c>
      <c r="L620" t="s">
        <v>43</v>
      </c>
      <c r="M620" t="s">
        <v>42</v>
      </c>
      <c r="N620" t="s">
        <v>42</v>
      </c>
      <c r="O620">
        <v>4</v>
      </c>
      <c r="P620">
        <v>4</v>
      </c>
      <c r="Q620">
        <v>2</v>
      </c>
      <c r="R620" t="s">
        <v>61</v>
      </c>
      <c r="S620">
        <v>0</v>
      </c>
      <c r="T620" s="1">
        <v>11.666666666666666</v>
      </c>
      <c r="U620" t="s">
        <v>61</v>
      </c>
    </row>
    <row r="621" spans="1:21" x14ac:dyDescent="0.35">
      <c r="A621" t="s">
        <v>34</v>
      </c>
      <c r="B621">
        <v>19</v>
      </c>
      <c r="C621" t="s">
        <v>35</v>
      </c>
      <c r="D621" t="s">
        <v>36</v>
      </c>
      <c r="E621" t="s">
        <v>44</v>
      </c>
      <c r="F621" t="s">
        <v>45</v>
      </c>
      <c r="G621" t="s">
        <v>45</v>
      </c>
      <c r="H621">
        <v>4</v>
      </c>
      <c r="I621">
        <v>0</v>
      </c>
      <c r="J621" t="s">
        <v>43</v>
      </c>
      <c r="K621" t="s">
        <v>42</v>
      </c>
      <c r="L621" t="s">
        <v>43</v>
      </c>
      <c r="M621" t="s">
        <v>42</v>
      </c>
      <c r="N621" t="s">
        <v>43</v>
      </c>
      <c r="O621">
        <v>4</v>
      </c>
      <c r="P621">
        <v>3</v>
      </c>
      <c r="Q621">
        <v>3</v>
      </c>
      <c r="R621" t="s">
        <v>61</v>
      </c>
      <c r="S621">
        <v>0</v>
      </c>
      <c r="T621" s="1">
        <v>12</v>
      </c>
      <c r="U621" t="s">
        <v>62</v>
      </c>
    </row>
    <row r="622" spans="1:21" x14ac:dyDescent="0.35">
      <c r="A622" t="s">
        <v>50</v>
      </c>
      <c r="B622">
        <v>17</v>
      </c>
      <c r="C622" t="s">
        <v>35</v>
      </c>
      <c r="D622" t="s">
        <v>47</v>
      </c>
      <c r="E622" t="s">
        <v>44</v>
      </c>
      <c r="F622" t="s">
        <v>48</v>
      </c>
      <c r="G622" t="s">
        <v>45</v>
      </c>
      <c r="H622">
        <v>2</v>
      </c>
      <c r="I622">
        <v>0</v>
      </c>
      <c r="J622" t="s">
        <v>43</v>
      </c>
      <c r="K622" t="s">
        <v>42</v>
      </c>
      <c r="L622" t="s">
        <v>43</v>
      </c>
      <c r="M622" t="s">
        <v>43</v>
      </c>
      <c r="N622" t="s">
        <v>42</v>
      </c>
      <c r="O622">
        <v>5</v>
      </c>
      <c r="P622">
        <v>3</v>
      </c>
      <c r="Q622">
        <v>5</v>
      </c>
      <c r="R622" t="s">
        <v>63</v>
      </c>
      <c r="S622">
        <v>1</v>
      </c>
      <c r="T622" s="1">
        <v>12.333333333333334</v>
      </c>
      <c r="U622" t="s">
        <v>63</v>
      </c>
    </row>
    <row r="623" spans="1:21" x14ac:dyDescent="0.35">
      <c r="A623" t="s">
        <v>34</v>
      </c>
      <c r="B623">
        <v>16</v>
      </c>
      <c r="C623" t="s">
        <v>35</v>
      </c>
      <c r="D623" t="s">
        <v>36</v>
      </c>
      <c r="E623" t="s">
        <v>37</v>
      </c>
      <c r="F623" t="s">
        <v>45</v>
      </c>
      <c r="G623" t="s">
        <v>45</v>
      </c>
      <c r="H623">
        <v>2</v>
      </c>
      <c r="I623">
        <v>0</v>
      </c>
      <c r="J623" t="s">
        <v>42</v>
      </c>
      <c r="K623" t="s">
        <v>42</v>
      </c>
      <c r="L623" t="s">
        <v>43</v>
      </c>
      <c r="M623" t="s">
        <v>43</v>
      </c>
      <c r="N623" t="s">
        <v>43</v>
      </c>
      <c r="O623">
        <v>3</v>
      </c>
      <c r="P623">
        <v>3</v>
      </c>
      <c r="Q623">
        <v>4</v>
      </c>
      <c r="R623" t="s">
        <v>61</v>
      </c>
      <c r="S623">
        <v>0</v>
      </c>
      <c r="T623" s="1">
        <v>13</v>
      </c>
      <c r="U623" t="s">
        <v>61</v>
      </c>
    </row>
    <row r="624" spans="1:21" x14ac:dyDescent="0.35">
      <c r="A624" t="s">
        <v>50</v>
      </c>
      <c r="B624">
        <v>18</v>
      </c>
      <c r="C624" t="s">
        <v>35</v>
      </c>
      <c r="D624" t="s">
        <v>36</v>
      </c>
      <c r="E624" t="s">
        <v>44</v>
      </c>
      <c r="F624" t="s">
        <v>48</v>
      </c>
      <c r="G624" t="s">
        <v>45</v>
      </c>
      <c r="H624">
        <v>2</v>
      </c>
      <c r="I624">
        <v>0</v>
      </c>
      <c r="J624" t="s">
        <v>43</v>
      </c>
      <c r="K624" t="s">
        <v>42</v>
      </c>
      <c r="L624" t="s">
        <v>43</v>
      </c>
      <c r="M624" t="s">
        <v>42</v>
      </c>
      <c r="N624" t="s">
        <v>43</v>
      </c>
      <c r="O624">
        <v>4</v>
      </c>
      <c r="P624">
        <v>4</v>
      </c>
      <c r="Q624">
        <v>4</v>
      </c>
      <c r="R624" t="s">
        <v>63</v>
      </c>
      <c r="S624">
        <v>1</v>
      </c>
      <c r="T624" s="1">
        <v>11.333333333333334</v>
      </c>
      <c r="U624" t="s">
        <v>63</v>
      </c>
    </row>
    <row r="625" spans="1:21" x14ac:dyDescent="0.35">
      <c r="A625" t="s">
        <v>34</v>
      </c>
      <c r="B625">
        <v>17</v>
      </c>
      <c r="C625" t="s">
        <v>52</v>
      </c>
      <c r="D625" t="s">
        <v>47</v>
      </c>
      <c r="E625" t="s">
        <v>44</v>
      </c>
      <c r="F625" t="s">
        <v>48</v>
      </c>
      <c r="G625" t="s">
        <v>45</v>
      </c>
      <c r="H625">
        <v>1</v>
      </c>
      <c r="I625">
        <v>0</v>
      </c>
      <c r="J625" t="s">
        <v>43</v>
      </c>
      <c r="K625" t="s">
        <v>42</v>
      </c>
      <c r="L625" t="s">
        <v>43</v>
      </c>
      <c r="M625" t="s">
        <v>43</v>
      </c>
      <c r="N625" t="s">
        <v>43</v>
      </c>
      <c r="O625">
        <v>5</v>
      </c>
      <c r="P625">
        <v>2</v>
      </c>
      <c r="Q625">
        <v>1</v>
      </c>
      <c r="R625" t="s">
        <v>62</v>
      </c>
      <c r="S625">
        <v>1</v>
      </c>
      <c r="T625" s="1">
        <v>11.333333333333334</v>
      </c>
      <c r="U625" t="s">
        <v>62</v>
      </c>
    </row>
    <row r="626" spans="1:21" x14ac:dyDescent="0.35">
      <c r="A626" t="s">
        <v>34</v>
      </c>
      <c r="B626">
        <v>17</v>
      </c>
      <c r="C626" t="s">
        <v>35</v>
      </c>
      <c r="D626" t="s">
        <v>47</v>
      </c>
      <c r="E626" t="s">
        <v>44</v>
      </c>
      <c r="F626" t="s">
        <v>45</v>
      </c>
      <c r="G626" t="s">
        <v>45</v>
      </c>
      <c r="H626">
        <v>2</v>
      </c>
      <c r="I626">
        <v>0</v>
      </c>
      <c r="J626" t="s">
        <v>43</v>
      </c>
      <c r="K626" t="s">
        <v>43</v>
      </c>
      <c r="L626" t="s">
        <v>43</v>
      </c>
      <c r="M626" t="s">
        <v>43</v>
      </c>
      <c r="N626" t="s">
        <v>43</v>
      </c>
      <c r="O626">
        <v>4</v>
      </c>
      <c r="P626">
        <v>4</v>
      </c>
      <c r="Q626">
        <v>4</v>
      </c>
      <c r="R626" t="s">
        <v>61</v>
      </c>
      <c r="S626">
        <v>1</v>
      </c>
      <c r="T626" s="1">
        <v>15</v>
      </c>
      <c r="U626" t="s">
        <v>62</v>
      </c>
    </row>
    <row r="627" spans="1:21" x14ac:dyDescent="0.35">
      <c r="A627" t="s">
        <v>34</v>
      </c>
      <c r="B627">
        <v>17</v>
      </c>
      <c r="C627" t="s">
        <v>35</v>
      </c>
      <c r="D627" t="s">
        <v>36</v>
      </c>
      <c r="E627" t="s">
        <v>44</v>
      </c>
      <c r="F627" t="s">
        <v>45</v>
      </c>
      <c r="G627" t="s">
        <v>45</v>
      </c>
      <c r="H627">
        <v>2</v>
      </c>
      <c r="I627">
        <v>0</v>
      </c>
      <c r="J627" t="s">
        <v>43</v>
      </c>
      <c r="K627" t="s">
        <v>43</v>
      </c>
      <c r="L627" t="s">
        <v>43</v>
      </c>
      <c r="M627" t="s">
        <v>43</v>
      </c>
      <c r="N627" t="s">
        <v>42</v>
      </c>
      <c r="O627">
        <v>3</v>
      </c>
      <c r="P627">
        <v>4</v>
      </c>
      <c r="Q627">
        <v>5</v>
      </c>
      <c r="R627" t="s">
        <v>63</v>
      </c>
      <c r="S627">
        <v>1</v>
      </c>
      <c r="T627" s="1">
        <v>10</v>
      </c>
      <c r="U627" t="s">
        <v>63</v>
      </c>
    </row>
    <row r="628" spans="1:21" x14ac:dyDescent="0.35">
      <c r="A628" t="s">
        <v>50</v>
      </c>
      <c r="B628">
        <v>18</v>
      </c>
      <c r="C628" t="s">
        <v>35</v>
      </c>
      <c r="D628" t="s">
        <v>47</v>
      </c>
      <c r="E628" t="s">
        <v>44</v>
      </c>
      <c r="F628" t="s">
        <v>48</v>
      </c>
      <c r="G628" t="s">
        <v>28</v>
      </c>
      <c r="H628">
        <v>2</v>
      </c>
      <c r="I628">
        <v>0</v>
      </c>
      <c r="J628" t="s">
        <v>43</v>
      </c>
      <c r="K628" t="s">
        <v>42</v>
      </c>
      <c r="L628" t="s">
        <v>43</v>
      </c>
      <c r="M628" t="s">
        <v>43</v>
      </c>
      <c r="N628" t="s">
        <v>43</v>
      </c>
      <c r="O628">
        <v>3</v>
      </c>
      <c r="P628">
        <v>2</v>
      </c>
      <c r="Q628">
        <v>4</v>
      </c>
      <c r="R628" t="s">
        <v>63</v>
      </c>
      <c r="S628">
        <v>0</v>
      </c>
      <c r="T628" s="1">
        <v>10</v>
      </c>
      <c r="U628" t="s">
        <v>63</v>
      </c>
    </row>
    <row r="629" spans="1:21" x14ac:dyDescent="0.35">
      <c r="A629" t="s">
        <v>34</v>
      </c>
      <c r="B629">
        <v>17</v>
      </c>
      <c r="C629" t="s">
        <v>35</v>
      </c>
      <c r="D629" t="s">
        <v>36</v>
      </c>
      <c r="E629" t="s">
        <v>44</v>
      </c>
      <c r="F629" t="s">
        <v>38</v>
      </c>
      <c r="G629" t="s">
        <v>45</v>
      </c>
      <c r="H629">
        <v>1</v>
      </c>
      <c r="I629">
        <v>0</v>
      </c>
      <c r="J629" t="s">
        <v>43</v>
      </c>
      <c r="K629" t="s">
        <v>42</v>
      </c>
      <c r="L629" t="s">
        <v>43</v>
      </c>
      <c r="M629" t="s">
        <v>43</v>
      </c>
      <c r="N629" t="s">
        <v>43</v>
      </c>
      <c r="O629">
        <v>3</v>
      </c>
      <c r="P629">
        <v>3</v>
      </c>
      <c r="Q629">
        <v>3</v>
      </c>
      <c r="R629" t="s">
        <v>61</v>
      </c>
      <c r="S629">
        <v>0</v>
      </c>
      <c r="T629" s="1">
        <v>12.666666666666666</v>
      </c>
      <c r="U629" t="s">
        <v>63</v>
      </c>
    </row>
    <row r="630" spans="1:21" x14ac:dyDescent="0.35">
      <c r="A630" t="s">
        <v>34</v>
      </c>
      <c r="B630">
        <v>17</v>
      </c>
      <c r="C630" t="s">
        <v>35</v>
      </c>
      <c r="D630" t="s">
        <v>36</v>
      </c>
      <c r="E630" t="s">
        <v>44</v>
      </c>
      <c r="F630" t="s">
        <v>38</v>
      </c>
      <c r="G630" t="s">
        <v>38</v>
      </c>
      <c r="H630">
        <v>3</v>
      </c>
      <c r="I630">
        <v>0</v>
      </c>
      <c r="J630" t="s">
        <v>43</v>
      </c>
      <c r="K630" t="s">
        <v>42</v>
      </c>
      <c r="L630" t="s">
        <v>43</v>
      </c>
      <c r="M630" t="s">
        <v>42</v>
      </c>
      <c r="N630" t="s">
        <v>43</v>
      </c>
      <c r="O630">
        <v>4</v>
      </c>
      <c r="P630">
        <v>3</v>
      </c>
      <c r="Q630">
        <v>3</v>
      </c>
      <c r="R630" t="s">
        <v>61</v>
      </c>
      <c r="S630">
        <v>0</v>
      </c>
      <c r="T630" s="1">
        <v>12.333333333333334</v>
      </c>
      <c r="U630" t="s">
        <v>61</v>
      </c>
    </row>
    <row r="631" spans="1:21" x14ac:dyDescent="0.35">
      <c r="A631" t="s">
        <v>34</v>
      </c>
      <c r="B631">
        <v>17</v>
      </c>
      <c r="C631" t="s">
        <v>52</v>
      </c>
      <c r="D631" t="s">
        <v>36</v>
      </c>
      <c r="E631" t="s">
        <v>44</v>
      </c>
      <c r="F631" t="s">
        <v>38</v>
      </c>
      <c r="G631" t="s">
        <v>48</v>
      </c>
      <c r="H631">
        <v>2</v>
      </c>
      <c r="I631">
        <v>0</v>
      </c>
      <c r="J631" t="s">
        <v>43</v>
      </c>
      <c r="K631" t="s">
        <v>42</v>
      </c>
      <c r="L631" t="s">
        <v>43</v>
      </c>
      <c r="M631" t="s">
        <v>42</v>
      </c>
      <c r="N631" t="s">
        <v>43</v>
      </c>
      <c r="O631">
        <v>4</v>
      </c>
      <c r="P631">
        <v>2</v>
      </c>
      <c r="Q631">
        <v>5</v>
      </c>
      <c r="R631" t="s">
        <v>61</v>
      </c>
      <c r="S631">
        <v>1</v>
      </c>
      <c r="T631" s="1">
        <v>10.666666666666666</v>
      </c>
      <c r="U631" t="s">
        <v>62</v>
      </c>
    </row>
    <row r="632" spans="1:21" x14ac:dyDescent="0.35">
      <c r="A632" t="s">
        <v>34</v>
      </c>
      <c r="B632">
        <v>17</v>
      </c>
      <c r="C632" t="s">
        <v>35</v>
      </c>
      <c r="D632" t="s">
        <v>36</v>
      </c>
      <c r="E632" t="s">
        <v>44</v>
      </c>
      <c r="F632" t="s">
        <v>38</v>
      </c>
      <c r="G632" t="s">
        <v>45</v>
      </c>
      <c r="H632">
        <v>3</v>
      </c>
      <c r="I632">
        <v>0</v>
      </c>
      <c r="J632" t="s">
        <v>43</v>
      </c>
      <c r="K632" t="s">
        <v>42</v>
      </c>
      <c r="L632" t="s">
        <v>43</v>
      </c>
      <c r="M632" t="s">
        <v>42</v>
      </c>
      <c r="N632" t="s">
        <v>42</v>
      </c>
      <c r="O632">
        <v>4</v>
      </c>
      <c r="P632">
        <v>3</v>
      </c>
      <c r="Q632">
        <v>4</v>
      </c>
      <c r="R632" t="s">
        <v>63</v>
      </c>
      <c r="S632">
        <v>0</v>
      </c>
      <c r="T632" s="1">
        <v>12</v>
      </c>
      <c r="U632" t="s">
        <v>61</v>
      </c>
    </row>
    <row r="633" spans="1:21" x14ac:dyDescent="0.35">
      <c r="A633" t="s">
        <v>34</v>
      </c>
      <c r="B633">
        <v>16</v>
      </c>
      <c r="C633" t="s">
        <v>35</v>
      </c>
      <c r="D633" t="s">
        <v>36</v>
      </c>
      <c r="E633" t="s">
        <v>44</v>
      </c>
      <c r="F633" t="s">
        <v>48</v>
      </c>
      <c r="G633" t="s">
        <v>39</v>
      </c>
      <c r="H633">
        <v>2</v>
      </c>
      <c r="I633">
        <v>0</v>
      </c>
      <c r="J633" t="s">
        <v>42</v>
      </c>
      <c r="K633" t="s">
        <v>43</v>
      </c>
      <c r="L633" t="s">
        <v>43</v>
      </c>
      <c r="M633" t="s">
        <v>43</v>
      </c>
      <c r="N633" t="s">
        <v>43</v>
      </c>
      <c r="O633">
        <v>2</v>
      </c>
      <c r="P633">
        <v>3</v>
      </c>
      <c r="Q633">
        <v>1</v>
      </c>
      <c r="R633" t="s">
        <v>61</v>
      </c>
      <c r="S633">
        <v>0</v>
      </c>
      <c r="T633" s="1">
        <v>13.333333333333334</v>
      </c>
      <c r="U633" t="s">
        <v>61</v>
      </c>
    </row>
    <row r="634" spans="1:21" x14ac:dyDescent="0.35">
      <c r="A634" t="s">
        <v>50</v>
      </c>
      <c r="B634">
        <v>18</v>
      </c>
      <c r="C634" t="s">
        <v>35</v>
      </c>
      <c r="D634" t="s">
        <v>36</v>
      </c>
      <c r="E634" t="s">
        <v>44</v>
      </c>
      <c r="F634" t="s">
        <v>45</v>
      </c>
      <c r="G634" t="s">
        <v>45</v>
      </c>
      <c r="H634">
        <v>2</v>
      </c>
      <c r="I634">
        <v>3</v>
      </c>
      <c r="J634" t="s">
        <v>43</v>
      </c>
      <c r="K634" t="s">
        <v>42</v>
      </c>
      <c r="L634" t="s">
        <v>42</v>
      </c>
      <c r="M634" t="s">
        <v>43</v>
      </c>
      <c r="N634" t="s">
        <v>43</v>
      </c>
      <c r="O634">
        <v>3</v>
      </c>
      <c r="P634">
        <v>3</v>
      </c>
      <c r="Q634">
        <v>3</v>
      </c>
      <c r="R634" t="s">
        <v>62</v>
      </c>
      <c r="S634">
        <v>1</v>
      </c>
      <c r="T634" s="1">
        <v>9.6666666666666661</v>
      </c>
      <c r="U634" t="s">
        <v>63</v>
      </c>
    </row>
    <row r="635" spans="1:21" x14ac:dyDescent="0.35">
      <c r="A635" t="s">
        <v>34</v>
      </c>
      <c r="B635">
        <v>16</v>
      </c>
      <c r="C635" t="s">
        <v>35</v>
      </c>
      <c r="D635" t="s">
        <v>36</v>
      </c>
      <c r="E635" t="s">
        <v>44</v>
      </c>
      <c r="F635" t="s">
        <v>39</v>
      </c>
      <c r="G635" t="s">
        <v>48</v>
      </c>
      <c r="H635">
        <v>3</v>
      </c>
      <c r="I635">
        <v>0</v>
      </c>
      <c r="J635" t="s">
        <v>43</v>
      </c>
      <c r="K635" t="s">
        <v>42</v>
      </c>
      <c r="L635" t="s">
        <v>43</v>
      </c>
      <c r="M635" t="s">
        <v>42</v>
      </c>
      <c r="N635" t="s">
        <v>43</v>
      </c>
      <c r="O635">
        <v>5</v>
      </c>
      <c r="P635">
        <v>3</v>
      </c>
      <c r="Q635">
        <v>2</v>
      </c>
      <c r="R635" t="s">
        <v>61</v>
      </c>
      <c r="S635">
        <v>0</v>
      </c>
      <c r="T635" s="1">
        <v>15.666666666666666</v>
      </c>
      <c r="U635" t="s">
        <v>61</v>
      </c>
    </row>
    <row r="636" spans="1:21" x14ac:dyDescent="0.35">
      <c r="A636" t="s">
        <v>34</v>
      </c>
      <c r="B636">
        <v>18</v>
      </c>
      <c r="C636" t="s">
        <v>52</v>
      </c>
      <c r="D636" t="s">
        <v>36</v>
      </c>
      <c r="E636" t="s">
        <v>44</v>
      </c>
      <c r="F636" t="s">
        <v>45</v>
      </c>
      <c r="G636" t="s">
        <v>45</v>
      </c>
      <c r="H636">
        <v>2</v>
      </c>
      <c r="I636">
        <v>0</v>
      </c>
      <c r="J636" t="s">
        <v>43</v>
      </c>
      <c r="K636" t="s">
        <v>43</v>
      </c>
      <c r="L636" t="s">
        <v>43</v>
      </c>
      <c r="M636" t="s">
        <v>42</v>
      </c>
      <c r="N636" t="s">
        <v>42</v>
      </c>
      <c r="O636">
        <v>5</v>
      </c>
      <c r="P636">
        <v>3</v>
      </c>
      <c r="Q636">
        <v>3</v>
      </c>
      <c r="R636" t="s">
        <v>61</v>
      </c>
      <c r="S636">
        <v>0</v>
      </c>
      <c r="T636" s="1">
        <v>8</v>
      </c>
      <c r="U636" t="s">
        <v>61</v>
      </c>
    </row>
    <row r="637" spans="1:21" x14ac:dyDescent="0.35">
      <c r="A637" t="s">
        <v>34</v>
      </c>
      <c r="B637">
        <v>17</v>
      </c>
      <c r="C637" t="s">
        <v>35</v>
      </c>
      <c r="D637" t="s">
        <v>36</v>
      </c>
      <c r="E637" t="s">
        <v>44</v>
      </c>
      <c r="F637" t="s">
        <v>45</v>
      </c>
      <c r="G637" t="s">
        <v>45</v>
      </c>
      <c r="H637">
        <v>2</v>
      </c>
      <c r="I637">
        <v>0</v>
      </c>
      <c r="J637" t="s">
        <v>43</v>
      </c>
      <c r="K637" t="s">
        <v>43</v>
      </c>
      <c r="L637" t="s">
        <v>43</v>
      </c>
      <c r="M637" t="s">
        <v>42</v>
      </c>
      <c r="N637" t="s">
        <v>43</v>
      </c>
      <c r="O637">
        <v>5</v>
      </c>
      <c r="P637">
        <v>3</v>
      </c>
      <c r="Q637">
        <v>4</v>
      </c>
      <c r="R637" t="s">
        <v>61</v>
      </c>
      <c r="S637">
        <v>1</v>
      </c>
      <c r="T637" s="1">
        <v>17.333333333333332</v>
      </c>
      <c r="U637" t="s">
        <v>62</v>
      </c>
    </row>
    <row r="638" spans="1:21" x14ac:dyDescent="0.35">
      <c r="A638" t="s">
        <v>50</v>
      </c>
      <c r="B638">
        <v>17</v>
      </c>
      <c r="C638" t="s">
        <v>35</v>
      </c>
      <c r="D638" t="s">
        <v>47</v>
      </c>
      <c r="E638" t="s">
        <v>44</v>
      </c>
      <c r="F638" t="s">
        <v>48</v>
      </c>
      <c r="G638" t="s">
        <v>48</v>
      </c>
      <c r="H638">
        <v>2</v>
      </c>
      <c r="I638">
        <v>0</v>
      </c>
      <c r="J638" t="s">
        <v>43</v>
      </c>
      <c r="K638" t="s">
        <v>42</v>
      </c>
      <c r="L638" t="s">
        <v>43</v>
      </c>
      <c r="M638" t="s">
        <v>43</v>
      </c>
      <c r="N638" t="s">
        <v>43</v>
      </c>
      <c r="O638">
        <v>5</v>
      </c>
      <c r="P638">
        <v>3</v>
      </c>
      <c r="Q638">
        <v>3</v>
      </c>
      <c r="R638" t="s">
        <v>61</v>
      </c>
      <c r="S638">
        <v>0</v>
      </c>
      <c r="T638" s="1">
        <v>10.666666666666666</v>
      </c>
      <c r="U638" t="s">
        <v>62</v>
      </c>
    </row>
    <row r="639" spans="1:21" x14ac:dyDescent="0.35">
      <c r="A639" t="s">
        <v>50</v>
      </c>
      <c r="B639">
        <v>18</v>
      </c>
      <c r="C639" t="s">
        <v>35</v>
      </c>
      <c r="D639" t="s">
        <v>47</v>
      </c>
      <c r="E639" t="s">
        <v>44</v>
      </c>
      <c r="F639" t="s">
        <v>38</v>
      </c>
      <c r="G639" t="s">
        <v>45</v>
      </c>
      <c r="H639">
        <v>2</v>
      </c>
      <c r="I639">
        <v>0</v>
      </c>
      <c r="J639" t="s">
        <v>42</v>
      </c>
      <c r="K639" t="s">
        <v>42</v>
      </c>
      <c r="L639" t="s">
        <v>43</v>
      </c>
      <c r="M639" t="s">
        <v>42</v>
      </c>
      <c r="N639" t="s">
        <v>42</v>
      </c>
      <c r="O639">
        <v>4</v>
      </c>
      <c r="P639">
        <v>3</v>
      </c>
      <c r="Q639">
        <v>2</v>
      </c>
      <c r="R639" t="s">
        <v>61</v>
      </c>
      <c r="S639">
        <v>0</v>
      </c>
      <c r="T639" s="1">
        <v>10</v>
      </c>
      <c r="U639" t="s">
        <v>63</v>
      </c>
    </row>
    <row r="640" spans="1:21" x14ac:dyDescent="0.35">
      <c r="A640" t="s">
        <v>34</v>
      </c>
      <c r="B640">
        <v>17</v>
      </c>
      <c r="C640" t="s">
        <v>35</v>
      </c>
      <c r="D640" t="s">
        <v>36</v>
      </c>
      <c r="E640" t="s">
        <v>37</v>
      </c>
      <c r="F640" t="s">
        <v>45</v>
      </c>
      <c r="G640" t="s">
        <v>45</v>
      </c>
      <c r="H640">
        <v>3</v>
      </c>
      <c r="I640">
        <v>0</v>
      </c>
      <c r="J640" t="s">
        <v>43</v>
      </c>
      <c r="K640" t="s">
        <v>43</v>
      </c>
      <c r="L640" t="s">
        <v>43</v>
      </c>
      <c r="M640" t="s">
        <v>42</v>
      </c>
      <c r="N640" t="s">
        <v>42</v>
      </c>
      <c r="O640">
        <v>3</v>
      </c>
      <c r="P640">
        <v>2</v>
      </c>
      <c r="Q640">
        <v>3</v>
      </c>
      <c r="R640" t="s">
        <v>61</v>
      </c>
      <c r="S640">
        <v>0</v>
      </c>
      <c r="T640" s="1">
        <v>15.333333333333334</v>
      </c>
      <c r="U640" t="s">
        <v>62</v>
      </c>
    </row>
    <row r="641" spans="1:21" x14ac:dyDescent="0.35">
      <c r="A641" t="s">
        <v>34</v>
      </c>
      <c r="B641">
        <v>17</v>
      </c>
      <c r="C641" t="s">
        <v>35</v>
      </c>
      <c r="D641" t="s">
        <v>47</v>
      </c>
      <c r="E641" t="s">
        <v>44</v>
      </c>
      <c r="F641" t="s">
        <v>28</v>
      </c>
      <c r="G641" t="s">
        <v>45</v>
      </c>
      <c r="H641">
        <v>2</v>
      </c>
      <c r="I641">
        <v>0</v>
      </c>
      <c r="J641" t="s">
        <v>43</v>
      </c>
      <c r="K641" t="s">
        <v>43</v>
      </c>
      <c r="L641" t="s">
        <v>43</v>
      </c>
      <c r="M641" t="s">
        <v>42</v>
      </c>
      <c r="N641" t="s">
        <v>42</v>
      </c>
      <c r="O641">
        <v>3</v>
      </c>
      <c r="P641">
        <v>2</v>
      </c>
      <c r="Q641">
        <v>3</v>
      </c>
      <c r="R641" t="s">
        <v>61</v>
      </c>
      <c r="S641">
        <v>1</v>
      </c>
      <c r="T641" s="1">
        <v>12.666666666666666</v>
      </c>
      <c r="U641" t="s">
        <v>62</v>
      </c>
    </row>
    <row r="642" spans="1:21" x14ac:dyDescent="0.35">
      <c r="A642" t="s">
        <v>50</v>
      </c>
      <c r="B642">
        <v>17</v>
      </c>
      <c r="C642" t="s">
        <v>52</v>
      </c>
      <c r="D642" t="s">
        <v>36</v>
      </c>
      <c r="E642" t="s">
        <v>44</v>
      </c>
      <c r="F642" t="s">
        <v>45</v>
      </c>
      <c r="G642" t="s">
        <v>45</v>
      </c>
      <c r="H642">
        <v>2</v>
      </c>
      <c r="I642">
        <v>0</v>
      </c>
      <c r="J642" t="s">
        <v>43</v>
      </c>
      <c r="K642" t="s">
        <v>42</v>
      </c>
      <c r="L642" t="s">
        <v>43</v>
      </c>
      <c r="M642" t="s">
        <v>42</v>
      </c>
      <c r="N642" t="s">
        <v>43</v>
      </c>
      <c r="O642">
        <v>4</v>
      </c>
      <c r="P642">
        <v>5</v>
      </c>
      <c r="Q642">
        <v>2</v>
      </c>
      <c r="R642" t="s">
        <v>61</v>
      </c>
      <c r="S642">
        <v>0</v>
      </c>
      <c r="T642" s="1">
        <v>12.666666666666666</v>
      </c>
      <c r="U642" t="s">
        <v>61</v>
      </c>
    </row>
    <row r="643" spans="1:21" x14ac:dyDescent="0.35">
      <c r="A643" t="s">
        <v>50</v>
      </c>
      <c r="B643">
        <v>17</v>
      </c>
      <c r="C643" t="s">
        <v>35</v>
      </c>
      <c r="D643" t="s">
        <v>36</v>
      </c>
      <c r="E643" t="s">
        <v>44</v>
      </c>
      <c r="F643" t="s">
        <v>39</v>
      </c>
      <c r="G643" t="s">
        <v>39</v>
      </c>
      <c r="H643">
        <v>2</v>
      </c>
      <c r="I643">
        <v>0</v>
      </c>
      <c r="J643" t="s">
        <v>42</v>
      </c>
      <c r="K643" t="s">
        <v>42</v>
      </c>
      <c r="L643" t="s">
        <v>43</v>
      </c>
      <c r="M643" t="s">
        <v>42</v>
      </c>
      <c r="N643" t="s">
        <v>42</v>
      </c>
      <c r="O643">
        <v>4</v>
      </c>
      <c r="P643">
        <v>5</v>
      </c>
      <c r="Q643">
        <v>5</v>
      </c>
      <c r="R643" t="s">
        <v>61</v>
      </c>
      <c r="S643">
        <v>0</v>
      </c>
      <c r="T643" s="1">
        <v>13</v>
      </c>
      <c r="U643" t="s">
        <v>62</v>
      </c>
    </row>
    <row r="644" spans="1:21" x14ac:dyDescent="0.35">
      <c r="A644" t="s">
        <v>50</v>
      </c>
      <c r="B644">
        <v>16</v>
      </c>
      <c r="C644" t="s">
        <v>35</v>
      </c>
      <c r="D644" t="s">
        <v>36</v>
      </c>
      <c r="E644" t="s">
        <v>44</v>
      </c>
      <c r="F644" t="s">
        <v>28</v>
      </c>
      <c r="G644" t="s">
        <v>45</v>
      </c>
      <c r="H644">
        <v>2</v>
      </c>
      <c r="I644">
        <v>0</v>
      </c>
      <c r="J644" t="s">
        <v>43</v>
      </c>
      <c r="K644" t="s">
        <v>42</v>
      </c>
      <c r="L644" t="s">
        <v>43</v>
      </c>
      <c r="M644" t="s">
        <v>42</v>
      </c>
      <c r="N644" t="s">
        <v>43</v>
      </c>
      <c r="O644">
        <v>4</v>
      </c>
      <c r="P644">
        <v>2</v>
      </c>
      <c r="Q644">
        <v>4</v>
      </c>
      <c r="R644" t="s">
        <v>61</v>
      </c>
      <c r="S644">
        <v>0</v>
      </c>
      <c r="T644" s="1">
        <v>13.333333333333334</v>
      </c>
      <c r="U644" t="s">
        <v>63</v>
      </c>
    </row>
    <row r="645" spans="1:21" x14ac:dyDescent="0.35">
      <c r="A645" t="s">
        <v>50</v>
      </c>
      <c r="B645">
        <v>16</v>
      </c>
      <c r="C645" t="s">
        <v>35</v>
      </c>
      <c r="D645" t="s">
        <v>47</v>
      </c>
      <c r="E645" t="s">
        <v>44</v>
      </c>
      <c r="F645" t="s">
        <v>45</v>
      </c>
      <c r="G645" t="s">
        <v>45</v>
      </c>
      <c r="H645">
        <v>2</v>
      </c>
      <c r="I645">
        <v>0</v>
      </c>
      <c r="J645" t="s">
        <v>43</v>
      </c>
      <c r="K645" t="s">
        <v>42</v>
      </c>
      <c r="L645" t="s">
        <v>43</v>
      </c>
      <c r="M645" t="s">
        <v>43</v>
      </c>
      <c r="N645" t="s">
        <v>43</v>
      </c>
      <c r="O645">
        <v>3</v>
      </c>
      <c r="P645">
        <v>4</v>
      </c>
      <c r="Q645">
        <v>2</v>
      </c>
      <c r="R645" t="s">
        <v>61</v>
      </c>
      <c r="S645">
        <v>0</v>
      </c>
      <c r="T645" s="1">
        <v>9</v>
      </c>
      <c r="U645" t="s">
        <v>61</v>
      </c>
    </row>
    <row r="646" spans="1:21" x14ac:dyDescent="0.35">
      <c r="A646" t="s">
        <v>50</v>
      </c>
      <c r="B646">
        <v>16</v>
      </c>
      <c r="C646" t="s">
        <v>35</v>
      </c>
      <c r="D646" t="s">
        <v>36</v>
      </c>
      <c r="E646" t="s">
        <v>44</v>
      </c>
      <c r="F646" t="s">
        <v>38</v>
      </c>
      <c r="G646" t="s">
        <v>45</v>
      </c>
      <c r="H646">
        <v>3</v>
      </c>
      <c r="I646">
        <v>0</v>
      </c>
      <c r="J646" t="s">
        <v>43</v>
      </c>
      <c r="K646" t="s">
        <v>43</v>
      </c>
      <c r="L646" t="s">
        <v>43</v>
      </c>
      <c r="M646" t="s">
        <v>42</v>
      </c>
      <c r="N646" t="s">
        <v>42</v>
      </c>
      <c r="O646">
        <v>5</v>
      </c>
      <c r="P646">
        <v>3</v>
      </c>
      <c r="Q646">
        <v>3</v>
      </c>
      <c r="R646" t="s">
        <v>61</v>
      </c>
      <c r="S646">
        <v>0</v>
      </c>
      <c r="T646" s="1">
        <v>12</v>
      </c>
      <c r="U646" t="s">
        <v>62</v>
      </c>
    </row>
    <row r="647" spans="1:21" x14ac:dyDescent="0.35">
      <c r="A647" t="s">
        <v>50</v>
      </c>
      <c r="B647">
        <v>17</v>
      </c>
      <c r="C647" t="s">
        <v>35</v>
      </c>
      <c r="D647" t="s">
        <v>47</v>
      </c>
      <c r="E647" t="s">
        <v>44</v>
      </c>
      <c r="F647" t="s">
        <v>45</v>
      </c>
      <c r="G647" t="s">
        <v>45</v>
      </c>
      <c r="H647">
        <v>2</v>
      </c>
      <c r="I647">
        <v>0</v>
      </c>
      <c r="J647" t="s">
        <v>43</v>
      </c>
      <c r="K647" t="s">
        <v>43</v>
      </c>
      <c r="L647" t="s">
        <v>43</v>
      </c>
      <c r="M647" t="s">
        <v>42</v>
      </c>
      <c r="N647" t="s">
        <v>42</v>
      </c>
      <c r="O647">
        <v>4</v>
      </c>
      <c r="P647">
        <v>4</v>
      </c>
      <c r="Q647">
        <v>2</v>
      </c>
      <c r="R647" t="s">
        <v>61</v>
      </c>
      <c r="S647">
        <v>0</v>
      </c>
      <c r="T647" s="1">
        <v>16</v>
      </c>
      <c r="U647" t="s">
        <v>63</v>
      </c>
    </row>
    <row r="648" spans="1:21" x14ac:dyDescent="0.35">
      <c r="A648" t="s">
        <v>34</v>
      </c>
      <c r="B648">
        <v>16</v>
      </c>
      <c r="C648" t="s">
        <v>35</v>
      </c>
      <c r="D648" t="s">
        <v>36</v>
      </c>
      <c r="E648" t="s">
        <v>44</v>
      </c>
      <c r="F648" t="s">
        <v>45</v>
      </c>
      <c r="G648" t="s">
        <v>45</v>
      </c>
      <c r="H648">
        <v>1</v>
      </c>
      <c r="I648">
        <v>0</v>
      </c>
      <c r="J648" t="s">
        <v>43</v>
      </c>
      <c r="K648" t="s">
        <v>43</v>
      </c>
      <c r="L648" t="s">
        <v>43</v>
      </c>
      <c r="M648" t="s">
        <v>43</v>
      </c>
      <c r="N648" t="s">
        <v>42</v>
      </c>
      <c r="O648">
        <v>4</v>
      </c>
      <c r="P648">
        <v>5</v>
      </c>
      <c r="Q648">
        <v>2</v>
      </c>
      <c r="R648" t="s">
        <v>61</v>
      </c>
      <c r="S648">
        <v>0</v>
      </c>
      <c r="T648" s="1">
        <v>9.6666666666666661</v>
      </c>
      <c r="U648" t="s">
        <v>61</v>
      </c>
    </row>
    <row r="649" spans="1:21" x14ac:dyDescent="0.35">
      <c r="A649" t="s">
        <v>34</v>
      </c>
      <c r="B649">
        <v>16</v>
      </c>
      <c r="C649" t="s">
        <v>35</v>
      </c>
      <c r="D649" t="s">
        <v>36</v>
      </c>
      <c r="E649" t="s">
        <v>37</v>
      </c>
      <c r="F649" t="s">
        <v>45</v>
      </c>
      <c r="G649" t="s">
        <v>45</v>
      </c>
      <c r="H649">
        <v>2</v>
      </c>
      <c r="I649">
        <v>0</v>
      </c>
      <c r="J649" t="s">
        <v>43</v>
      </c>
      <c r="K649" t="s">
        <v>43</v>
      </c>
      <c r="L649" t="s">
        <v>43</v>
      </c>
      <c r="M649" t="s">
        <v>42</v>
      </c>
      <c r="N649" t="s">
        <v>42</v>
      </c>
      <c r="O649">
        <v>5</v>
      </c>
      <c r="P649">
        <v>3</v>
      </c>
      <c r="Q649">
        <v>3</v>
      </c>
      <c r="R649" t="s">
        <v>61</v>
      </c>
      <c r="S649">
        <v>1</v>
      </c>
      <c r="T649" s="1">
        <v>13.333333333333334</v>
      </c>
      <c r="U649" t="s">
        <v>62</v>
      </c>
    </row>
    <row r="650" spans="1:21" x14ac:dyDescent="0.35">
      <c r="A650" t="s">
        <v>34</v>
      </c>
      <c r="B650">
        <v>18</v>
      </c>
      <c r="C650" t="s">
        <v>35</v>
      </c>
      <c r="D650" t="s">
        <v>47</v>
      </c>
      <c r="E650" t="s">
        <v>37</v>
      </c>
      <c r="F650" t="s">
        <v>48</v>
      </c>
      <c r="G650" t="s">
        <v>45</v>
      </c>
      <c r="H650">
        <v>2</v>
      </c>
      <c r="I650">
        <v>1</v>
      </c>
      <c r="J650" t="s">
        <v>43</v>
      </c>
      <c r="K650" t="s">
        <v>42</v>
      </c>
      <c r="L650" t="s">
        <v>43</v>
      </c>
      <c r="M650" t="s">
        <v>43</v>
      </c>
      <c r="N650" t="s">
        <v>43</v>
      </c>
      <c r="O650">
        <v>4</v>
      </c>
      <c r="P650">
        <v>3</v>
      </c>
      <c r="Q650">
        <v>3</v>
      </c>
      <c r="R650" t="s">
        <v>63</v>
      </c>
      <c r="S650">
        <v>0</v>
      </c>
      <c r="T650" s="1">
        <v>10</v>
      </c>
      <c r="U650" t="s">
        <v>61</v>
      </c>
    </row>
    <row r="651" spans="1:21" x14ac:dyDescent="0.35">
      <c r="A651" t="s">
        <v>34</v>
      </c>
      <c r="B651">
        <v>18</v>
      </c>
      <c r="C651" t="s">
        <v>35</v>
      </c>
      <c r="D651" t="s">
        <v>47</v>
      </c>
      <c r="E651" t="s">
        <v>44</v>
      </c>
      <c r="F651" t="s">
        <v>38</v>
      </c>
      <c r="G651" t="s">
        <v>48</v>
      </c>
      <c r="H651">
        <v>2</v>
      </c>
      <c r="I651">
        <v>1</v>
      </c>
      <c r="J651" t="s">
        <v>43</v>
      </c>
      <c r="K651" t="s">
        <v>42</v>
      </c>
      <c r="L651" t="s">
        <v>43</v>
      </c>
      <c r="M651" t="s">
        <v>43</v>
      </c>
      <c r="N651" t="s">
        <v>42</v>
      </c>
      <c r="O651">
        <v>5</v>
      </c>
      <c r="P651">
        <v>3</v>
      </c>
      <c r="Q651">
        <v>1</v>
      </c>
      <c r="R651" t="s">
        <v>63</v>
      </c>
      <c r="S651">
        <v>1</v>
      </c>
      <c r="T651" s="1">
        <v>9</v>
      </c>
      <c r="U651" t="s">
        <v>61</v>
      </c>
    </row>
    <row r="652" spans="1:21" x14ac:dyDescent="0.35">
      <c r="A652" t="s">
        <v>34</v>
      </c>
      <c r="B652">
        <v>18</v>
      </c>
      <c r="C652" t="s">
        <v>35</v>
      </c>
      <c r="D652" t="s">
        <v>36</v>
      </c>
      <c r="E652" t="s">
        <v>44</v>
      </c>
      <c r="F652" t="s">
        <v>45</v>
      </c>
      <c r="G652" t="s">
        <v>45</v>
      </c>
      <c r="H652">
        <v>1</v>
      </c>
      <c r="I652">
        <v>1</v>
      </c>
      <c r="J652" t="s">
        <v>43</v>
      </c>
      <c r="K652" t="s">
        <v>43</v>
      </c>
      <c r="L652" t="s">
        <v>43</v>
      </c>
      <c r="M652" t="s">
        <v>43</v>
      </c>
      <c r="N652" t="s">
        <v>43</v>
      </c>
      <c r="O652">
        <v>4</v>
      </c>
      <c r="P652">
        <v>1</v>
      </c>
      <c r="Q652">
        <v>1</v>
      </c>
      <c r="R652" t="s">
        <v>63</v>
      </c>
      <c r="S652">
        <v>1</v>
      </c>
      <c r="T652" s="1">
        <v>7.333333333333333</v>
      </c>
      <c r="U652" t="s">
        <v>61</v>
      </c>
    </row>
    <row r="653" spans="1:21" x14ac:dyDescent="0.35">
      <c r="A653" t="s">
        <v>50</v>
      </c>
      <c r="B653">
        <v>18</v>
      </c>
      <c r="C653" t="s">
        <v>35</v>
      </c>
      <c r="D653" t="s">
        <v>36</v>
      </c>
      <c r="E653" t="s">
        <v>44</v>
      </c>
      <c r="F653" t="s">
        <v>45</v>
      </c>
      <c r="G653" t="s">
        <v>38</v>
      </c>
      <c r="H653">
        <v>1</v>
      </c>
      <c r="I653">
        <v>1</v>
      </c>
      <c r="J653" t="s">
        <v>43</v>
      </c>
      <c r="K653" t="s">
        <v>42</v>
      </c>
      <c r="L653" t="s">
        <v>43</v>
      </c>
      <c r="M653" t="s">
        <v>42</v>
      </c>
      <c r="N653" t="s">
        <v>42</v>
      </c>
      <c r="O653">
        <v>4</v>
      </c>
      <c r="P653">
        <v>4</v>
      </c>
      <c r="Q653">
        <v>3</v>
      </c>
      <c r="R653" t="s">
        <v>63</v>
      </c>
      <c r="S653">
        <v>0</v>
      </c>
      <c r="T653" s="1">
        <v>7.666666666666667</v>
      </c>
      <c r="U653" t="s">
        <v>62</v>
      </c>
    </row>
    <row r="654" spans="1:21" x14ac:dyDescent="0.35">
      <c r="A654" t="s">
        <v>50</v>
      </c>
      <c r="B654">
        <v>17</v>
      </c>
      <c r="C654" t="s">
        <v>35</v>
      </c>
      <c r="D654" t="s">
        <v>36</v>
      </c>
      <c r="E654" t="s">
        <v>44</v>
      </c>
      <c r="F654" t="s">
        <v>39</v>
      </c>
      <c r="G654" t="s">
        <v>39</v>
      </c>
      <c r="H654">
        <v>1</v>
      </c>
      <c r="I654">
        <v>0</v>
      </c>
      <c r="J654" t="s">
        <v>43</v>
      </c>
      <c r="K654" t="s">
        <v>42</v>
      </c>
      <c r="L654" t="s">
        <v>43</v>
      </c>
      <c r="M654" t="s">
        <v>42</v>
      </c>
      <c r="N654" t="s">
        <v>43</v>
      </c>
      <c r="O654">
        <v>4</v>
      </c>
      <c r="P654">
        <v>2</v>
      </c>
      <c r="Q654">
        <v>1</v>
      </c>
      <c r="R654" t="s">
        <v>62</v>
      </c>
      <c r="S654">
        <v>1</v>
      </c>
      <c r="T654" s="1">
        <v>9</v>
      </c>
      <c r="U654" t="s">
        <v>62</v>
      </c>
    </row>
    <row r="655" spans="1:21" x14ac:dyDescent="0.35">
      <c r="A655" t="s">
        <v>34</v>
      </c>
      <c r="B655">
        <v>17</v>
      </c>
      <c r="C655" t="s">
        <v>35</v>
      </c>
      <c r="D655" t="s">
        <v>36</v>
      </c>
      <c r="E655" t="s">
        <v>44</v>
      </c>
      <c r="F655" t="s">
        <v>45</v>
      </c>
      <c r="G655" t="s">
        <v>45</v>
      </c>
      <c r="H655">
        <v>2</v>
      </c>
      <c r="I655">
        <v>0</v>
      </c>
      <c r="J655" t="s">
        <v>43</v>
      </c>
      <c r="K655" t="s">
        <v>43</v>
      </c>
      <c r="L655" t="s">
        <v>43</v>
      </c>
      <c r="M655" t="s">
        <v>42</v>
      </c>
      <c r="N655" t="s">
        <v>43</v>
      </c>
      <c r="O655">
        <v>5</v>
      </c>
      <c r="P655">
        <v>4</v>
      </c>
      <c r="Q655">
        <v>2</v>
      </c>
      <c r="R655" t="s">
        <v>61</v>
      </c>
      <c r="S655">
        <v>0</v>
      </c>
      <c r="T655" s="1">
        <v>14.333333333333334</v>
      </c>
      <c r="U655" t="s">
        <v>61</v>
      </c>
    </row>
    <row r="656" spans="1:21" x14ac:dyDescent="0.35">
      <c r="A656" t="s">
        <v>34</v>
      </c>
      <c r="B656">
        <v>17</v>
      </c>
      <c r="C656" t="s">
        <v>35</v>
      </c>
      <c r="D656" t="s">
        <v>47</v>
      </c>
      <c r="E656" t="s">
        <v>44</v>
      </c>
      <c r="F656" t="s">
        <v>38</v>
      </c>
      <c r="G656" t="s">
        <v>38</v>
      </c>
      <c r="H656">
        <v>3</v>
      </c>
      <c r="I656">
        <v>0</v>
      </c>
      <c r="J656" t="s">
        <v>43</v>
      </c>
      <c r="K656" t="s">
        <v>42</v>
      </c>
      <c r="L656" t="s">
        <v>43</v>
      </c>
      <c r="M656" t="s">
        <v>42</v>
      </c>
      <c r="N656" t="s">
        <v>42</v>
      </c>
      <c r="O656">
        <v>4</v>
      </c>
      <c r="P656">
        <v>3</v>
      </c>
      <c r="Q656">
        <v>2</v>
      </c>
      <c r="R656" t="s">
        <v>63</v>
      </c>
      <c r="S656">
        <v>1</v>
      </c>
      <c r="T656" s="1">
        <v>10.333333333333334</v>
      </c>
      <c r="U656" t="s">
        <v>62</v>
      </c>
    </row>
    <row r="657" spans="1:21" x14ac:dyDescent="0.35">
      <c r="A657" t="s">
        <v>34</v>
      </c>
      <c r="B657">
        <v>16</v>
      </c>
      <c r="C657" t="s">
        <v>35</v>
      </c>
      <c r="D657" t="s">
        <v>36</v>
      </c>
      <c r="E657" t="s">
        <v>44</v>
      </c>
      <c r="F657" t="s">
        <v>45</v>
      </c>
      <c r="G657" t="s">
        <v>45</v>
      </c>
      <c r="H657">
        <v>1</v>
      </c>
      <c r="I657">
        <v>0</v>
      </c>
      <c r="J657" t="s">
        <v>43</v>
      </c>
      <c r="K657" t="s">
        <v>43</v>
      </c>
      <c r="L657" t="s">
        <v>43</v>
      </c>
      <c r="M657" t="s">
        <v>43</v>
      </c>
      <c r="N657" t="s">
        <v>43</v>
      </c>
      <c r="O657">
        <v>5</v>
      </c>
      <c r="P657">
        <v>3</v>
      </c>
      <c r="Q657">
        <v>5</v>
      </c>
      <c r="R657" t="s">
        <v>61</v>
      </c>
      <c r="S657">
        <v>1</v>
      </c>
      <c r="T657" s="1">
        <v>11.333333333333334</v>
      </c>
      <c r="U657" t="s">
        <v>62</v>
      </c>
    </row>
    <row r="658" spans="1:21" x14ac:dyDescent="0.35">
      <c r="A658" t="s">
        <v>34</v>
      </c>
      <c r="B658">
        <v>17</v>
      </c>
      <c r="C658" t="s">
        <v>52</v>
      </c>
      <c r="D658" t="s">
        <v>36</v>
      </c>
      <c r="E658" t="s">
        <v>44</v>
      </c>
      <c r="F658" t="s">
        <v>38</v>
      </c>
      <c r="G658" t="s">
        <v>48</v>
      </c>
      <c r="H658">
        <v>2</v>
      </c>
      <c r="I658">
        <v>0</v>
      </c>
      <c r="J658" t="s">
        <v>43</v>
      </c>
      <c r="K658" t="s">
        <v>43</v>
      </c>
      <c r="L658" t="s">
        <v>43</v>
      </c>
      <c r="M658" t="s">
        <v>42</v>
      </c>
      <c r="N658" t="s">
        <v>43</v>
      </c>
      <c r="O658">
        <v>2</v>
      </c>
      <c r="P658">
        <v>1</v>
      </c>
      <c r="Q658">
        <v>1</v>
      </c>
      <c r="R658" t="s">
        <v>61</v>
      </c>
      <c r="S658">
        <v>0</v>
      </c>
      <c r="T658" s="1">
        <v>13</v>
      </c>
      <c r="U658" t="s">
        <v>61</v>
      </c>
    </row>
    <row r="659" spans="1:21" x14ac:dyDescent="0.35">
      <c r="A659" t="s">
        <v>34</v>
      </c>
      <c r="B659">
        <v>17</v>
      </c>
      <c r="C659" t="s">
        <v>52</v>
      </c>
      <c r="D659" t="s">
        <v>47</v>
      </c>
      <c r="E659" t="s">
        <v>37</v>
      </c>
      <c r="F659" t="s">
        <v>45</v>
      </c>
      <c r="G659" t="s">
        <v>45</v>
      </c>
      <c r="H659">
        <v>1</v>
      </c>
      <c r="I659">
        <v>1</v>
      </c>
      <c r="J659" t="s">
        <v>43</v>
      </c>
      <c r="K659" t="s">
        <v>42</v>
      </c>
      <c r="L659" t="s">
        <v>43</v>
      </c>
      <c r="M659" t="s">
        <v>43</v>
      </c>
      <c r="N659" t="s">
        <v>43</v>
      </c>
      <c r="O659">
        <v>5</v>
      </c>
      <c r="P659">
        <v>5</v>
      </c>
      <c r="Q659">
        <v>4</v>
      </c>
      <c r="R659" t="s">
        <v>63</v>
      </c>
      <c r="S659">
        <v>1</v>
      </c>
      <c r="T659" s="1">
        <v>8.6666666666666661</v>
      </c>
      <c r="U659" t="s">
        <v>61</v>
      </c>
    </row>
    <row r="660" spans="1:21" x14ac:dyDescent="0.35">
      <c r="A660" t="s">
        <v>50</v>
      </c>
      <c r="B660">
        <v>18</v>
      </c>
      <c r="C660" t="s">
        <v>35</v>
      </c>
      <c r="D660" t="s">
        <v>36</v>
      </c>
      <c r="E660" t="s">
        <v>44</v>
      </c>
      <c r="F660" t="s">
        <v>45</v>
      </c>
      <c r="G660" t="s">
        <v>48</v>
      </c>
      <c r="H660">
        <v>2</v>
      </c>
      <c r="I660">
        <v>0</v>
      </c>
      <c r="J660" t="s">
        <v>43</v>
      </c>
      <c r="K660" t="s">
        <v>43</v>
      </c>
      <c r="L660" t="s">
        <v>43</v>
      </c>
      <c r="M660" t="s">
        <v>43</v>
      </c>
      <c r="N660" t="s">
        <v>43</v>
      </c>
      <c r="O660">
        <v>5</v>
      </c>
      <c r="P660">
        <v>5</v>
      </c>
      <c r="Q660">
        <v>4</v>
      </c>
      <c r="R660" t="s">
        <v>63</v>
      </c>
      <c r="S660">
        <v>1</v>
      </c>
      <c r="T660" s="1">
        <v>7.666666666666667</v>
      </c>
      <c r="U660" t="s">
        <v>63</v>
      </c>
    </row>
    <row r="661" spans="1:21" x14ac:dyDescent="0.35">
      <c r="A661" t="s">
        <v>34</v>
      </c>
      <c r="B661">
        <v>17</v>
      </c>
      <c r="C661" t="s">
        <v>35</v>
      </c>
      <c r="D661" t="s">
        <v>47</v>
      </c>
      <c r="E661" t="s">
        <v>37</v>
      </c>
      <c r="F661" t="s">
        <v>45</v>
      </c>
      <c r="G661" t="s">
        <v>45</v>
      </c>
      <c r="H661">
        <v>1</v>
      </c>
      <c r="I661">
        <v>1</v>
      </c>
      <c r="J661" t="s">
        <v>43</v>
      </c>
      <c r="K661" t="s">
        <v>42</v>
      </c>
      <c r="L661" t="s">
        <v>43</v>
      </c>
      <c r="M661" t="s">
        <v>43</v>
      </c>
      <c r="N661" t="s">
        <v>43</v>
      </c>
      <c r="O661">
        <v>3</v>
      </c>
      <c r="P661">
        <v>1</v>
      </c>
      <c r="Q661">
        <v>2</v>
      </c>
      <c r="R661" t="s">
        <v>62</v>
      </c>
      <c r="S661">
        <v>1</v>
      </c>
      <c r="T661" s="1">
        <v>10</v>
      </c>
      <c r="U661" t="s">
        <v>61</v>
      </c>
    </row>
    <row r="662" spans="1:21" x14ac:dyDescent="0.35">
      <c r="A662" t="s">
        <v>34</v>
      </c>
      <c r="B662">
        <v>17</v>
      </c>
      <c r="C662" t="s">
        <v>52</v>
      </c>
      <c r="D662" t="s">
        <v>47</v>
      </c>
      <c r="E662" t="s">
        <v>44</v>
      </c>
      <c r="F662" t="s">
        <v>38</v>
      </c>
      <c r="G662" t="s">
        <v>45</v>
      </c>
      <c r="H662">
        <v>3</v>
      </c>
      <c r="I662">
        <v>0</v>
      </c>
      <c r="J662" t="s">
        <v>43</v>
      </c>
      <c r="K662" t="s">
        <v>43</v>
      </c>
      <c r="L662" t="s">
        <v>43</v>
      </c>
      <c r="M662" t="s">
        <v>42</v>
      </c>
      <c r="N662" t="s">
        <v>43</v>
      </c>
      <c r="O662">
        <v>4</v>
      </c>
      <c r="P662">
        <v>3</v>
      </c>
      <c r="Q662">
        <v>3</v>
      </c>
      <c r="R662" t="s">
        <v>61</v>
      </c>
      <c r="S662">
        <v>1</v>
      </c>
      <c r="T662" s="1">
        <v>14.666666666666666</v>
      </c>
      <c r="U662" t="s">
        <v>62</v>
      </c>
    </row>
    <row r="663" spans="1:21" x14ac:dyDescent="0.35">
      <c r="A663" t="s">
        <v>34</v>
      </c>
      <c r="B663">
        <v>17</v>
      </c>
      <c r="C663" t="s">
        <v>35</v>
      </c>
      <c r="D663" t="s">
        <v>47</v>
      </c>
      <c r="E663" t="s">
        <v>37</v>
      </c>
      <c r="F663" t="s">
        <v>39</v>
      </c>
      <c r="G663" t="s">
        <v>45</v>
      </c>
      <c r="H663">
        <v>2</v>
      </c>
      <c r="I663">
        <v>0</v>
      </c>
      <c r="J663" t="s">
        <v>43</v>
      </c>
      <c r="K663" t="s">
        <v>42</v>
      </c>
      <c r="L663" t="s">
        <v>43</v>
      </c>
      <c r="M663" t="s">
        <v>42</v>
      </c>
      <c r="N663" t="s">
        <v>43</v>
      </c>
      <c r="O663">
        <v>4</v>
      </c>
      <c r="P663">
        <v>3</v>
      </c>
      <c r="Q663">
        <v>2</v>
      </c>
      <c r="R663" t="s">
        <v>61</v>
      </c>
      <c r="S663">
        <v>1</v>
      </c>
      <c r="T663" s="1">
        <v>14.333333333333334</v>
      </c>
      <c r="U663" t="s">
        <v>61</v>
      </c>
    </row>
    <row r="664" spans="1:21" x14ac:dyDescent="0.35">
      <c r="A664" t="s">
        <v>50</v>
      </c>
      <c r="B664">
        <v>17</v>
      </c>
      <c r="C664" t="s">
        <v>35</v>
      </c>
      <c r="D664" t="s">
        <v>47</v>
      </c>
      <c r="E664" t="s">
        <v>44</v>
      </c>
      <c r="F664" t="s">
        <v>28</v>
      </c>
      <c r="G664" t="s">
        <v>45</v>
      </c>
      <c r="H664">
        <v>2</v>
      </c>
      <c r="I664">
        <v>0</v>
      </c>
      <c r="J664" t="s">
        <v>43</v>
      </c>
      <c r="K664" t="s">
        <v>43</v>
      </c>
      <c r="L664" t="s">
        <v>43</v>
      </c>
      <c r="M664" t="s">
        <v>42</v>
      </c>
      <c r="N664" t="s">
        <v>42</v>
      </c>
      <c r="O664">
        <v>2</v>
      </c>
      <c r="P664">
        <v>5</v>
      </c>
      <c r="Q664">
        <v>5</v>
      </c>
      <c r="R664" t="s">
        <v>62</v>
      </c>
      <c r="S664">
        <v>0</v>
      </c>
      <c r="T664" s="1">
        <v>15</v>
      </c>
      <c r="U664" t="s">
        <v>63</v>
      </c>
    </row>
    <row r="665" spans="1:21" x14ac:dyDescent="0.35">
      <c r="A665" t="s">
        <v>50</v>
      </c>
      <c r="B665">
        <v>17</v>
      </c>
      <c r="C665" t="s">
        <v>52</v>
      </c>
      <c r="D665" t="s">
        <v>47</v>
      </c>
      <c r="E665" t="s">
        <v>37</v>
      </c>
      <c r="F665" t="s">
        <v>39</v>
      </c>
      <c r="G665" t="s">
        <v>45</v>
      </c>
      <c r="H665">
        <v>2</v>
      </c>
      <c r="I665">
        <v>0</v>
      </c>
      <c r="J665" t="s">
        <v>43</v>
      </c>
      <c r="K665" t="s">
        <v>42</v>
      </c>
      <c r="L665" t="s">
        <v>43</v>
      </c>
      <c r="M665" t="s">
        <v>43</v>
      </c>
      <c r="N665" t="s">
        <v>43</v>
      </c>
      <c r="O665">
        <v>3</v>
      </c>
      <c r="P665">
        <v>3</v>
      </c>
      <c r="Q665">
        <v>3</v>
      </c>
      <c r="R665" t="s">
        <v>61</v>
      </c>
      <c r="S665">
        <v>0</v>
      </c>
      <c r="T665" s="1">
        <v>12</v>
      </c>
      <c r="U665" t="s">
        <v>63</v>
      </c>
    </row>
    <row r="666" spans="1:21" x14ac:dyDescent="0.35">
      <c r="A666" t="s">
        <v>50</v>
      </c>
      <c r="B666">
        <v>16</v>
      </c>
      <c r="C666" t="s">
        <v>35</v>
      </c>
      <c r="D666" t="s">
        <v>47</v>
      </c>
      <c r="E666" t="s">
        <v>44</v>
      </c>
      <c r="F666" t="s">
        <v>39</v>
      </c>
      <c r="G666" t="s">
        <v>45</v>
      </c>
      <c r="H666">
        <v>1</v>
      </c>
      <c r="I666">
        <v>0</v>
      </c>
      <c r="J666" t="s">
        <v>43</v>
      </c>
      <c r="K666" t="s">
        <v>43</v>
      </c>
      <c r="L666" t="s">
        <v>43</v>
      </c>
      <c r="M666" t="s">
        <v>42</v>
      </c>
      <c r="N666" t="s">
        <v>43</v>
      </c>
      <c r="O666">
        <v>5</v>
      </c>
      <c r="P666">
        <v>4</v>
      </c>
      <c r="Q666">
        <v>5</v>
      </c>
      <c r="R666" t="s">
        <v>62</v>
      </c>
      <c r="S666">
        <v>0</v>
      </c>
      <c r="T666" s="1">
        <v>14.333333333333334</v>
      </c>
      <c r="U666" t="s">
        <v>61</v>
      </c>
    </row>
    <row r="667" spans="1:21" x14ac:dyDescent="0.35">
      <c r="A667" t="s">
        <v>50</v>
      </c>
      <c r="B667">
        <v>16</v>
      </c>
      <c r="C667" t="s">
        <v>35</v>
      </c>
      <c r="D667" t="s">
        <v>36</v>
      </c>
      <c r="E667" t="s">
        <v>44</v>
      </c>
      <c r="F667" t="s">
        <v>48</v>
      </c>
      <c r="G667" t="s">
        <v>48</v>
      </c>
      <c r="H667">
        <v>1</v>
      </c>
      <c r="I667">
        <v>0</v>
      </c>
      <c r="J667" t="s">
        <v>43</v>
      </c>
      <c r="K667" t="s">
        <v>43</v>
      </c>
      <c r="L667" t="s">
        <v>42</v>
      </c>
      <c r="M667" t="s">
        <v>42</v>
      </c>
      <c r="N667" t="s">
        <v>43</v>
      </c>
      <c r="O667">
        <v>5</v>
      </c>
      <c r="P667">
        <v>3</v>
      </c>
      <c r="Q667">
        <v>2</v>
      </c>
      <c r="R667" t="s">
        <v>61</v>
      </c>
      <c r="S667">
        <v>0</v>
      </c>
      <c r="T667" s="1">
        <v>14.666666666666666</v>
      </c>
      <c r="U667" t="s">
        <v>62</v>
      </c>
    </row>
    <row r="668" spans="1:21" x14ac:dyDescent="0.35">
      <c r="A668" t="s">
        <v>34</v>
      </c>
      <c r="B668">
        <v>17</v>
      </c>
      <c r="C668" t="s">
        <v>35</v>
      </c>
      <c r="D668" t="s">
        <v>36</v>
      </c>
      <c r="E668" t="s">
        <v>44</v>
      </c>
      <c r="F668" t="s">
        <v>39</v>
      </c>
      <c r="G668" t="s">
        <v>48</v>
      </c>
      <c r="H668">
        <v>2</v>
      </c>
      <c r="I668">
        <v>0</v>
      </c>
      <c r="J668" t="s">
        <v>43</v>
      </c>
      <c r="K668" t="s">
        <v>42</v>
      </c>
      <c r="L668" t="s">
        <v>42</v>
      </c>
      <c r="M668" t="s">
        <v>43</v>
      </c>
      <c r="N668" t="s">
        <v>42</v>
      </c>
      <c r="O668">
        <v>5</v>
      </c>
      <c r="P668">
        <v>3</v>
      </c>
      <c r="Q668">
        <v>1</v>
      </c>
      <c r="R668" t="s">
        <v>61</v>
      </c>
      <c r="S668">
        <v>0</v>
      </c>
      <c r="T668" s="1">
        <v>11.333333333333334</v>
      </c>
      <c r="U668" t="s">
        <v>63</v>
      </c>
    </row>
    <row r="669" spans="1:21" x14ac:dyDescent="0.35">
      <c r="A669" t="s">
        <v>50</v>
      </c>
      <c r="B669">
        <v>17</v>
      </c>
      <c r="C669" t="s">
        <v>52</v>
      </c>
      <c r="D669" t="s">
        <v>36</v>
      </c>
      <c r="E669" t="s">
        <v>44</v>
      </c>
      <c r="F669" t="s">
        <v>45</v>
      </c>
      <c r="G669" t="s">
        <v>45</v>
      </c>
      <c r="H669">
        <v>3</v>
      </c>
      <c r="I669">
        <v>0</v>
      </c>
      <c r="J669" t="s">
        <v>43</v>
      </c>
      <c r="K669" t="s">
        <v>43</v>
      </c>
      <c r="L669" t="s">
        <v>43</v>
      </c>
      <c r="M669" t="s">
        <v>43</v>
      </c>
      <c r="N669" t="s">
        <v>42</v>
      </c>
      <c r="O669">
        <v>4</v>
      </c>
      <c r="P669">
        <v>3</v>
      </c>
      <c r="Q669">
        <v>3</v>
      </c>
      <c r="R669" t="s">
        <v>61</v>
      </c>
      <c r="S669">
        <v>0</v>
      </c>
      <c r="T669" s="1">
        <v>14</v>
      </c>
      <c r="U669" t="s">
        <v>61</v>
      </c>
    </row>
    <row r="670" spans="1:21" x14ac:dyDescent="0.35">
      <c r="A670" t="s">
        <v>34</v>
      </c>
      <c r="B670">
        <v>17</v>
      </c>
      <c r="C670" t="s">
        <v>35</v>
      </c>
      <c r="D670" t="s">
        <v>36</v>
      </c>
      <c r="E670" t="s">
        <v>44</v>
      </c>
      <c r="F670" t="s">
        <v>48</v>
      </c>
      <c r="G670" t="s">
        <v>45</v>
      </c>
      <c r="H670">
        <v>3</v>
      </c>
      <c r="I670">
        <v>0</v>
      </c>
      <c r="J670" t="s">
        <v>43</v>
      </c>
      <c r="K670" t="s">
        <v>42</v>
      </c>
      <c r="L670" t="s">
        <v>43</v>
      </c>
      <c r="M670" t="s">
        <v>43</v>
      </c>
      <c r="N670" t="s">
        <v>42</v>
      </c>
      <c r="O670">
        <v>4</v>
      </c>
      <c r="P670">
        <v>2</v>
      </c>
      <c r="Q670">
        <v>2</v>
      </c>
      <c r="R670" t="s">
        <v>63</v>
      </c>
      <c r="S670">
        <v>0</v>
      </c>
      <c r="T670" s="1">
        <v>11</v>
      </c>
      <c r="U670" t="s">
        <v>63</v>
      </c>
    </row>
    <row r="671" spans="1:21" x14ac:dyDescent="0.35">
      <c r="A671" t="s">
        <v>34</v>
      </c>
      <c r="B671">
        <v>17</v>
      </c>
      <c r="C671" t="s">
        <v>35</v>
      </c>
      <c r="D671" t="s">
        <v>36</v>
      </c>
      <c r="E671" t="s">
        <v>44</v>
      </c>
      <c r="F671" t="s">
        <v>38</v>
      </c>
      <c r="G671" t="s">
        <v>45</v>
      </c>
      <c r="H671">
        <v>2</v>
      </c>
      <c r="I671">
        <v>0</v>
      </c>
      <c r="J671" t="s">
        <v>42</v>
      </c>
      <c r="K671" t="s">
        <v>43</v>
      </c>
      <c r="L671" t="s">
        <v>43</v>
      </c>
      <c r="M671" t="s">
        <v>43</v>
      </c>
      <c r="N671" t="s">
        <v>42</v>
      </c>
      <c r="O671">
        <v>4</v>
      </c>
      <c r="P671">
        <v>3</v>
      </c>
      <c r="Q671">
        <v>2</v>
      </c>
      <c r="R671" t="s">
        <v>63</v>
      </c>
      <c r="S671">
        <v>1</v>
      </c>
      <c r="T671" s="1">
        <v>9.6666666666666661</v>
      </c>
      <c r="U671" t="s">
        <v>61</v>
      </c>
    </row>
    <row r="672" spans="1:21" x14ac:dyDescent="0.35">
      <c r="A672" t="s">
        <v>34</v>
      </c>
      <c r="B672">
        <v>18</v>
      </c>
      <c r="C672" t="s">
        <v>35</v>
      </c>
      <c r="D672" t="s">
        <v>36</v>
      </c>
      <c r="E672" t="s">
        <v>44</v>
      </c>
      <c r="F672" t="s">
        <v>45</v>
      </c>
      <c r="G672" t="s">
        <v>45</v>
      </c>
      <c r="H672">
        <v>3</v>
      </c>
      <c r="I672">
        <v>0</v>
      </c>
      <c r="J672" t="s">
        <v>43</v>
      </c>
      <c r="K672" t="s">
        <v>42</v>
      </c>
      <c r="L672" t="s">
        <v>43</v>
      </c>
      <c r="M672" t="s">
        <v>43</v>
      </c>
      <c r="N672" t="s">
        <v>42</v>
      </c>
      <c r="O672">
        <v>4</v>
      </c>
      <c r="P672">
        <v>4</v>
      </c>
      <c r="Q672">
        <v>4</v>
      </c>
      <c r="R672" t="s">
        <v>63</v>
      </c>
      <c r="S672">
        <v>1</v>
      </c>
      <c r="T672" s="1">
        <v>11</v>
      </c>
      <c r="U672" t="s">
        <v>61</v>
      </c>
    </row>
    <row r="673" spans="1:21" x14ac:dyDescent="0.35">
      <c r="A673" t="s">
        <v>50</v>
      </c>
      <c r="B673">
        <v>16</v>
      </c>
      <c r="C673" t="s">
        <v>35</v>
      </c>
      <c r="D673" t="s">
        <v>36</v>
      </c>
      <c r="E673" t="s">
        <v>44</v>
      </c>
      <c r="F673" t="s">
        <v>45</v>
      </c>
      <c r="G673" t="s">
        <v>45</v>
      </c>
      <c r="H673">
        <v>1</v>
      </c>
      <c r="I673">
        <v>0</v>
      </c>
      <c r="J673" t="s">
        <v>43</v>
      </c>
      <c r="K673" t="s">
        <v>43</v>
      </c>
      <c r="L673" t="s">
        <v>43</v>
      </c>
      <c r="M673" t="s">
        <v>43</v>
      </c>
      <c r="N673" t="s">
        <v>43</v>
      </c>
      <c r="O673">
        <v>4</v>
      </c>
      <c r="P673">
        <v>3</v>
      </c>
      <c r="Q673">
        <v>3</v>
      </c>
      <c r="R673" t="s">
        <v>62</v>
      </c>
      <c r="S673">
        <v>0</v>
      </c>
      <c r="T673" s="1">
        <v>15.666666666666666</v>
      </c>
      <c r="U673" t="s">
        <v>61</v>
      </c>
    </row>
    <row r="674" spans="1:21" x14ac:dyDescent="0.35">
      <c r="A674" t="s">
        <v>34</v>
      </c>
      <c r="B674">
        <v>17</v>
      </c>
      <c r="C674" t="s">
        <v>35</v>
      </c>
      <c r="D674" t="s">
        <v>36</v>
      </c>
      <c r="E674" t="s">
        <v>44</v>
      </c>
      <c r="F674" t="s">
        <v>45</v>
      </c>
      <c r="G674" t="s">
        <v>48</v>
      </c>
      <c r="H674">
        <v>2</v>
      </c>
      <c r="I674">
        <v>0</v>
      </c>
      <c r="J674" t="s">
        <v>43</v>
      </c>
      <c r="K674" t="s">
        <v>42</v>
      </c>
      <c r="L674" t="s">
        <v>43</v>
      </c>
      <c r="M674" t="s">
        <v>43</v>
      </c>
      <c r="N674" t="s">
        <v>43</v>
      </c>
      <c r="O674">
        <v>4</v>
      </c>
      <c r="P674">
        <v>3</v>
      </c>
      <c r="Q674">
        <v>4</v>
      </c>
      <c r="R674" t="s">
        <v>61</v>
      </c>
      <c r="S674">
        <v>1</v>
      </c>
      <c r="T674" s="1">
        <v>10.666666666666666</v>
      </c>
      <c r="U674" t="s">
        <v>62</v>
      </c>
    </row>
    <row r="675" spans="1:21" x14ac:dyDescent="0.35">
      <c r="A675" t="s">
        <v>50</v>
      </c>
      <c r="B675">
        <v>17</v>
      </c>
      <c r="C675" t="s">
        <v>35</v>
      </c>
      <c r="D675" t="s">
        <v>36</v>
      </c>
      <c r="E675" t="s">
        <v>44</v>
      </c>
      <c r="F675" t="s">
        <v>45</v>
      </c>
      <c r="G675" t="s">
        <v>45</v>
      </c>
      <c r="H675">
        <v>1</v>
      </c>
      <c r="I675">
        <v>0</v>
      </c>
      <c r="J675" t="s">
        <v>43</v>
      </c>
      <c r="K675" t="s">
        <v>43</v>
      </c>
      <c r="L675" t="s">
        <v>43</v>
      </c>
      <c r="M675" t="s">
        <v>43</v>
      </c>
      <c r="N675" t="s">
        <v>43</v>
      </c>
      <c r="O675">
        <v>5</v>
      </c>
      <c r="P675">
        <v>2</v>
      </c>
      <c r="Q675">
        <v>2</v>
      </c>
      <c r="R675" t="s">
        <v>61</v>
      </c>
      <c r="S675">
        <v>0</v>
      </c>
      <c r="T675" s="1">
        <v>11.333333333333334</v>
      </c>
      <c r="U675" t="s">
        <v>61</v>
      </c>
    </row>
    <row r="676" spans="1:21" x14ac:dyDescent="0.35">
      <c r="A676" t="s">
        <v>50</v>
      </c>
      <c r="B676">
        <v>22</v>
      </c>
      <c r="C676" t="s">
        <v>35</v>
      </c>
      <c r="D676" t="s">
        <v>36</v>
      </c>
      <c r="E676" t="s">
        <v>44</v>
      </c>
      <c r="F676" t="s">
        <v>48</v>
      </c>
      <c r="G676" t="s">
        <v>48</v>
      </c>
      <c r="H676">
        <v>1</v>
      </c>
      <c r="I676">
        <v>3</v>
      </c>
      <c r="J676" t="s">
        <v>43</v>
      </c>
      <c r="K676" t="s">
        <v>43</v>
      </c>
      <c r="L676" t="s">
        <v>43</v>
      </c>
      <c r="M676" t="s">
        <v>43</v>
      </c>
      <c r="N676" t="s">
        <v>42</v>
      </c>
      <c r="O676">
        <v>5</v>
      </c>
      <c r="P676">
        <v>4</v>
      </c>
      <c r="Q676">
        <v>5</v>
      </c>
      <c r="R676" t="s">
        <v>63</v>
      </c>
      <c r="S676">
        <v>1</v>
      </c>
      <c r="T676" s="1">
        <v>6.666666666666667</v>
      </c>
      <c r="U676" t="s">
        <v>63</v>
      </c>
    </row>
    <row r="677" spans="1:21" x14ac:dyDescent="0.35">
      <c r="A677" t="s">
        <v>50</v>
      </c>
      <c r="B677">
        <v>18</v>
      </c>
      <c r="C677" t="s">
        <v>52</v>
      </c>
      <c r="D677" t="s">
        <v>47</v>
      </c>
      <c r="E677" t="s">
        <v>44</v>
      </c>
      <c r="F677" t="s">
        <v>45</v>
      </c>
      <c r="G677" t="s">
        <v>48</v>
      </c>
      <c r="H677">
        <v>2</v>
      </c>
      <c r="I677">
        <v>0</v>
      </c>
      <c r="J677" t="s">
        <v>43</v>
      </c>
      <c r="K677" t="s">
        <v>42</v>
      </c>
      <c r="L677" t="s">
        <v>43</v>
      </c>
      <c r="M677" t="s">
        <v>43</v>
      </c>
      <c r="N677" t="s">
        <v>42</v>
      </c>
      <c r="O677">
        <v>4</v>
      </c>
      <c r="P677">
        <v>3</v>
      </c>
      <c r="Q677">
        <v>3</v>
      </c>
      <c r="R677" t="s">
        <v>62</v>
      </c>
      <c r="S677">
        <v>1</v>
      </c>
      <c r="T677" s="1">
        <v>9.6666666666666661</v>
      </c>
      <c r="U677" t="s">
        <v>62</v>
      </c>
    </row>
    <row r="678" spans="1:21" x14ac:dyDescent="0.35">
      <c r="A678" t="s">
        <v>50</v>
      </c>
      <c r="B678">
        <v>16</v>
      </c>
      <c r="C678" t="s">
        <v>35</v>
      </c>
      <c r="D678" t="s">
        <v>36</v>
      </c>
      <c r="E678" t="s">
        <v>44</v>
      </c>
      <c r="F678" t="s">
        <v>45</v>
      </c>
      <c r="G678" t="s">
        <v>45</v>
      </c>
      <c r="H678">
        <v>1</v>
      </c>
      <c r="I678">
        <v>0</v>
      </c>
      <c r="J678" t="s">
        <v>43</v>
      </c>
      <c r="K678" t="s">
        <v>43</v>
      </c>
      <c r="L678" t="s">
        <v>43</v>
      </c>
      <c r="M678" t="s">
        <v>43</v>
      </c>
      <c r="N678" t="s">
        <v>43</v>
      </c>
      <c r="O678">
        <v>4</v>
      </c>
      <c r="P678">
        <v>3</v>
      </c>
      <c r="Q678">
        <v>2</v>
      </c>
      <c r="R678" t="s">
        <v>61</v>
      </c>
      <c r="S678">
        <v>1</v>
      </c>
      <c r="T678" s="1">
        <v>11.333333333333334</v>
      </c>
      <c r="U678" t="s">
        <v>63</v>
      </c>
    </row>
    <row r="679" spans="1:21" x14ac:dyDescent="0.35">
      <c r="A679" t="s">
        <v>50</v>
      </c>
      <c r="B679">
        <v>18</v>
      </c>
      <c r="C679" t="s">
        <v>35</v>
      </c>
      <c r="D679" t="s">
        <v>36</v>
      </c>
      <c r="E679" t="s">
        <v>44</v>
      </c>
      <c r="F679" t="s">
        <v>48</v>
      </c>
      <c r="G679" t="s">
        <v>45</v>
      </c>
      <c r="H679">
        <v>1</v>
      </c>
      <c r="I679">
        <v>0</v>
      </c>
      <c r="J679" t="s">
        <v>43</v>
      </c>
      <c r="K679" t="s">
        <v>43</v>
      </c>
      <c r="L679" t="s">
        <v>43</v>
      </c>
      <c r="M679" t="s">
        <v>43</v>
      </c>
      <c r="N679" t="s">
        <v>43</v>
      </c>
      <c r="O679">
        <v>4</v>
      </c>
      <c r="P679">
        <v>4</v>
      </c>
      <c r="Q679">
        <v>5</v>
      </c>
      <c r="R679" t="s">
        <v>62</v>
      </c>
      <c r="S679">
        <v>1</v>
      </c>
      <c r="T679" s="1">
        <v>7.333333333333333</v>
      </c>
      <c r="U679" t="s">
        <v>63</v>
      </c>
    </row>
    <row r="680" spans="1:21" x14ac:dyDescent="0.35">
      <c r="A680" t="s">
        <v>50</v>
      </c>
      <c r="B680">
        <v>16</v>
      </c>
      <c r="C680" t="s">
        <v>35</v>
      </c>
      <c r="D680" t="s">
        <v>36</v>
      </c>
      <c r="E680" t="s">
        <v>44</v>
      </c>
      <c r="F680" t="s">
        <v>38</v>
      </c>
      <c r="G680" t="s">
        <v>45</v>
      </c>
      <c r="H680">
        <v>2</v>
      </c>
      <c r="I680">
        <v>1</v>
      </c>
      <c r="J680" t="s">
        <v>42</v>
      </c>
      <c r="K680" t="s">
        <v>42</v>
      </c>
      <c r="L680" t="s">
        <v>43</v>
      </c>
      <c r="M680" t="s">
        <v>43</v>
      </c>
      <c r="N680" t="s">
        <v>43</v>
      </c>
      <c r="O680">
        <v>5</v>
      </c>
      <c r="P680">
        <v>3</v>
      </c>
      <c r="Q680">
        <v>3</v>
      </c>
      <c r="R680" t="s">
        <v>61</v>
      </c>
      <c r="S680">
        <v>1</v>
      </c>
      <c r="T680" s="1">
        <v>10</v>
      </c>
      <c r="U680" t="s">
        <v>62</v>
      </c>
    </row>
    <row r="681" spans="1:21" x14ac:dyDescent="0.35">
      <c r="A681" t="s">
        <v>50</v>
      </c>
      <c r="B681">
        <v>18</v>
      </c>
      <c r="C681" t="s">
        <v>35</v>
      </c>
      <c r="D681" t="s">
        <v>36</v>
      </c>
      <c r="E681" t="s">
        <v>44</v>
      </c>
      <c r="F681" t="s">
        <v>48</v>
      </c>
      <c r="G681" t="s">
        <v>48</v>
      </c>
      <c r="H681">
        <v>1</v>
      </c>
      <c r="I681">
        <v>2</v>
      </c>
      <c r="J681" t="s">
        <v>43</v>
      </c>
      <c r="K681" t="s">
        <v>43</v>
      </c>
      <c r="L681" t="s">
        <v>43</v>
      </c>
      <c r="M681" t="s">
        <v>43</v>
      </c>
      <c r="N681" t="s">
        <v>43</v>
      </c>
      <c r="O681">
        <v>3</v>
      </c>
      <c r="P681">
        <v>2</v>
      </c>
      <c r="Q681">
        <v>5</v>
      </c>
      <c r="R681" t="s">
        <v>61</v>
      </c>
      <c r="S681">
        <v>1</v>
      </c>
      <c r="T681" s="1">
        <v>7</v>
      </c>
      <c r="U681" t="s">
        <v>63</v>
      </c>
    </row>
    <row r="682" spans="1:21" x14ac:dyDescent="0.35">
      <c r="A682" t="s">
        <v>50</v>
      </c>
      <c r="B682">
        <v>16</v>
      </c>
      <c r="C682" t="s">
        <v>52</v>
      </c>
      <c r="D682" t="s">
        <v>36</v>
      </c>
      <c r="E682" t="s">
        <v>44</v>
      </c>
      <c r="F682" t="s">
        <v>45</v>
      </c>
      <c r="G682" t="s">
        <v>45</v>
      </c>
      <c r="H682">
        <v>1</v>
      </c>
      <c r="I682">
        <v>0</v>
      </c>
      <c r="J682" t="s">
        <v>43</v>
      </c>
      <c r="K682" t="s">
        <v>43</v>
      </c>
      <c r="L682" t="s">
        <v>43</v>
      </c>
      <c r="M682" t="s">
        <v>42</v>
      </c>
      <c r="N682" t="s">
        <v>43</v>
      </c>
      <c r="O682">
        <v>3</v>
      </c>
      <c r="P682">
        <v>3</v>
      </c>
      <c r="Q682">
        <v>2</v>
      </c>
      <c r="R682" t="s">
        <v>61</v>
      </c>
      <c r="S682">
        <v>2</v>
      </c>
      <c r="T682" s="1">
        <v>13</v>
      </c>
      <c r="U682" t="s">
        <v>62</v>
      </c>
    </row>
    <row r="683" spans="1:21" x14ac:dyDescent="0.35">
      <c r="A683" t="s">
        <v>50</v>
      </c>
      <c r="B683">
        <v>17</v>
      </c>
      <c r="C683" t="s">
        <v>52</v>
      </c>
      <c r="D683" t="s">
        <v>36</v>
      </c>
      <c r="E683" t="s">
        <v>44</v>
      </c>
      <c r="F683" t="s">
        <v>45</v>
      </c>
      <c r="G683" t="s">
        <v>45</v>
      </c>
      <c r="H683">
        <v>1</v>
      </c>
      <c r="I683">
        <v>0</v>
      </c>
      <c r="J683" t="s">
        <v>43</v>
      </c>
      <c r="K683" t="s">
        <v>43</v>
      </c>
      <c r="L683" t="s">
        <v>43</v>
      </c>
      <c r="M683" t="s">
        <v>43</v>
      </c>
      <c r="N683" t="s">
        <v>43</v>
      </c>
      <c r="O683">
        <v>4</v>
      </c>
      <c r="P683">
        <v>4</v>
      </c>
      <c r="Q683">
        <v>2</v>
      </c>
      <c r="R683" t="s">
        <v>61</v>
      </c>
      <c r="S683">
        <v>0</v>
      </c>
      <c r="T683" s="1">
        <v>12.333333333333334</v>
      </c>
      <c r="U683" t="s">
        <v>63</v>
      </c>
    </row>
    <row r="684" spans="1:21" x14ac:dyDescent="0.35">
      <c r="A684" t="s">
        <v>50</v>
      </c>
      <c r="B684">
        <v>17</v>
      </c>
      <c r="C684" t="s">
        <v>35</v>
      </c>
      <c r="D684" t="s">
        <v>47</v>
      </c>
      <c r="E684" t="s">
        <v>44</v>
      </c>
      <c r="F684" t="s">
        <v>28</v>
      </c>
      <c r="G684" t="s">
        <v>45</v>
      </c>
      <c r="H684">
        <v>1</v>
      </c>
      <c r="I684">
        <v>1</v>
      </c>
      <c r="J684" t="s">
        <v>43</v>
      </c>
      <c r="K684" t="s">
        <v>42</v>
      </c>
      <c r="L684" t="s">
        <v>43</v>
      </c>
      <c r="M684" t="s">
        <v>42</v>
      </c>
      <c r="N684" t="s">
        <v>43</v>
      </c>
      <c r="O684">
        <v>4</v>
      </c>
      <c r="P684">
        <v>4</v>
      </c>
      <c r="Q684">
        <v>4</v>
      </c>
      <c r="R684" t="s">
        <v>61</v>
      </c>
      <c r="S684">
        <v>0</v>
      </c>
      <c r="T684" s="1">
        <v>9.6666666666666661</v>
      </c>
      <c r="U684" t="s">
        <v>62</v>
      </c>
    </row>
    <row r="685" spans="1:21" x14ac:dyDescent="0.35">
      <c r="A685" t="s">
        <v>34</v>
      </c>
      <c r="B685">
        <v>18</v>
      </c>
      <c r="C685" t="s">
        <v>35</v>
      </c>
      <c r="D685" t="s">
        <v>47</v>
      </c>
      <c r="E685" t="s">
        <v>37</v>
      </c>
      <c r="F685" t="s">
        <v>45</v>
      </c>
      <c r="G685" t="s">
        <v>45</v>
      </c>
      <c r="H685">
        <v>2</v>
      </c>
      <c r="I685">
        <v>0</v>
      </c>
      <c r="J685" t="s">
        <v>43</v>
      </c>
      <c r="K685" t="s">
        <v>42</v>
      </c>
      <c r="L685" t="s">
        <v>43</v>
      </c>
      <c r="M685" t="s">
        <v>43</v>
      </c>
      <c r="N685" t="s">
        <v>42</v>
      </c>
      <c r="O685">
        <v>4</v>
      </c>
      <c r="P685">
        <v>3</v>
      </c>
      <c r="Q685">
        <v>4</v>
      </c>
      <c r="R685" t="s">
        <v>61</v>
      </c>
      <c r="S685">
        <v>0</v>
      </c>
      <c r="T685" s="1">
        <v>12.333333333333334</v>
      </c>
      <c r="U685" t="s">
        <v>62</v>
      </c>
    </row>
    <row r="686" spans="1:21" x14ac:dyDescent="0.35">
      <c r="A686" t="s">
        <v>34</v>
      </c>
      <c r="B686">
        <v>17</v>
      </c>
      <c r="C686" t="s">
        <v>35</v>
      </c>
      <c r="D686" t="s">
        <v>47</v>
      </c>
      <c r="E686" t="s">
        <v>44</v>
      </c>
      <c r="F686" t="s">
        <v>39</v>
      </c>
      <c r="G686" t="s">
        <v>48</v>
      </c>
      <c r="H686">
        <v>4</v>
      </c>
      <c r="I686">
        <v>0</v>
      </c>
      <c r="J686" t="s">
        <v>43</v>
      </c>
      <c r="K686" t="s">
        <v>42</v>
      </c>
      <c r="L686" t="s">
        <v>43</v>
      </c>
      <c r="M686" t="s">
        <v>42</v>
      </c>
      <c r="N686" t="s">
        <v>43</v>
      </c>
      <c r="O686">
        <v>4</v>
      </c>
      <c r="P686">
        <v>2</v>
      </c>
      <c r="Q686">
        <v>3</v>
      </c>
      <c r="R686" t="s">
        <v>61</v>
      </c>
      <c r="S686">
        <v>0</v>
      </c>
      <c r="T686" s="1">
        <v>15.333333333333334</v>
      </c>
      <c r="U686" t="s">
        <v>61</v>
      </c>
    </row>
    <row r="687" spans="1:21" x14ac:dyDescent="0.35">
      <c r="A687" t="s">
        <v>34</v>
      </c>
      <c r="B687">
        <v>19</v>
      </c>
      <c r="C687" t="s">
        <v>35</v>
      </c>
      <c r="D687" t="s">
        <v>36</v>
      </c>
      <c r="E687" t="s">
        <v>44</v>
      </c>
      <c r="F687" t="s">
        <v>48</v>
      </c>
      <c r="G687" t="s">
        <v>48</v>
      </c>
      <c r="H687">
        <v>2</v>
      </c>
      <c r="I687">
        <v>0</v>
      </c>
      <c r="J687" t="s">
        <v>43</v>
      </c>
      <c r="K687" t="s">
        <v>42</v>
      </c>
      <c r="L687" t="s">
        <v>43</v>
      </c>
      <c r="M687" t="s">
        <v>43</v>
      </c>
      <c r="N687" t="s">
        <v>43</v>
      </c>
      <c r="O687">
        <v>4</v>
      </c>
      <c r="P687">
        <v>3</v>
      </c>
      <c r="Q687">
        <v>3</v>
      </c>
      <c r="R687" t="s">
        <v>61</v>
      </c>
      <c r="S687">
        <v>0</v>
      </c>
      <c r="T687" s="1">
        <v>10.333333333333334</v>
      </c>
      <c r="U687" t="s">
        <v>61</v>
      </c>
    </row>
    <row r="688" spans="1:21" x14ac:dyDescent="0.35">
      <c r="A688" t="s">
        <v>50</v>
      </c>
      <c r="B688">
        <v>18</v>
      </c>
      <c r="C688" t="s">
        <v>35</v>
      </c>
      <c r="D688" t="s">
        <v>47</v>
      </c>
      <c r="E688" t="s">
        <v>44</v>
      </c>
      <c r="F688" t="s">
        <v>48</v>
      </c>
      <c r="G688" t="s">
        <v>45</v>
      </c>
      <c r="H688">
        <v>2</v>
      </c>
      <c r="I688">
        <v>1</v>
      </c>
      <c r="J688" t="s">
        <v>43</v>
      </c>
      <c r="K688" t="s">
        <v>43</v>
      </c>
      <c r="L688" t="s">
        <v>43</v>
      </c>
      <c r="M688" t="s">
        <v>42</v>
      </c>
      <c r="N688" t="s">
        <v>43</v>
      </c>
      <c r="O688">
        <v>4</v>
      </c>
      <c r="P688">
        <v>4</v>
      </c>
      <c r="Q688">
        <v>5</v>
      </c>
      <c r="R688" t="s">
        <v>61</v>
      </c>
      <c r="S688">
        <v>1</v>
      </c>
      <c r="T688" s="1">
        <v>10.666666666666666</v>
      </c>
      <c r="U688" t="s">
        <v>63</v>
      </c>
    </row>
    <row r="689" spans="1:21" x14ac:dyDescent="0.35">
      <c r="A689" t="s">
        <v>34</v>
      </c>
      <c r="B689">
        <v>17</v>
      </c>
      <c r="C689" t="s">
        <v>52</v>
      </c>
      <c r="D689" t="s">
        <v>36</v>
      </c>
      <c r="E689" t="s">
        <v>44</v>
      </c>
      <c r="F689" t="s">
        <v>45</v>
      </c>
      <c r="G689" t="s">
        <v>45</v>
      </c>
      <c r="H689">
        <v>3</v>
      </c>
      <c r="I689">
        <v>0</v>
      </c>
      <c r="J689" t="s">
        <v>43</v>
      </c>
      <c r="K689" t="s">
        <v>42</v>
      </c>
      <c r="L689" t="s">
        <v>43</v>
      </c>
      <c r="M689" t="s">
        <v>42</v>
      </c>
      <c r="N689" t="s">
        <v>43</v>
      </c>
      <c r="O689">
        <v>4</v>
      </c>
      <c r="P689">
        <v>3</v>
      </c>
      <c r="Q689">
        <v>4</v>
      </c>
      <c r="R689" t="s">
        <v>61</v>
      </c>
      <c r="S689">
        <v>0</v>
      </c>
      <c r="T689" s="1">
        <v>12.333333333333334</v>
      </c>
      <c r="U689" t="s">
        <v>62</v>
      </c>
    </row>
    <row r="690" spans="1:21" x14ac:dyDescent="0.35">
      <c r="A690" t="s">
        <v>34</v>
      </c>
      <c r="B690">
        <v>18</v>
      </c>
      <c r="C690" t="s">
        <v>35</v>
      </c>
      <c r="D690" t="s">
        <v>47</v>
      </c>
      <c r="E690" t="s">
        <v>44</v>
      </c>
      <c r="F690" t="s">
        <v>45</v>
      </c>
      <c r="G690" t="s">
        <v>38</v>
      </c>
      <c r="H690">
        <v>3</v>
      </c>
      <c r="I690">
        <v>0</v>
      </c>
      <c r="J690" t="s">
        <v>43</v>
      </c>
      <c r="K690" t="s">
        <v>42</v>
      </c>
      <c r="L690" t="s">
        <v>43</v>
      </c>
      <c r="M690" t="s">
        <v>43</v>
      </c>
      <c r="N690" t="s">
        <v>43</v>
      </c>
      <c r="O690">
        <v>4</v>
      </c>
      <c r="P690">
        <v>4</v>
      </c>
      <c r="Q690">
        <v>3</v>
      </c>
      <c r="R690" t="s">
        <v>61</v>
      </c>
      <c r="S690">
        <v>0</v>
      </c>
      <c r="T690" s="1">
        <v>12.333333333333334</v>
      </c>
      <c r="U690" t="s">
        <v>63</v>
      </c>
    </row>
    <row r="691" spans="1:21" x14ac:dyDescent="0.35">
      <c r="A691" t="s">
        <v>34</v>
      </c>
      <c r="B691">
        <v>18</v>
      </c>
      <c r="C691" t="s">
        <v>52</v>
      </c>
      <c r="D691" t="s">
        <v>36</v>
      </c>
      <c r="E691" t="s">
        <v>44</v>
      </c>
      <c r="F691" t="s">
        <v>45</v>
      </c>
      <c r="G691" t="s">
        <v>45</v>
      </c>
      <c r="H691">
        <v>2</v>
      </c>
      <c r="I691">
        <v>0</v>
      </c>
      <c r="J691" t="s">
        <v>42</v>
      </c>
      <c r="K691" t="s">
        <v>43</v>
      </c>
      <c r="L691" t="s">
        <v>43</v>
      </c>
      <c r="M691" t="s">
        <v>43</v>
      </c>
      <c r="N691" t="s">
        <v>43</v>
      </c>
      <c r="O691">
        <v>3</v>
      </c>
      <c r="P691">
        <v>2</v>
      </c>
      <c r="Q691">
        <v>3</v>
      </c>
      <c r="R691" t="s">
        <v>61</v>
      </c>
      <c r="S691">
        <v>0</v>
      </c>
      <c r="T691" s="1">
        <v>11.666666666666666</v>
      </c>
      <c r="U691" t="s">
        <v>61</v>
      </c>
    </row>
    <row r="692" spans="1:21" x14ac:dyDescent="0.35">
      <c r="A692" t="s">
        <v>50</v>
      </c>
      <c r="B692">
        <v>19</v>
      </c>
      <c r="C692" t="s">
        <v>35</v>
      </c>
      <c r="D692" t="s">
        <v>47</v>
      </c>
      <c r="E692" t="s">
        <v>37</v>
      </c>
      <c r="F692" t="s">
        <v>48</v>
      </c>
      <c r="G692" t="s">
        <v>38</v>
      </c>
      <c r="H692">
        <v>2</v>
      </c>
      <c r="I692">
        <v>0</v>
      </c>
      <c r="J692" t="s">
        <v>43</v>
      </c>
      <c r="K692" t="s">
        <v>42</v>
      </c>
      <c r="L692" t="s">
        <v>43</v>
      </c>
      <c r="M692" t="s">
        <v>43</v>
      </c>
      <c r="N692" t="s">
        <v>43</v>
      </c>
      <c r="O692">
        <v>4</v>
      </c>
      <c r="P692">
        <v>3</v>
      </c>
      <c r="Q692">
        <v>1</v>
      </c>
      <c r="R692" t="s">
        <v>61</v>
      </c>
      <c r="S692">
        <v>0</v>
      </c>
      <c r="T692" s="1">
        <v>12.666666666666666</v>
      </c>
      <c r="U692" t="s">
        <v>61</v>
      </c>
    </row>
    <row r="693" spans="1:21" x14ac:dyDescent="0.35">
      <c r="A693" t="s">
        <v>50</v>
      </c>
      <c r="B693">
        <v>18</v>
      </c>
      <c r="C693" t="s">
        <v>35</v>
      </c>
      <c r="D693" t="s">
        <v>36</v>
      </c>
      <c r="E693" t="s">
        <v>44</v>
      </c>
      <c r="F693" t="s">
        <v>45</v>
      </c>
      <c r="G693" t="s">
        <v>45</v>
      </c>
      <c r="H693">
        <v>2</v>
      </c>
      <c r="I693">
        <v>0</v>
      </c>
      <c r="J693" t="s">
        <v>43</v>
      </c>
      <c r="K693" t="s">
        <v>43</v>
      </c>
      <c r="L693" t="s">
        <v>43</v>
      </c>
      <c r="M693" t="s">
        <v>42</v>
      </c>
      <c r="N693" t="s">
        <v>43</v>
      </c>
      <c r="O693">
        <v>5</v>
      </c>
      <c r="P693">
        <v>2</v>
      </c>
      <c r="Q693">
        <v>4</v>
      </c>
      <c r="R693" t="s">
        <v>61</v>
      </c>
      <c r="S693">
        <v>0</v>
      </c>
      <c r="T693" s="1">
        <v>16</v>
      </c>
      <c r="U693" t="s">
        <v>62</v>
      </c>
    </row>
    <row r="694" spans="1:21" x14ac:dyDescent="0.35">
      <c r="A694" t="s">
        <v>50</v>
      </c>
      <c r="B694">
        <v>17</v>
      </c>
      <c r="C694" t="s">
        <v>52</v>
      </c>
      <c r="D694" t="s">
        <v>36</v>
      </c>
      <c r="E694" t="s">
        <v>44</v>
      </c>
      <c r="F694" t="s">
        <v>45</v>
      </c>
      <c r="G694" t="s">
        <v>48</v>
      </c>
      <c r="H694">
        <v>1</v>
      </c>
      <c r="I694">
        <v>0</v>
      </c>
      <c r="J694" t="s">
        <v>43</v>
      </c>
      <c r="K694" t="s">
        <v>43</v>
      </c>
      <c r="L694" t="s">
        <v>43</v>
      </c>
      <c r="M694" t="s">
        <v>43</v>
      </c>
      <c r="N694" t="s">
        <v>43</v>
      </c>
      <c r="O694">
        <v>5</v>
      </c>
      <c r="P694">
        <v>2</v>
      </c>
      <c r="Q694">
        <v>2</v>
      </c>
      <c r="R694" t="s">
        <v>61</v>
      </c>
      <c r="S694">
        <v>0</v>
      </c>
      <c r="T694" s="1">
        <v>9.6666666666666661</v>
      </c>
      <c r="U694" t="s">
        <v>61</v>
      </c>
    </row>
    <row r="695" spans="1:21" x14ac:dyDescent="0.35">
      <c r="A695" t="s">
        <v>34</v>
      </c>
      <c r="B695">
        <v>17</v>
      </c>
      <c r="C695" t="s">
        <v>35</v>
      </c>
      <c r="D695" t="s">
        <v>47</v>
      </c>
      <c r="E695" t="s">
        <v>44</v>
      </c>
      <c r="F695" t="s">
        <v>48</v>
      </c>
      <c r="G695" t="s">
        <v>48</v>
      </c>
      <c r="H695">
        <v>4</v>
      </c>
      <c r="I695">
        <v>0</v>
      </c>
      <c r="J695" t="s">
        <v>43</v>
      </c>
      <c r="K695" t="s">
        <v>43</v>
      </c>
      <c r="L695" t="s">
        <v>43</v>
      </c>
      <c r="M695" t="s">
        <v>42</v>
      </c>
      <c r="N695" t="s">
        <v>42</v>
      </c>
      <c r="O695">
        <v>3</v>
      </c>
      <c r="P695">
        <v>4</v>
      </c>
      <c r="Q695">
        <v>1</v>
      </c>
      <c r="R695" t="s">
        <v>61</v>
      </c>
      <c r="S695">
        <v>0</v>
      </c>
      <c r="T695" s="1">
        <v>11</v>
      </c>
      <c r="U695" t="s">
        <v>61</v>
      </c>
    </row>
    <row r="696" spans="1:21" x14ac:dyDescent="0.35">
      <c r="A696" t="s">
        <v>34</v>
      </c>
      <c r="B696">
        <v>20</v>
      </c>
      <c r="C696" t="s">
        <v>52</v>
      </c>
      <c r="D696" t="s">
        <v>36</v>
      </c>
      <c r="E696" t="s">
        <v>44</v>
      </c>
      <c r="F696" t="s">
        <v>45</v>
      </c>
      <c r="G696" t="s">
        <v>45</v>
      </c>
      <c r="H696">
        <v>2</v>
      </c>
      <c r="I696">
        <v>0</v>
      </c>
      <c r="J696" t="s">
        <v>43</v>
      </c>
      <c r="K696" t="s">
        <v>42</v>
      </c>
      <c r="L696" t="s">
        <v>42</v>
      </c>
      <c r="M696" t="s">
        <v>42</v>
      </c>
      <c r="N696" t="s">
        <v>42</v>
      </c>
      <c r="O696">
        <v>1</v>
      </c>
      <c r="P696">
        <v>2</v>
      </c>
      <c r="Q696">
        <v>3</v>
      </c>
      <c r="R696" t="s">
        <v>62</v>
      </c>
      <c r="S696">
        <v>0</v>
      </c>
      <c r="T696" s="1">
        <v>11.333333333333334</v>
      </c>
      <c r="U696" t="s">
        <v>62</v>
      </c>
    </row>
    <row r="697" spans="1:21" x14ac:dyDescent="0.35">
      <c r="A697" t="s">
        <v>34</v>
      </c>
      <c r="B697">
        <v>18</v>
      </c>
      <c r="C697" t="s">
        <v>35</v>
      </c>
      <c r="D697" t="s">
        <v>36</v>
      </c>
      <c r="E697" t="s">
        <v>44</v>
      </c>
      <c r="F697" t="s">
        <v>48</v>
      </c>
      <c r="G697" t="s">
        <v>45</v>
      </c>
      <c r="H697">
        <v>2</v>
      </c>
      <c r="I697">
        <v>0</v>
      </c>
      <c r="J697" t="s">
        <v>43</v>
      </c>
      <c r="K697" t="s">
        <v>42</v>
      </c>
      <c r="L697" t="s">
        <v>43</v>
      </c>
      <c r="M697" t="s">
        <v>43</v>
      </c>
      <c r="N697" t="s">
        <v>42</v>
      </c>
      <c r="O697">
        <v>3</v>
      </c>
      <c r="P697">
        <v>1</v>
      </c>
      <c r="Q697">
        <v>2</v>
      </c>
      <c r="R697" t="s">
        <v>61</v>
      </c>
      <c r="S697">
        <v>0</v>
      </c>
      <c r="T697" s="1">
        <v>15</v>
      </c>
      <c r="U697" t="s">
        <v>62</v>
      </c>
    </row>
    <row r="698" spans="1:21" x14ac:dyDescent="0.35">
      <c r="A698" t="s">
        <v>50</v>
      </c>
      <c r="B698">
        <v>18</v>
      </c>
      <c r="C698" t="s">
        <v>35</v>
      </c>
      <c r="D698" t="s">
        <v>36</v>
      </c>
      <c r="E698" t="s">
        <v>44</v>
      </c>
      <c r="F698" t="s">
        <v>39</v>
      </c>
      <c r="G698" t="s">
        <v>45</v>
      </c>
      <c r="H698">
        <v>2</v>
      </c>
      <c r="I698">
        <v>0</v>
      </c>
      <c r="J698" t="s">
        <v>43</v>
      </c>
      <c r="K698" t="s">
        <v>42</v>
      </c>
      <c r="L698" t="s">
        <v>43</v>
      </c>
      <c r="M698" t="s">
        <v>43</v>
      </c>
      <c r="N698" t="s">
        <v>43</v>
      </c>
      <c r="O698">
        <v>4</v>
      </c>
      <c r="P698">
        <v>3</v>
      </c>
      <c r="Q698">
        <v>2</v>
      </c>
      <c r="R698" t="s">
        <v>61</v>
      </c>
      <c r="S698">
        <v>0</v>
      </c>
      <c r="T698" s="1">
        <v>10.333333333333334</v>
      </c>
      <c r="U698" t="s">
        <v>61</v>
      </c>
    </row>
    <row r="699" spans="1:21" x14ac:dyDescent="0.35">
      <c r="A699" t="s">
        <v>50</v>
      </c>
      <c r="B699">
        <v>18</v>
      </c>
      <c r="C699" t="s">
        <v>52</v>
      </c>
      <c r="D699" t="s">
        <v>36</v>
      </c>
      <c r="E699" t="s">
        <v>44</v>
      </c>
      <c r="F699" t="s">
        <v>45</v>
      </c>
      <c r="G699" t="s">
        <v>45</v>
      </c>
      <c r="H699">
        <v>3</v>
      </c>
      <c r="I699">
        <v>0</v>
      </c>
      <c r="J699" t="s">
        <v>43</v>
      </c>
      <c r="K699" t="s">
        <v>43</v>
      </c>
      <c r="L699" t="s">
        <v>43</v>
      </c>
      <c r="M699" t="s">
        <v>42</v>
      </c>
      <c r="N699" t="s">
        <v>43</v>
      </c>
      <c r="O699">
        <v>5</v>
      </c>
      <c r="P699">
        <v>3</v>
      </c>
      <c r="Q699">
        <v>2</v>
      </c>
      <c r="R699" t="s">
        <v>61</v>
      </c>
      <c r="S699">
        <v>0</v>
      </c>
      <c r="T699" s="1">
        <v>11</v>
      </c>
      <c r="U699" t="s">
        <v>61</v>
      </c>
    </row>
    <row r="700" spans="1:21" x14ac:dyDescent="0.35">
      <c r="A700" t="s">
        <v>34</v>
      </c>
      <c r="B700">
        <v>17</v>
      </c>
      <c r="C700" t="s">
        <v>35</v>
      </c>
      <c r="D700" t="s">
        <v>36</v>
      </c>
      <c r="E700" t="s">
        <v>44</v>
      </c>
      <c r="F700" t="s">
        <v>45</v>
      </c>
      <c r="G700" t="s">
        <v>45</v>
      </c>
      <c r="H700">
        <v>3</v>
      </c>
      <c r="I700">
        <v>0</v>
      </c>
      <c r="J700" t="s">
        <v>43</v>
      </c>
      <c r="K700" t="s">
        <v>43</v>
      </c>
      <c r="L700" t="s">
        <v>43</v>
      </c>
      <c r="M700" t="s">
        <v>42</v>
      </c>
      <c r="N700" t="s">
        <v>43</v>
      </c>
      <c r="O700">
        <v>3</v>
      </c>
      <c r="P700">
        <v>2</v>
      </c>
      <c r="Q700">
        <v>3</v>
      </c>
      <c r="R700" t="s">
        <v>61</v>
      </c>
      <c r="S700">
        <v>1</v>
      </c>
      <c r="T700" s="1">
        <v>13.333333333333334</v>
      </c>
      <c r="U700" t="s">
        <v>61</v>
      </c>
    </row>
    <row r="701" spans="1:21" x14ac:dyDescent="0.35">
      <c r="A701" t="s">
        <v>34</v>
      </c>
      <c r="B701">
        <v>18</v>
      </c>
      <c r="C701" t="s">
        <v>35</v>
      </c>
      <c r="D701" t="s">
        <v>36</v>
      </c>
      <c r="E701" t="s">
        <v>44</v>
      </c>
      <c r="F701" t="s">
        <v>38</v>
      </c>
      <c r="G701" t="s">
        <v>48</v>
      </c>
      <c r="H701">
        <v>3</v>
      </c>
      <c r="I701">
        <v>0</v>
      </c>
      <c r="J701" t="s">
        <v>43</v>
      </c>
      <c r="K701" t="s">
        <v>42</v>
      </c>
      <c r="L701" t="s">
        <v>43</v>
      </c>
      <c r="M701" t="s">
        <v>42</v>
      </c>
      <c r="N701" t="s">
        <v>42</v>
      </c>
      <c r="O701">
        <v>4</v>
      </c>
      <c r="P701">
        <v>3</v>
      </c>
      <c r="Q701">
        <v>3</v>
      </c>
      <c r="R701" t="s">
        <v>61</v>
      </c>
      <c r="S701">
        <v>0</v>
      </c>
      <c r="T701" s="1">
        <v>12</v>
      </c>
      <c r="U701" t="s">
        <v>61</v>
      </c>
    </row>
    <row r="702" spans="1:21" x14ac:dyDescent="0.35">
      <c r="A702" t="s">
        <v>50</v>
      </c>
      <c r="B702">
        <v>17</v>
      </c>
      <c r="C702" t="s">
        <v>35</v>
      </c>
      <c r="D702" t="s">
        <v>36</v>
      </c>
      <c r="E702" t="s">
        <v>44</v>
      </c>
      <c r="F702" t="s">
        <v>45</v>
      </c>
      <c r="G702" t="s">
        <v>45</v>
      </c>
      <c r="H702">
        <v>1</v>
      </c>
      <c r="I702">
        <v>0</v>
      </c>
      <c r="J702" t="s">
        <v>43</v>
      </c>
      <c r="K702" t="s">
        <v>43</v>
      </c>
      <c r="L702" t="s">
        <v>43</v>
      </c>
      <c r="M702" t="s">
        <v>43</v>
      </c>
      <c r="N702" t="s">
        <v>43</v>
      </c>
      <c r="O702">
        <v>4</v>
      </c>
      <c r="P702">
        <v>4</v>
      </c>
      <c r="Q702">
        <v>4</v>
      </c>
      <c r="R702" t="s">
        <v>62</v>
      </c>
      <c r="S702">
        <v>0</v>
      </c>
      <c r="T702" s="1">
        <v>8.3333333333333339</v>
      </c>
      <c r="U702" t="s">
        <v>63</v>
      </c>
    </row>
    <row r="703" spans="1:21" x14ac:dyDescent="0.35">
      <c r="A703" t="s">
        <v>50</v>
      </c>
      <c r="B703">
        <v>18</v>
      </c>
      <c r="C703" t="s">
        <v>52</v>
      </c>
      <c r="D703" t="s">
        <v>47</v>
      </c>
      <c r="E703" t="s">
        <v>37</v>
      </c>
      <c r="F703" t="s">
        <v>45</v>
      </c>
      <c r="G703" t="s">
        <v>45</v>
      </c>
      <c r="H703">
        <v>2</v>
      </c>
      <c r="I703">
        <v>0</v>
      </c>
      <c r="J703" t="s">
        <v>43</v>
      </c>
      <c r="K703" t="s">
        <v>42</v>
      </c>
      <c r="L703" t="s">
        <v>43</v>
      </c>
      <c r="M703" t="s">
        <v>42</v>
      </c>
      <c r="N703" t="s">
        <v>43</v>
      </c>
      <c r="O703">
        <v>4</v>
      </c>
      <c r="P703">
        <v>2</v>
      </c>
      <c r="Q703">
        <v>5</v>
      </c>
      <c r="R703" t="s">
        <v>62</v>
      </c>
      <c r="S703">
        <v>0</v>
      </c>
      <c r="T703" s="1">
        <v>15.666666666666666</v>
      </c>
      <c r="U703" t="s">
        <v>63</v>
      </c>
    </row>
    <row r="704" spans="1:21" x14ac:dyDescent="0.35">
      <c r="A704" t="s">
        <v>50</v>
      </c>
      <c r="B704">
        <v>17</v>
      </c>
      <c r="C704" t="s">
        <v>35</v>
      </c>
      <c r="D704" t="s">
        <v>36</v>
      </c>
      <c r="E704" t="s">
        <v>44</v>
      </c>
      <c r="F704" t="s">
        <v>48</v>
      </c>
      <c r="G704" t="s">
        <v>45</v>
      </c>
      <c r="H704">
        <v>2</v>
      </c>
      <c r="I704">
        <v>0</v>
      </c>
      <c r="J704" t="s">
        <v>43</v>
      </c>
      <c r="K704" t="s">
        <v>43</v>
      </c>
      <c r="L704" t="s">
        <v>43</v>
      </c>
      <c r="M704" t="s">
        <v>42</v>
      </c>
      <c r="N704" t="s">
        <v>42</v>
      </c>
      <c r="O704">
        <v>5</v>
      </c>
      <c r="P704">
        <v>4</v>
      </c>
      <c r="Q704">
        <v>4</v>
      </c>
      <c r="R704" t="s">
        <v>61</v>
      </c>
      <c r="S704">
        <v>0</v>
      </c>
      <c r="T704" s="1">
        <v>12</v>
      </c>
      <c r="U704" t="s">
        <v>63</v>
      </c>
    </row>
    <row r="705" spans="1:21" x14ac:dyDescent="0.35">
      <c r="A705" t="s">
        <v>34</v>
      </c>
      <c r="B705">
        <v>18</v>
      </c>
      <c r="C705" t="s">
        <v>52</v>
      </c>
      <c r="D705" t="s">
        <v>36</v>
      </c>
      <c r="E705" t="s">
        <v>44</v>
      </c>
      <c r="F705" t="s">
        <v>39</v>
      </c>
      <c r="G705" t="s">
        <v>45</v>
      </c>
      <c r="H705">
        <v>2</v>
      </c>
      <c r="I705">
        <v>0</v>
      </c>
      <c r="J705" t="s">
        <v>43</v>
      </c>
      <c r="K705" t="s">
        <v>43</v>
      </c>
      <c r="L705" t="s">
        <v>43</v>
      </c>
      <c r="M705" t="s">
        <v>42</v>
      </c>
      <c r="N705" t="s">
        <v>43</v>
      </c>
      <c r="O705">
        <v>4</v>
      </c>
      <c r="P705">
        <v>3</v>
      </c>
      <c r="Q705">
        <v>4</v>
      </c>
      <c r="R705" t="s">
        <v>62</v>
      </c>
      <c r="S705">
        <v>0</v>
      </c>
      <c r="T705" s="1">
        <v>11</v>
      </c>
      <c r="U705" t="s">
        <v>62</v>
      </c>
    </row>
    <row r="706" spans="1:21" x14ac:dyDescent="0.35">
      <c r="A706" t="s">
        <v>50</v>
      </c>
      <c r="B706">
        <v>18</v>
      </c>
      <c r="C706" t="s">
        <v>35</v>
      </c>
      <c r="D706" t="s">
        <v>36</v>
      </c>
      <c r="E706" t="s">
        <v>44</v>
      </c>
      <c r="F706" t="s">
        <v>28</v>
      </c>
      <c r="G706" t="s">
        <v>45</v>
      </c>
      <c r="H706">
        <v>2</v>
      </c>
      <c r="I706">
        <v>0</v>
      </c>
      <c r="J706" t="s">
        <v>43</v>
      </c>
      <c r="K706" t="s">
        <v>42</v>
      </c>
      <c r="L706" t="s">
        <v>43</v>
      </c>
      <c r="M706" t="s">
        <v>42</v>
      </c>
      <c r="N706" t="s">
        <v>42</v>
      </c>
      <c r="O706">
        <v>5</v>
      </c>
      <c r="P706">
        <v>4</v>
      </c>
      <c r="Q706">
        <v>5</v>
      </c>
      <c r="R706" t="s">
        <v>61</v>
      </c>
      <c r="S706">
        <v>0</v>
      </c>
      <c r="T706" s="1">
        <v>12</v>
      </c>
      <c r="U706" t="s">
        <v>62</v>
      </c>
    </row>
    <row r="707" spans="1:21" x14ac:dyDescent="0.35">
      <c r="A707" t="s">
        <v>34</v>
      </c>
      <c r="B707">
        <v>18</v>
      </c>
      <c r="C707" t="s">
        <v>52</v>
      </c>
      <c r="D707" t="s">
        <v>36</v>
      </c>
      <c r="E707" t="s">
        <v>44</v>
      </c>
      <c r="F707" t="s">
        <v>45</v>
      </c>
      <c r="G707" t="s">
        <v>45</v>
      </c>
      <c r="H707">
        <v>2</v>
      </c>
      <c r="I707">
        <v>0</v>
      </c>
      <c r="J707" t="s">
        <v>43</v>
      </c>
      <c r="K707" t="s">
        <v>42</v>
      </c>
      <c r="L707" t="s">
        <v>43</v>
      </c>
      <c r="M707" t="s">
        <v>43</v>
      </c>
      <c r="N707" t="s">
        <v>42</v>
      </c>
      <c r="O707">
        <v>4</v>
      </c>
      <c r="P707">
        <v>3</v>
      </c>
      <c r="Q707">
        <v>5</v>
      </c>
      <c r="R707" t="s">
        <v>63</v>
      </c>
      <c r="S707">
        <v>0</v>
      </c>
      <c r="T707" s="1">
        <v>9</v>
      </c>
      <c r="U707" t="s">
        <v>62</v>
      </c>
    </row>
    <row r="708" spans="1:21" x14ac:dyDescent="0.35">
      <c r="A708" t="s">
        <v>34</v>
      </c>
      <c r="B708">
        <v>19</v>
      </c>
      <c r="C708" t="s">
        <v>35</v>
      </c>
      <c r="D708" t="s">
        <v>36</v>
      </c>
      <c r="E708" t="s">
        <v>44</v>
      </c>
      <c r="F708" t="s">
        <v>45</v>
      </c>
      <c r="G708" t="s">
        <v>48</v>
      </c>
      <c r="H708">
        <v>2</v>
      </c>
      <c r="I708">
        <v>0</v>
      </c>
      <c r="J708" t="s">
        <v>43</v>
      </c>
      <c r="K708" t="s">
        <v>42</v>
      </c>
      <c r="L708" t="s">
        <v>43</v>
      </c>
      <c r="M708" t="s">
        <v>42</v>
      </c>
      <c r="N708" t="s">
        <v>43</v>
      </c>
      <c r="O708">
        <v>4</v>
      </c>
      <c r="P708">
        <v>3</v>
      </c>
      <c r="Q708">
        <v>5</v>
      </c>
      <c r="R708" t="s">
        <v>63</v>
      </c>
      <c r="S708">
        <v>0</v>
      </c>
      <c r="T708" s="1">
        <v>11.666666666666666</v>
      </c>
      <c r="U708" t="s">
        <v>63</v>
      </c>
    </row>
    <row r="709" spans="1:21" x14ac:dyDescent="0.35">
      <c r="A709" t="s">
        <v>34</v>
      </c>
      <c r="B709">
        <v>18</v>
      </c>
      <c r="C709" t="s">
        <v>35</v>
      </c>
      <c r="D709" t="s">
        <v>36</v>
      </c>
      <c r="E709" t="s">
        <v>44</v>
      </c>
      <c r="F709" t="s">
        <v>45</v>
      </c>
      <c r="G709" t="s">
        <v>48</v>
      </c>
      <c r="H709">
        <v>4</v>
      </c>
      <c r="I709">
        <v>0</v>
      </c>
      <c r="J709" t="s">
        <v>43</v>
      </c>
      <c r="K709" t="s">
        <v>42</v>
      </c>
      <c r="L709" t="s">
        <v>43</v>
      </c>
      <c r="M709" t="s">
        <v>42</v>
      </c>
      <c r="N709" t="s">
        <v>42</v>
      </c>
      <c r="O709">
        <v>4</v>
      </c>
      <c r="P709">
        <v>5</v>
      </c>
      <c r="Q709">
        <v>5</v>
      </c>
      <c r="R709" t="s">
        <v>63</v>
      </c>
      <c r="S709">
        <v>0</v>
      </c>
      <c r="T709" s="1">
        <v>16</v>
      </c>
      <c r="U709" t="s">
        <v>62</v>
      </c>
    </row>
    <row r="710" spans="1:21" x14ac:dyDescent="0.35">
      <c r="A710" t="s">
        <v>34</v>
      </c>
      <c r="B710">
        <v>18</v>
      </c>
      <c r="C710" t="s">
        <v>35</v>
      </c>
      <c r="D710" t="s">
        <v>47</v>
      </c>
      <c r="E710" t="s">
        <v>44</v>
      </c>
      <c r="F710" t="s">
        <v>45</v>
      </c>
      <c r="G710" t="s">
        <v>45</v>
      </c>
      <c r="H710">
        <v>2</v>
      </c>
      <c r="I710">
        <v>0</v>
      </c>
      <c r="J710" t="s">
        <v>43</v>
      </c>
      <c r="K710" t="s">
        <v>42</v>
      </c>
      <c r="L710" t="s">
        <v>43</v>
      </c>
      <c r="M710" t="s">
        <v>43</v>
      </c>
      <c r="N710" t="s">
        <v>43</v>
      </c>
      <c r="O710">
        <v>4</v>
      </c>
      <c r="P710">
        <v>4</v>
      </c>
      <c r="Q710">
        <v>3</v>
      </c>
      <c r="R710" t="s">
        <v>61</v>
      </c>
      <c r="S710">
        <v>0</v>
      </c>
      <c r="T710" s="1">
        <v>13</v>
      </c>
      <c r="U710" t="s">
        <v>61</v>
      </c>
    </row>
    <row r="711" spans="1:21" x14ac:dyDescent="0.35">
      <c r="A711" t="s">
        <v>50</v>
      </c>
      <c r="B711">
        <v>17</v>
      </c>
      <c r="C711" t="s">
        <v>52</v>
      </c>
      <c r="D711" t="s">
        <v>36</v>
      </c>
      <c r="E711" t="s">
        <v>44</v>
      </c>
      <c r="F711" t="s">
        <v>38</v>
      </c>
      <c r="G711" t="s">
        <v>38</v>
      </c>
      <c r="H711">
        <v>2</v>
      </c>
      <c r="I711">
        <v>0</v>
      </c>
      <c r="J711" t="s">
        <v>43</v>
      </c>
      <c r="K711" t="s">
        <v>42</v>
      </c>
      <c r="L711" t="s">
        <v>43</v>
      </c>
      <c r="M711" t="s">
        <v>42</v>
      </c>
      <c r="N711" t="s">
        <v>42</v>
      </c>
      <c r="O711">
        <v>3</v>
      </c>
      <c r="P711">
        <v>5</v>
      </c>
      <c r="Q711">
        <v>2</v>
      </c>
      <c r="R711" t="s">
        <v>61</v>
      </c>
      <c r="S711">
        <v>0</v>
      </c>
      <c r="T711" s="1">
        <v>17</v>
      </c>
      <c r="U711" t="s">
        <v>62</v>
      </c>
    </row>
    <row r="712" spans="1:21" x14ac:dyDescent="0.35">
      <c r="A712" t="s">
        <v>34</v>
      </c>
      <c r="B712">
        <v>18</v>
      </c>
      <c r="C712" t="s">
        <v>35</v>
      </c>
      <c r="D712" t="s">
        <v>36</v>
      </c>
      <c r="E712" t="s">
        <v>44</v>
      </c>
      <c r="F712" t="s">
        <v>45</v>
      </c>
      <c r="G712" t="s">
        <v>45</v>
      </c>
      <c r="H712">
        <v>2</v>
      </c>
      <c r="I712">
        <v>0</v>
      </c>
      <c r="J712" t="s">
        <v>43</v>
      </c>
      <c r="K712" t="s">
        <v>42</v>
      </c>
      <c r="L712" t="s">
        <v>43</v>
      </c>
      <c r="M712" t="s">
        <v>43</v>
      </c>
      <c r="N712" t="s">
        <v>42</v>
      </c>
      <c r="O712">
        <v>4</v>
      </c>
      <c r="P712">
        <v>2</v>
      </c>
      <c r="Q712">
        <v>5</v>
      </c>
      <c r="R712" t="s">
        <v>62</v>
      </c>
      <c r="S712">
        <v>0</v>
      </c>
      <c r="T712" s="1">
        <v>14.333333333333334</v>
      </c>
      <c r="U712" t="s">
        <v>62</v>
      </c>
    </row>
    <row r="713" spans="1:21" x14ac:dyDescent="0.35">
      <c r="A713" t="s">
        <v>34</v>
      </c>
      <c r="B713">
        <v>17</v>
      </c>
      <c r="C713" t="s">
        <v>35</v>
      </c>
      <c r="D713" t="s">
        <v>36</v>
      </c>
      <c r="E713" t="s">
        <v>44</v>
      </c>
      <c r="F713" t="s">
        <v>38</v>
      </c>
      <c r="G713" t="s">
        <v>28</v>
      </c>
      <c r="H713">
        <v>2</v>
      </c>
      <c r="I713">
        <v>0</v>
      </c>
      <c r="J713" t="s">
        <v>43</v>
      </c>
      <c r="K713" t="s">
        <v>42</v>
      </c>
      <c r="L713" t="s">
        <v>43</v>
      </c>
      <c r="M713" t="s">
        <v>43</v>
      </c>
      <c r="N713" t="s">
        <v>42</v>
      </c>
      <c r="O713">
        <v>4</v>
      </c>
      <c r="P713">
        <v>3</v>
      </c>
      <c r="Q713">
        <v>3</v>
      </c>
      <c r="R713" t="s">
        <v>62</v>
      </c>
      <c r="S713">
        <v>0</v>
      </c>
      <c r="T713" s="1">
        <v>15.666666666666666</v>
      </c>
      <c r="U713" t="s">
        <v>61</v>
      </c>
    </row>
    <row r="714" spans="1:21" x14ac:dyDescent="0.35">
      <c r="A714" t="s">
        <v>34</v>
      </c>
      <c r="B714">
        <v>17</v>
      </c>
      <c r="C714" t="s">
        <v>35</v>
      </c>
      <c r="D714" t="s">
        <v>47</v>
      </c>
      <c r="E714" t="s">
        <v>44</v>
      </c>
      <c r="F714" t="s">
        <v>48</v>
      </c>
      <c r="G714" t="s">
        <v>45</v>
      </c>
      <c r="H714">
        <v>2</v>
      </c>
      <c r="I714">
        <v>0</v>
      </c>
      <c r="J714" t="s">
        <v>42</v>
      </c>
      <c r="K714" t="s">
        <v>42</v>
      </c>
      <c r="L714" t="s">
        <v>43</v>
      </c>
      <c r="M714" t="s">
        <v>43</v>
      </c>
      <c r="N714" t="s">
        <v>42</v>
      </c>
      <c r="O714">
        <v>4</v>
      </c>
      <c r="P714">
        <v>4</v>
      </c>
      <c r="Q714">
        <v>4</v>
      </c>
      <c r="R714" t="s">
        <v>62</v>
      </c>
      <c r="S714">
        <v>0</v>
      </c>
      <c r="T714" s="1">
        <v>12</v>
      </c>
      <c r="U714" t="s">
        <v>63</v>
      </c>
    </row>
    <row r="715" spans="1:21" x14ac:dyDescent="0.35">
      <c r="A715" t="s">
        <v>34</v>
      </c>
      <c r="B715">
        <v>18</v>
      </c>
      <c r="C715" t="s">
        <v>52</v>
      </c>
      <c r="D715" t="s">
        <v>36</v>
      </c>
      <c r="E715" t="s">
        <v>37</v>
      </c>
      <c r="F715" t="s">
        <v>45</v>
      </c>
      <c r="G715" t="s">
        <v>48</v>
      </c>
      <c r="H715">
        <v>2</v>
      </c>
      <c r="I715">
        <v>0</v>
      </c>
      <c r="J715" t="s">
        <v>43</v>
      </c>
      <c r="K715" t="s">
        <v>43</v>
      </c>
      <c r="L715" t="s">
        <v>43</v>
      </c>
      <c r="M715" t="s">
        <v>43</v>
      </c>
      <c r="N715" t="s">
        <v>42</v>
      </c>
      <c r="O715">
        <v>4</v>
      </c>
      <c r="P715">
        <v>1</v>
      </c>
      <c r="Q715">
        <v>1</v>
      </c>
      <c r="R715" t="s">
        <v>63</v>
      </c>
      <c r="S715">
        <v>1</v>
      </c>
      <c r="T715" s="1">
        <v>10.333333333333334</v>
      </c>
      <c r="U715" t="s">
        <v>61</v>
      </c>
    </row>
    <row r="716" spans="1:21" x14ac:dyDescent="0.35">
      <c r="A716" t="s">
        <v>50</v>
      </c>
      <c r="B716">
        <v>18</v>
      </c>
      <c r="C716" t="s">
        <v>35</v>
      </c>
      <c r="D716" t="s">
        <v>36</v>
      </c>
      <c r="E716" t="s">
        <v>44</v>
      </c>
      <c r="F716" t="s">
        <v>39</v>
      </c>
      <c r="G716" t="s">
        <v>48</v>
      </c>
      <c r="H716">
        <v>1</v>
      </c>
      <c r="I716">
        <v>0</v>
      </c>
      <c r="J716" t="s">
        <v>43</v>
      </c>
      <c r="K716" t="s">
        <v>43</v>
      </c>
      <c r="L716" t="s">
        <v>43</v>
      </c>
      <c r="M716" t="s">
        <v>42</v>
      </c>
      <c r="N716" t="s">
        <v>43</v>
      </c>
      <c r="O716">
        <v>3</v>
      </c>
      <c r="P716">
        <v>2</v>
      </c>
      <c r="Q716">
        <v>4</v>
      </c>
      <c r="R716" t="s">
        <v>62</v>
      </c>
      <c r="S716">
        <v>0</v>
      </c>
      <c r="T716" s="1">
        <v>11.666666666666666</v>
      </c>
      <c r="U716" t="s">
        <v>63</v>
      </c>
    </row>
    <row r="717" spans="1:21" x14ac:dyDescent="0.35">
      <c r="A717" t="s">
        <v>34</v>
      </c>
      <c r="B717">
        <v>18</v>
      </c>
      <c r="C717" t="s">
        <v>35</v>
      </c>
      <c r="D717" t="s">
        <v>36</v>
      </c>
      <c r="E717" t="s">
        <v>44</v>
      </c>
      <c r="F717" t="s">
        <v>28</v>
      </c>
      <c r="G717" t="s">
        <v>28</v>
      </c>
      <c r="H717">
        <v>2</v>
      </c>
      <c r="I717">
        <v>1</v>
      </c>
      <c r="J717" t="s">
        <v>42</v>
      </c>
      <c r="K717" t="s">
        <v>42</v>
      </c>
      <c r="L717" t="s">
        <v>43</v>
      </c>
      <c r="M717" t="s">
        <v>42</v>
      </c>
      <c r="N717" t="s">
        <v>42</v>
      </c>
      <c r="O717">
        <v>2</v>
      </c>
      <c r="P717">
        <v>4</v>
      </c>
      <c r="Q717">
        <v>4</v>
      </c>
      <c r="R717" t="s">
        <v>61</v>
      </c>
      <c r="S717">
        <v>1</v>
      </c>
      <c r="T717" s="1">
        <v>13</v>
      </c>
      <c r="U717" t="s">
        <v>61</v>
      </c>
    </row>
    <row r="718" spans="1:21" x14ac:dyDescent="0.35">
      <c r="A718" t="s">
        <v>34</v>
      </c>
      <c r="B718">
        <v>17</v>
      </c>
      <c r="C718" t="s">
        <v>35</v>
      </c>
      <c r="D718" t="s">
        <v>36</v>
      </c>
      <c r="E718" t="s">
        <v>44</v>
      </c>
      <c r="F718" t="s">
        <v>45</v>
      </c>
      <c r="G718" t="s">
        <v>48</v>
      </c>
      <c r="H718">
        <v>3</v>
      </c>
      <c r="I718">
        <v>0</v>
      </c>
      <c r="J718" t="s">
        <v>43</v>
      </c>
      <c r="K718" t="s">
        <v>42</v>
      </c>
      <c r="L718" t="s">
        <v>43</v>
      </c>
      <c r="M718" t="s">
        <v>43</v>
      </c>
      <c r="N718" t="s">
        <v>42</v>
      </c>
      <c r="O718">
        <v>4</v>
      </c>
      <c r="P718">
        <v>2</v>
      </c>
      <c r="Q718">
        <v>3</v>
      </c>
      <c r="R718" t="s">
        <v>62</v>
      </c>
      <c r="S718">
        <v>0</v>
      </c>
      <c r="T718" s="1">
        <v>14.333333333333334</v>
      </c>
      <c r="U718" t="s">
        <v>61</v>
      </c>
    </row>
    <row r="719" spans="1:21" x14ac:dyDescent="0.35">
      <c r="A719" t="s">
        <v>34</v>
      </c>
      <c r="B719">
        <v>19</v>
      </c>
      <c r="C719" t="s">
        <v>52</v>
      </c>
      <c r="D719" t="s">
        <v>36</v>
      </c>
      <c r="E719" t="s">
        <v>44</v>
      </c>
      <c r="F719" t="s">
        <v>48</v>
      </c>
      <c r="G719" t="s">
        <v>48</v>
      </c>
      <c r="H719">
        <v>2</v>
      </c>
      <c r="I719">
        <v>1</v>
      </c>
      <c r="J719" t="s">
        <v>42</v>
      </c>
      <c r="K719" t="s">
        <v>42</v>
      </c>
      <c r="L719" t="s">
        <v>43</v>
      </c>
      <c r="M719" t="s">
        <v>43</v>
      </c>
      <c r="N719" t="s">
        <v>43</v>
      </c>
      <c r="O719">
        <v>3</v>
      </c>
      <c r="P719">
        <v>3</v>
      </c>
      <c r="Q719">
        <v>3</v>
      </c>
      <c r="R719" t="s">
        <v>61</v>
      </c>
      <c r="S719">
        <v>1</v>
      </c>
      <c r="T719" s="1">
        <v>9</v>
      </c>
      <c r="U719" t="s">
        <v>63</v>
      </c>
    </row>
    <row r="720" spans="1:21" x14ac:dyDescent="0.35">
      <c r="A720" t="s">
        <v>50</v>
      </c>
      <c r="B720">
        <v>18</v>
      </c>
      <c r="C720" t="s">
        <v>35</v>
      </c>
      <c r="D720" t="s">
        <v>47</v>
      </c>
      <c r="E720" t="s">
        <v>44</v>
      </c>
      <c r="F720" t="s">
        <v>39</v>
      </c>
      <c r="G720" t="s">
        <v>48</v>
      </c>
      <c r="H720">
        <v>1</v>
      </c>
      <c r="I720">
        <v>0</v>
      </c>
      <c r="J720" t="s">
        <v>43</v>
      </c>
      <c r="K720" t="s">
        <v>43</v>
      </c>
      <c r="L720" t="s">
        <v>43</v>
      </c>
      <c r="M720" t="s">
        <v>42</v>
      </c>
      <c r="N720" t="s">
        <v>43</v>
      </c>
      <c r="O720">
        <v>4</v>
      </c>
      <c r="P720">
        <v>2</v>
      </c>
      <c r="Q720">
        <v>3</v>
      </c>
      <c r="R720" t="s">
        <v>61</v>
      </c>
      <c r="S720">
        <v>0</v>
      </c>
      <c r="T720" s="1">
        <v>10</v>
      </c>
      <c r="U720" t="s">
        <v>62</v>
      </c>
    </row>
    <row r="721" spans="1:21" x14ac:dyDescent="0.35">
      <c r="A721" t="s">
        <v>50</v>
      </c>
      <c r="B721">
        <v>18</v>
      </c>
      <c r="C721" t="s">
        <v>35</v>
      </c>
      <c r="D721" t="s">
        <v>36</v>
      </c>
      <c r="E721" t="s">
        <v>44</v>
      </c>
      <c r="F721" t="s">
        <v>38</v>
      </c>
      <c r="G721" t="s">
        <v>45</v>
      </c>
      <c r="H721">
        <v>1</v>
      </c>
      <c r="I721">
        <v>0</v>
      </c>
      <c r="J721" t="s">
        <v>43</v>
      </c>
      <c r="K721" t="s">
        <v>43</v>
      </c>
      <c r="L721" t="s">
        <v>43</v>
      </c>
      <c r="M721" t="s">
        <v>43</v>
      </c>
      <c r="N721" t="s">
        <v>43</v>
      </c>
      <c r="O721">
        <v>3</v>
      </c>
      <c r="P721">
        <v>4</v>
      </c>
      <c r="Q721">
        <v>4</v>
      </c>
      <c r="R721" t="s">
        <v>63</v>
      </c>
      <c r="S721">
        <v>0</v>
      </c>
      <c r="T721" s="1">
        <v>10.333333333333334</v>
      </c>
      <c r="U721" t="s">
        <v>63</v>
      </c>
    </row>
    <row r="722" spans="1:21" x14ac:dyDescent="0.35">
      <c r="A722" t="s">
        <v>50</v>
      </c>
      <c r="B722">
        <v>17</v>
      </c>
      <c r="C722" t="s">
        <v>35</v>
      </c>
      <c r="D722" t="s">
        <v>47</v>
      </c>
      <c r="E722" t="s">
        <v>37</v>
      </c>
      <c r="F722" t="s">
        <v>48</v>
      </c>
      <c r="G722" t="s">
        <v>45</v>
      </c>
      <c r="H722">
        <v>1</v>
      </c>
      <c r="I722">
        <v>0</v>
      </c>
      <c r="J722" t="s">
        <v>43</v>
      </c>
      <c r="K722" t="s">
        <v>43</v>
      </c>
      <c r="L722" t="s">
        <v>43</v>
      </c>
      <c r="M722" t="s">
        <v>42</v>
      </c>
      <c r="N722" t="s">
        <v>42</v>
      </c>
      <c r="O722">
        <v>4</v>
      </c>
      <c r="P722">
        <v>5</v>
      </c>
      <c r="Q722">
        <v>4</v>
      </c>
      <c r="R722" t="s">
        <v>63</v>
      </c>
      <c r="S722">
        <v>1</v>
      </c>
      <c r="T722" s="1">
        <v>10.666666666666666</v>
      </c>
      <c r="U722" t="s">
        <v>63</v>
      </c>
    </row>
    <row r="723" spans="1:21" x14ac:dyDescent="0.35">
      <c r="A723" t="s">
        <v>50</v>
      </c>
      <c r="B723">
        <v>17</v>
      </c>
      <c r="C723" t="s">
        <v>35</v>
      </c>
      <c r="D723" t="s">
        <v>47</v>
      </c>
      <c r="E723" t="s">
        <v>37</v>
      </c>
      <c r="F723" t="s">
        <v>39</v>
      </c>
      <c r="G723" t="s">
        <v>48</v>
      </c>
      <c r="H723">
        <v>1</v>
      </c>
      <c r="I723">
        <v>0</v>
      </c>
      <c r="J723" t="s">
        <v>43</v>
      </c>
      <c r="K723" t="s">
        <v>43</v>
      </c>
      <c r="L723" t="s">
        <v>43</v>
      </c>
      <c r="M723" t="s">
        <v>43</v>
      </c>
      <c r="N723" t="s">
        <v>43</v>
      </c>
      <c r="O723">
        <v>4</v>
      </c>
      <c r="P723">
        <v>4</v>
      </c>
      <c r="Q723">
        <v>4</v>
      </c>
      <c r="R723" t="s">
        <v>63</v>
      </c>
      <c r="S723">
        <v>0</v>
      </c>
      <c r="T723" s="1">
        <v>13</v>
      </c>
      <c r="U723" t="s">
        <v>63</v>
      </c>
    </row>
    <row r="724" spans="1:21" x14ac:dyDescent="0.35">
      <c r="A724" t="s">
        <v>34</v>
      </c>
      <c r="B724">
        <v>18</v>
      </c>
      <c r="C724" t="s">
        <v>52</v>
      </c>
      <c r="D724" t="s">
        <v>47</v>
      </c>
      <c r="E724" t="s">
        <v>44</v>
      </c>
      <c r="F724" t="s">
        <v>38</v>
      </c>
      <c r="G724" t="s">
        <v>45</v>
      </c>
      <c r="H724">
        <v>4</v>
      </c>
      <c r="I724">
        <v>0</v>
      </c>
      <c r="J724" t="s">
        <v>43</v>
      </c>
      <c r="K724" t="s">
        <v>42</v>
      </c>
      <c r="L724" t="s">
        <v>43</v>
      </c>
      <c r="M724" t="s">
        <v>42</v>
      </c>
      <c r="N724" t="s">
        <v>43</v>
      </c>
      <c r="O724">
        <v>5</v>
      </c>
      <c r="P724">
        <v>2</v>
      </c>
      <c r="Q724">
        <v>2</v>
      </c>
      <c r="R724" t="s">
        <v>61</v>
      </c>
      <c r="S724">
        <v>0</v>
      </c>
      <c r="T724" s="1">
        <v>17.333333333333332</v>
      </c>
      <c r="U724" t="s">
        <v>61</v>
      </c>
    </row>
    <row r="725" spans="1:21" x14ac:dyDescent="0.35">
      <c r="A725" t="s">
        <v>34</v>
      </c>
      <c r="B725">
        <v>18</v>
      </c>
      <c r="C725" t="s">
        <v>35</v>
      </c>
      <c r="D725" t="s">
        <v>36</v>
      </c>
      <c r="E725" t="s">
        <v>44</v>
      </c>
      <c r="F725" t="s">
        <v>45</v>
      </c>
      <c r="G725" t="s">
        <v>45</v>
      </c>
      <c r="H725">
        <v>2</v>
      </c>
      <c r="I725">
        <v>0</v>
      </c>
      <c r="J725" t="s">
        <v>42</v>
      </c>
      <c r="K725" t="s">
        <v>43</v>
      </c>
      <c r="L725" t="s">
        <v>43</v>
      </c>
      <c r="M725" t="s">
        <v>42</v>
      </c>
      <c r="N725" t="s">
        <v>43</v>
      </c>
      <c r="O725">
        <v>5</v>
      </c>
      <c r="P725">
        <v>4</v>
      </c>
      <c r="Q725">
        <v>4</v>
      </c>
      <c r="R725" t="s">
        <v>61</v>
      </c>
      <c r="S725">
        <v>0</v>
      </c>
      <c r="T725" s="1">
        <v>12.666666666666666</v>
      </c>
      <c r="U725" t="s">
        <v>61</v>
      </c>
    </row>
    <row r="726" spans="1:21" x14ac:dyDescent="0.35">
      <c r="A726" t="s">
        <v>34</v>
      </c>
      <c r="B726">
        <v>17</v>
      </c>
      <c r="C726" t="s">
        <v>35</v>
      </c>
      <c r="D726" t="s">
        <v>36</v>
      </c>
      <c r="E726" t="s">
        <v>44</v>
      </c>
      <c r="F726" t="s">
        <v>45</v>
      </c>
      <c r="G726" t="s">
        <v>45</v>
      </c>
      <c r="H726">
        <v>2</v>
      </c>
      <c r="I726">
        <v>0</v>
      </c>
      <c r="J726" t="s">
        <v>43</v>
      </c>
      <c r="K726" t="s">
        <v>42</v>
      </c>
      <c r="L726" t="s">
        <v>43</v>
      </c>
      <c r="M726" t="s">
        <v>43</v>
      </c>
      <c r="N726" t="s">
        <v>43</v>
      </c>
      <c r="O726">
        <v>5</v>
      </c>
      <c r="P726">
        <v>4</v>
      </c>
      <c r="Q726">
        <v>5</v>
      </c>
      <c r="R726" t="s">
        <v>63</v>
      </c>
      <c r="S726">
        <v>0</v>
      </c>
      <c r="T726" s="1">
        <v>12.666666666666666</v>
      </c>
      <c r="U726" t="s">
        <v>62</v>
      </c>
    </row>
    <row r="727" spans="1:21" x14ac:dyDescent="0.35">
      <c r="A727" t="s">
        <v>34</v>
      </c>
      <c r="B727">
        <v>18</v>
      </c>
      <c r="C727" t="s">
        <v>35</v>
      </c>
      <c r="D727" t="s">
        <v>36</v>
      </c>
      <c r="E727" t="s">
        <v>44</v>
      </c>
      <c r="F727" t="s">
        <v>45</v>
      </c>
      <c r="G727" t="s">
        <v>45</v>
      </c>
      <c r="H727">
        <v>2</v>
      </c>
      <c r="I727">
        <v>0</v>
      </c>
      <c r="J727" t="s">
        <v>43</v>
      </c>
      <c r="K727" t="s">
        <v>43</v>
      </c>
      <c r="L727" t="s">
        <v>43</v>
      </c>
      <c r="M727" t="s">
        <v>42</v>
      </c>
      <c r="N727" t="s">
        <v>42</v>
      </c>
      <c r="O727">
        <v>4</v>
      </c>
      <c r="P727">
        <v>3</v>
      </c>
      <c r="Q727">
        <v>1</v>
      </c>
      <c r="R727" t="s">
        <v>63</v>
      </c>
      <c r="S727">
        <v>0</v>
      </c>
      <c r="T727" s="1">
        <v>13</v>
      </c>
      <c r="U727" t="s">
        <v>61</v>
      </c>
    </row>
    <row r="728" spans="1:21" x14ac:dyDescent="0.35">
      <c r="A728" t="s">
        <v>50</v>
      </c>
      <c r="B728">
        <v>17</v>
      </c>
      <c r="C728" t="s">
        <v>35</v>
      </c>
      <c r="D728" t="s">
        <v>36</v>
      </c>
      <c r="E728" t="s">
        <v>44</v>
      </c>
      <c r="F728" t="s">
        <v>45</v>
      </c>
      <c r="G728" t="s">
        <v>45</v>
      </c>
      <c r="H728">
        <v>2</v>
      </c>
      <c r="I728">
        <v>0</v>
      </c>
      <c r="J728" t="s">
        <v>43</v>
      </c>
      <c r="K728" t="s">
        <v>43</v>
      </c>
      <c r="L728" t="s">
        <v>43</v>
      </c>
      <c r="M728" t="s">
        <v>43</v>
      </c>
      <c r="N728" t="s">
        <v>43</v>
      </c>
      <c r="O728">
        <v>4</v>
      </c>
      <c r="P728">
        <v>3</v>
      </c>
      <c r="Q728">
        <v>3</v>
      </c>
      <c r="R728" t="s">
        <v>61</v>
      </c>
      <c r="S728">
        <v>0</v>
      </c>
      <c r="T728" s="1">
        <v>12</v>
      </c>
      <c r="U728" t="s">
        <v>62</v>
      </c>
    </row>
    <row r="729" spans="1:21" x14ac:dyDescent="0.35">
      <c r="A729" t="s">
        <v>34</v>
      </c>
      <c r="B729">
        <v>18</v>
      </c>
      <c r="C729" t="s">
        <v>35</v>
      </c>
      <c r="D729" t="s">
        <v>36</v>
      </c>
      <c r="E729" t="s">
        <v>44</v>
      </c>
      <c r="F729" t="s">
        <v>38</v>
      </c>
      <c r="G729" t="s">
        <v>38</v>
      </c>
      <c r="H729">
        <v>3</v>
      </c>
      <c r="I729">
        <v>0</v>
      </c>
      <c r="J729" t="s">
        <v>43</v>
      </c>
      <c r="K729" t="s">
        <v>42</v>
      </c>
      <c r="L729" t="s">
        <v>43</v>
      </c>
      <c r="M729" t="s">
        <v>43</v>
      </c>
      <c r="N729" t="s">
        <v>43</v>
      </c>
      <c r="O729">
        <v>4</v>
      </c>
      <c r="P729">
        <v>3</v>
      </c>
      <c r="Q729">
        <v>3</v>
      </c>
      <c r="R729" t="s">
        <v>61</v>
      </c>
      <c r="S729">
        <v>0</v>
      </c>
      <c r="T729" s="1">
        <v>18</v>
      </c>
      <c r="U729" t="s">
        <v>62</v>
      </c>
    </row>
    <row r="730" spans="1:21" x14ac:dyDescent="0.35">
      <c r="A730" t="s">
        <v>34</v>
      </c>
      <c r="B730">
        <v>17</v>
      </c>
      <c r="C730" t="s">
        <v>35</v>
      </c>
      <c r="D730" t="s">
        <v>36</v>
      </c>
      <c r="E730" t="s">
        <v>44</v>
      </c>
      <c r="F730" t="s">
        <v>48</v>
      </c>
      <c r="G730" t="s">
        <v>39</v>
      </c>
      <c r="H730">
        <v>3</v>
      </c>
      <c r="I730">
        <v>0</v>
      </c>
      <c r="J730" t="s">
        <v>43</v>
      </c>
      <c r="K730" t="s">
        <v>42</v>
      </c>
      <c r="L730" t="s">
        <v>43</v>
      </c>
      <c r="M730" t="s">
        <v>43</v>
      </c>
      <c r="N730" t="s">
        <v>43</v>
      </c>
      <c r="O730">
        <v>4</v>
      </c>
      <c r="P730">
        <v>3</v>
      </c>
      <c r="Q730">
        <v>3</v>
      </c>
      <c r="R730" t="s">
        <v>61</v>
      </c>
      <c r="S730">
        <v>0</v>
      </c>
      <c r="T730" s="1">
        <v>13.333333333333334</v>
      </c>
      <c r="U730" t="s">
        <v>61</v>
      </c>
    </row>
    <row r="731" spans="1:21" x14ac:dyDescent="0.35">
      <c r="A731" t="s">
        <v>50</v>
      </c>
      <c r="B731">
        <v>18</v>
      </c>
      <c r="C731" t="s">
        <v>35</v>
      </c>
      <c r="D731" t="s">
        <v>36</v>
      </c>
      <c r="E731" t="s">
        <v>44</v>
      </c>
      <c r="F731" t="s">
        <v>48</v>
      </c>
      <c r="G731" t="s">
        <v>48</v>
      </c>
      <c r="H731">
        <v>3</v>
      </c>
      <c r="I731">
        <v>0</v>
      </c>
      <c r="J731" t="s">
        <v>43</v>
      </c>
      <c r="K731" t="s">
        <v>43</v>
      </c>
      <c r="L731" t="s">
        <v>43</v>
      </c>
      <c r="M731" t="s">
        <v>42</v>
      </c>
      <c r="N731" t="s">
        <v>43</v>
      </c>
      <c r="O731">
        <v>4</v>
      </c>
      <c r="P731">
        <v>2</v>
      </c>
      <c r="Q731">
        <v>4</v>
      </c>
      <c r="R731" t="s">
        <v>61</v>
      </c>
      <c r="S731">
        <v>0</v>
      </c>
      <c r="T731" s="1">
        <v>14.666666666666666</v>
      </c>
      <c r="U731" t="s">
        <v>62</v>
      </c>
    </row>
    <row r="732" spans="1:21" x14ac:dyDescent="0.35">
      <c r="A732" t="s">
        <v>50</v>
      </c>
      <c r="B732">
        <v>18</v>
      </c>
      <c r="C732" t="s">
        <v>35</v>
      </c>
      <c r="D732" t="s">
        <v>47</v>
      </c>
      <c r="E732" t="s">
        <v>37</v>
      </c>
      <c r="F732" t="s">
        <v>39</v>
      </c>
      <c r="G732" t="s">
        <v>39</v>
      </c>
      <c r="H732">
        <v>2</v>
      </c>
      <c r="I732">
        <v>0</v>
      </c>
      <c r="J732" t="s">
        <v>43</v>
      </c>
      <c r="K732" t="s">
        <v>42</v>
      </c>
      <c r="L732" t="s">
        <v>43</v>
      </c>
      <c r="M732" t="s">
        <v>42</v>
      </c>
      <c r="N732" t="s">
        <v>43</v>
      </c>
      <c r="O732">
        <v>5</v>
      </c>
      <c r="P732">
        <v>4</v>
      </c>
      <c r="Q732">
        <v>3</v>
      </c>
      <c r="R732" t="s">
        <v>61</v>
      </c>
      <c r="S732">
        <v>0</v>
      </c>
      <c r="T732" s="1">
        <v>17</v>
      </c>
      <c r="U732" t="s">
        <v>61</v>
      </c>
    </row>
    <row r="733" spans="1:21" x14ac:dyDescent="0.35">
      <c r="A733" t="s">
        <v>50</v>
      </c>
      <c r="B733">
        <v>18</v>
      </c>
      <c r="C733" t="s">
        <v>35</v>
      </c>
      <c r="D733" t="s">
        <v>36</v>
      </c>
      <c r="E733" t="s">
        <v>44</v>
      </c>
      <c r="F733" t="s">
        <v>39</v>
      </c>
      <c r="G733" t="s">
        <v>45</v>
      </c>
      <c r="H733">
        <v>2</v>
      </c>
      <c r="I733">
        <v>0</v>
      </c>
      <c r="J733" t="s">
        <v>43</v>
      </c>
      <c r="K733" t="s">
        <v>42</v>
      </c>
      <c r="L733" t="s">
        <v>43</v>
      </c>
      <c r="M733" t="s">
        <v>42</v>
      </c>
      <c r="N733" t="s">
        <v>42</v>
      </c>
      <c r="O733">
        <v>4</v>
      </c>
      <c r="P733">
        <v>3</v>
      </c>
      <c r="Q733">
        <v>2</v>
      </c>
      <c r="R733" t="s">
        <v>61</v>
      </c>
      <c r="S733">
        <v>0</v>
      </c>
      <c r="T733" s="1">
        <v>15.666666666666666</v>
      </c>
      <c r="U733" t="s">
        <v>63</v>
      </c>
    </row>
    <row r="734" spans="1:21" x14ac:dyDescent="0.35">
      <c r="A734" t="s">
        <v>34</v>
      </c>
      <c r="B734">
        <v>17</v>
      </c>
      <c r="C734" t="s">
        <v>35</v>
      </c>
      <c r="D734" t="s">
        <v>36</v>
      </c>
      <c r="E734" t="s">
        <v>44</v>
      </c>
      <c r="F734" t="s">
        <v>28</v>
      </c>
      <c r="G734" t="s">
        <v>48</v>
      </c>
      <c r="H734">
        <v>3</v>
      </c>
      <c r="I734">
        <v>0</v>
      </c>
      <c r="J734" t="s">
        <v>43</v>
      </c>
      <c r="K734" t="s">
        <v>42</v>
      </c>
      <c r="L734" t="s">
        <v>43</v>
      </c>
      <c r="M734" t="s">
        <v>43</v>
      </c>
      <c r="N734" t="s">
        <v>43</v>
      </c>
      <c r="O734">
        <v>4</v>
      </c>
      <c r="P734">
        <v>2</v>
      </c>
      <c r="Q734">
        <v>2</v>
      </c>
      <c r="R734" t="s">
        <v>61</v>
      </c>
      <c r="S734">
        <v>0</v>
      </c>
      <c r="T734" s="1">
        <v>17.666666666666668</v>
      </c>
      <c r="U734" t="s">
        <v>62</v>
      </c>
    </row>
    <row r="735" spans="1:21" x14ac:dyDescent="0.35">
      <c r="A735" t="s">
        <v>34</v>
      </c>
      <c r="B735">
        <v>17</v>
      </c>
      <c r="C735" t="s">
        <v>52</v>
      </c>
      <c r="D735" t="s">
        <v>47</v>
      </c>
      <c r="E735" t="s">
        <v>44</v>
      </c>
      <c r="F735" t="s">
        <v>48</v>
      </c>
      <c r="G735" t="s">
        <v>45</v>
      </c>
      <c r="H735">
        <v>4</v>
      </c>
      <c r="I735">
        <v>0</v>
      </c>
      <c r="J735" t="s">
        <v>43</v>
      </c>
      <c r="K735" t="s">
        <v>42</v>
      </c>
      <c r="L735" t="s">
        <v>43</v>
      </c>
      <c r="M735" t="s">
        <v>43</v>
      </c>
      <c r="N735" t="s">
        <v>43</v>
      </c>
      <c r="O735">
        <v>3</v>
      </c>
      <c r="P735">
        <v>1</v>
      </c>
      <c r="Q735">
        <v>2</v>
      </c>
      <c r="R735" t="s">
        <v>61</v>
      </c>
      <c r="S735">
        <v>0</v>
      </c>
      <c r="T735" s="1">
        <v>18.666666666666668</v>
      </c>
      <c r="U735" t="s">
        <v>61</v>
      </c>
    </row>
    <row r="736" spans="1:21" x14ac:dyDescent="0.35">
      <c r="A736" t="s">
        <v>50</v>
      </c>
      <c r="B736">
        <v>18</v>
      </c>
      <c r="C736" t="s">
        <v>52</v>
      </c>
      <c r="D736" t="s">
        <v>47</v>
      </c>
      <c r="E736" t="s">
        <v>44</v>
      </c>
      <c r="F736" t="s">
        <v>48</v>
      </c>
      <c r="G736" t="s">
        <v>45</v>
      </c>
      <c r="H736">
        <v>3</v>
      </c>
      <c r="I736">
        <v>0</v>
      </c>
      <c r="J736" t="s">
        <v>43</v>
      </c>
      <c r="K736" t="s">
        <v>42</v>
      </c>
      <c r="L736" t="s">
        <v>43</v>
      </c>
      <c r="M736" t="s">
        <v>42</v>
      </c>
      <c r="N736" t="s">
        <v>43</v>
      </c>
      <c r="O736">
        <v>5</v>
      </c>
      <c r="P736">
        <v>4</v>
      </c>
      <c r="Q736">
        <v>2</v>
      </c>
      <c r="R736" t="s">
        <v>61</v>
      </c>
      <c r="S736">
        <v>0</v>
      </c>
      <c r="T736" s="1">
        <v>14.666666666666666</v>
      </c>
      <c r="U736" t="s">
        <v>61</v>
      </c>
    </row>
    <row r="737" spans="1:21" x14ac:dyDescent="0.35">
      <c r="A737" t="s">
        <v>50</v>
      </c>
      <c r="B737">
        <v>17</v>
      </c>
      <c r="C737" t="s">
        <v>35</v>
      </c>
      <c r="D737" t="s">
        <v>36</v>
      </c>
      <c r="E737" t="s">
        <v>44</v>
      </c>
      <c r="F737" t="s">
        <v>28</v>
      </c>
      <c r="G737" t="s">
        <v>45</v>
      </c>
      <c r="H737">
        <v>1</v>
      </c>
      <c r="I737">
        <v>0</v>
      </c>
      <c r="J737" t="s">
        <v>43</v>
      </c>
      <c r="K737" t="s">
        <v>42</v>
      </c>
      <c r="L737" t="s">
        <v>43</v>
      </c>
      <c r="M737" t="s">
        <v>43</v>
      </c>
      <c r="N737" t="s">
        <v>43</v>
      </c>
      <c r="O737">
        <v>4</v>
      </c>
      <c r="P737">
        <v>4</v>
      </c>
      <c r="Q737">
        <v>3</v>
      </c>
      <c r="R737" t="s">
        <v>61</v>
      </c>
      <c r="S737">
        <v>0</v>
      </c>
      <c r="T737" s="1">
        <v>14.666666666666666</v>
      </c>
      <c r="U737" t="s">
        <v>62</v>
      </c>
    </row>
    <row r="738" spans="1:21" x14ac:dyDescent="0.35">
      <c r="A738" t="s">
        <v>34</v>
      </c>
      <c r="B738">
        <v>19</v>
      </c>
      <c r="C738" t="s">
        <v>35</v>
      </c>
      <c r="D738" t="s">
        <v>36</v>
      </c>
      <c r="E738" t="s">
        <v>44</v>
      </c>
      <c r="F738" t="s">
        <v>28</v>
      </c>
      <c r="G738" t="s">
        <v>45</v>
      </c>
      <c r="H738">
        <v>2</v>
      </c>
      <c r="I738">
        <v>0</v>
      </c>
      <c r="J738" t="s">
        <v>43</v>
      </c>
      <c r="K738" t="s">
        <v>42</v>
      </c>
      <c r="L738" t="s">
        <v>43</v>
      </c>
      <c r="M738" t="s">
        <v>42</v>
      </c>
      <c r="N738" t="s">
        <v>43</v>
      </c>
      <c r="O738">
        <v>2</v>
      </c>
      <c r="P738">
        <v>3</v>
      </c>
      <c r="Q738">
        <v>4</v>
      </c>
      <c r="R738" t="s">
        <v>61</v>
      </c>
      <c r="S738">
        <v>1</v>
      </c>
      <c r="T738" s="1">
        <v>13.333333333333334</v>
      </c>
      <c r="U738" t="s">
        <v>63</v>
      </c>
    </row>
    <row r="739" spans="1:21" x14ac:dyDescent="0.35">
      <c r="A739" t="s">
        <v>34</v>
      </c>
      <c r="B739">
        <v>18</v>
      </c>
      <c r="C739" t="s">
        <v>35</v>
      </c>
      <c r="D739" t="s">
        <v>47</v>
      </c>
      <c r="E739" t="s">
        <v>44</v>
      </c>
      <c r="F739" t="s">
        <v>45</v>
      </c>
      <c r="G739" t="s">
        <v>45</v>
      </c>
      <c r="H739">
        <v>2</v>
      </c>
      <c r="I739">
        <v>0</v>
      </c>
      <c r="J739" t="s">
        <v>43</v>
      </c>
      <c r="K739" t="s">
        <v>42</v>
      </c>
      <c r="L739" t="s">
        <v>43</v>
      </c>
      <c r="M739" t="s">
        <v>43</v>
      </c>
      <c r="N739" t="s">
        <v>42</v>
      </c>
      <c r="O739">
        <v>4</v>
      </c>
      <c r="P739">
        <v>4</v>
      </c>
      <c r="Q739">
        <v>5</v>
      </c>
      <c r="R739" t="s">
        <v>61</v>
      </c>
      <c r="S739">
        <v>0</v>
      </c>
      <c r="T739" s="1">
        <v>13.666666666666666</v>
      </c>
      <c r="U739" t="s">
        <v>62</v>
      </c>
    </row>
    <row r="740" spans="1:21" x14ac:dyDescent="0.35">
      <c r="A740" t="s">
        <v>34</v>
      </c>
      <c r="B740">
        <v>18</v>
      </c>
      <c r="C740" t="s">
        <v>35</v>
      </c>
      <c r="D740" t="s">
        <v>36</v>
      </c>
      <c r="E740" t="s">
        <v>44</v>
      </c>
      <c r="F740" t="s">
        <v>45</v>
      </c>
      <c r="G740" t="s">
        <v>45</v>
      </c>
      <c r="H740">
        <v>4</v>
      </c>
      <c r="I740">
        <v>0</v>
      </c>
      <c r="J740" t="s">
        <v>43</v>
      </c>
      <c r="K740" t="s">
        <v>42</v>
      </c>
      <c r="L740" t="s">
        <v>43</v>
      </c>
      <c r="M740" t="s">
        <v>43</v>
      </c>
      <c r="N740" t="s">
        <v>43</v>
      </c>
      <c r="O740">
        <v>4</v>
      </c>
      <c r="P740">
        <v>3</v>
      </c>
      <c r="Q740">
        <v>3</v>
      </c>
      <c r="R740" t="s">
        <v>61</v>
      </c>
      <c r="S740">
        <v>0</v>
      </c>
      <c r="T740" s="1">
        <v>16.666666666666668</v>
      </c>
      <c r="U740" t="s">
        <v>61</v>
      </c>
    </row>
    <row r="741" spans="1:21" x14ac:dyDescent="0.35">
      <c r="A741" t="s">
        <v>50</v>
      </c>
      <c r="B741">
        <v>18</v>
      </c>
      <c r="C741" t="s">
        <v>35</v>
      </c>
      <c r="D741" t="s">
        <v>47</v>
      </c>
      <c r="E741" t="s">
        <v>44</v>
      </c>
      <c r="F741" t="s">
        <v>39</v>
      </c>
      <c r="G741" t="s">
        <v>39</v>
      </c>
      <c r="H741">
        <v>1</v>
      </c>
      <c r="I741">
        <v>0</v>
      </c>
      <c r="J741" t="s">
        <v>43</v>
      </c>
      <c r="K741" t="s">
        <v>42</v>
      </c>
      <c r="L741" t="s">
        <v>43</v>
      </c>
      <c r="M741" t="s">
        <v>43</v>
      </c>
      <c r="N741" t="s">
        <v>42</v>
      </c>
      <c r="O741">
        <v>1</v>
      </c>
      <c r="P741">
        <v>4</v>
      </c>
      <c r="Q741">
        <v>2</v>
      </c>
      <c r="R741" t="s">
        <v>61</v>
      </c>
      <c r="S741">
        <v>1</v>
      </c>
      <c r="T741" s="1">
        <v>17.666666666666668</v>
      </c>
      <c r="U741" t="s">
        <v>62</v>
      </c>
    </row>
    <row r="742" spans="1:21" x14ac:dyDescent="0.35">
      <c r="A742" t="s">
        <v>34</v>
      </c>
      <c r="B742">
        <v>18</v>
      </c>
      <c r="C742" t="s">
        <v>35</v>
      </c>
      <c r="D742" t="s">
        <v>47</v>
      </c>
      <c r="E742" t="s">
        <v>37</v>
      </c>
      <c r="F742" t="s">
        <v>28</v>
      </c>
      <c r="G742" t="s">
        <v>45</v>
      </c>
      <c r="H742">
        <v>2</v>
      </c>
      <c r="I742">
        <v>0</v>
      </c>
      <c r="J742" t="s">
        <v>43</v>
      </c>
      <c r="K742" t="s">
        <v>42</v>
      </c>
      <c r="L742" t="s">
        <v>42</v>
      </c>
      <c r="M742" t="s">
        <v>43</v>
      </c>
      <c r="N742" t="s">
        <v>42</v>
      </c>
      <c r="O742">
        <v>4</v>
      </c>
      <c r="P742">
        <v>2</v>
      </c>
      <c r="Q742">
        <v>4</v>
      </c>
      <c r="R742" t="s">
        <v>61</v>
      </c>
      <c r="S742">
        <v>0</v>
      </c>
      <c r="T742" s="1">
        <v>14.666666666666666</v>
      </c>
      <c r="U742" t="s">
        <v>61</v>
      </c>
    </row>
    <row r="743" spans="1:21" x14ac:dyDescent="0.35">
      <c r="A743" t="s">
        <v>50</v>
      </c>
      <c r="B743">
        <v>17</v>
      </c>
      <c r="C743" t="s">
        <v>35</v>
      </c>
      <c r="D743" t="s">
        <v>47</v>
      </c>
      <c r="E743" t="s">
        <v>44</v>
      </c>
      <c r="F743" t="s">
        <v>45</v>
      </c>
      <c r="G743" t="s">
        <v>39</v>
      </c>
      <c r="H743">
        <v>1</v>
      </c>
      <c r="I743">
        <v>0</v>
      </c>
      <c r="J743" t="s">
        <v>43</v>
      </c>
      <c r="K743" t="s">
        <v>43</v>
      </c>
      <c r="L743" t="s">
        <v>43</v>
      </c>
      <c r="M743" t="s">
        <v>43</v>
      </c>
      <c r="N743" t="s">
        <v>43</v>
      </c>
      <c r="O743">
        <v>4</v>
      </c>
      <c r="P743">
        <v>1</v>
      </c>
      <c r="Q743">
        <v>1</v>
      </c>
      <c r="R743" t="s">
        <v>61</v>
      </c>
      <c r="S743">
        <v>0</v>
      </c>
      <c r="T743" s="1">
        <v>12.666666666666666</v>
      </c>
      <c r="U743" t="s">
        <v>62</v>
      </c>
    </row>
    <row r="744" spans="1:21" x14ac:dyDescent="0.35">
      <c r="A744" t="s">
        <v>34</v>
      </c>
      <c r="B744">
        <v>17</v>
      </c>
      <c r="C744" t="s">
        <v>52</v>
      </c>
      <c r="D744" t="s">
        <v>36</v>
      </c>
      <c r="E744" t="s">
        <v>44</v>
      </c>
      <c r="F744" t="s">
        <v>48</v>
      </c>
      <c r="G744" t="s">
        <v>48</v>
      </c>
      <c r="H744">
        <v>3</v>
      </c>
      <c r="I744">
        <v>0</v>
      </c>
      <c r="J744" t="s">
        <v>43</v>
      </c>
      <c r="K744" t="s">
        <v>42</v>
      </c>
      <c r="L744" t="s">
        <v>43</v>
      </c>
      <c r="M744" t="s">
        <v>42</v>
      </c>
      <c r="N744" t="s">
        <v>43</v>
      </c>
      <c r="O744">
        <v>5</v>
      </c>
      <c r="P744">
        <v>3</v>
      </c>
      <c r="Q744">
        <v>4</v>
      </c>
      <c r="R744" t="s">
        <v>61</v>
      </c>
      <c r="S744">
        <v>0</v>
      </c>
      <c r="T744" s="1">
        <v>7.333333333333333</v>
      </c>
      <c r="U744" t="s">
        <v>61</v>
      </c>
    </row>
    <row r="745" spans="1:21" x14ac:dyDescent="0.35">
      <c r="A745" t="s">
        <v>34</v>
      </c>
      <c r="B745">
        <v>17</v>
      </c>
      <c r="C745" t="s">
        <v>35</v>
      </c>
      <c r="D745" t="s">
        <v>36</v>
      </c>
      <c r="E745" t="s">
        <v>44</v>
      </c>
      <c r="F745" t="s">
        <v>45</v>
      </c>
      <c r="G745" t="s">
        <v>45</v>
      </c>
      <c r="H745">
        <v>3</v>
      </c>
      <c r="I745">
        <v>0</v>
      </c>
      <c r="J745" t="s">
        <v>43</v>
      </c>
      <c r="K745" t="s">
        <v>42</v>
      </c>
      <c r="L745" t="s">
        <v>43</v>
      </c>
      <c r="M745" t="s">
        <v>43</v>
      </c>
      <c r="N745" t="s">
        <v>43</v>
      </c>
      <c r="O745">
        <v>4</v>
      </c>
      <c r="P745">
        <v>3</v>
      </c>
      <c r="Q745">
        <v>3</v>
      </c>
      <c r="R745" t="s">
        <v>61</v>
      </c>
      <c r="S745">
        <v>0</v>
      </c>
      <c r="T745" s="1">
        <v>16</v>
      </c>
      <c r="U745" t="s">
        <v>61</v>
      </c>
    </row>
    <row r="746" spans="1:21" x14ac:dyDescent="0.35">
      <c r="A746" t="s">
        <v>34</v>
      </c>
      <c r="B746">
        <v>17</v>
      </c>
      <c r="C746" t="s">
        <v>35</v>
      </c>
      <c r="D746" t="s">
        <v>36</v>
      </c>
      <c r="E746" t="s">
        <v>44</v>
      </c>
      <c r="F746" t="s">
        <v>28</v>
      </c>
      <c r="G746" t="s">
        <v>28</v>
      </c>
      <c r="H746">
        <v>4</v>
      </c>
      <c r="I746">
        <v>0</v>
      </c>
      <c r="J746" t="s">
        <v>43</v>
      </c>
      <c r="K746" t="s">
        <v>42</v>
      </c>
      <c r="L746" t="s">
        <v>43</v>
      </c>
      <c r="M746" t="s">
        <v>42</v>
      </c>
      <c r="N746" t="s">
        <v>43</v>
      </c>
      <c r="O746">
        <v>5</v>
      </c>
      <c r="P746">
        <v>2</v>
      </c>
      <c r="Q746">
        <v>2</v>
      </c>
      <c r="R746" t="s">
        <v>61</v>
      </c>
      <c r="S746">
        <v>0</v>
      </c>
      <c r="T746" s="1">
        <v>18</v>
      </c>
      <c r="U746" t="s">
        <v>62</v>
      </c>
    </row>
    <row r="747" spans="1:21" x14ac:dyDescent="0.35">
      <c r="A747" t="s">
        <v>50</v>
      </c>
      <c r="B747">
        <v>19</v>
      </c>
      <c r="C747" t="s">
        <v>52</v>
      </c>
      <c r="D747" t="s">
        <v>47</v>
      </c>
      <c r="E747" t="s">
        <v>44</v>
      </c>
      <c r="F747" t="s">
        <v>38</v>
      </c>
      <c r="G747" t="s">
        <v>48</v>
      </c>
      <c r="H747">
        <v>3</v>
      </c>
      <c r="I747">
        <v>1</v>
      </c>
      <c r="J747" t="s">
        <v>43</v>
      </c>
      <c r="K747" t="s">
        <v>43</v>
      </c>
      <c r="L747" t="s">
        <v>43</v>
      </c>
      <c r="M747" t="s">
        <v>42</v>
      </c>
      <c r="N747" t="s">
        <v>42</v>
      </c>
      <c r="O747">
        <v>4</v>
      </c>
      <c r="P747">
        <v>3</v>
      </c>
      <c r="Q747">
        <v>1</v>
      </c>
      <c r="R747" t="s">
        <v>61</v>
      </c>
      <c r="S747">
        <v>0</v>
      </c>
      <c r="T747" s="1">
        <v>10</v>
      </c>
      <c r="U747" t="s">
        <v>61</v>
      </c>
    </row>
    <row r="748" spans="1:21" x14ac:dyDescent="0.35">
      <c r="A748" t="s">
        <v>50</v>
      </c>
      <c r="B748">
        <v>20</v>
      </c>
      <c r="C748" t="s">
        <v>35</v>
      </c>
      <c r="D748" t="s">
        <v>36</v>
      </c>
      <c r="E748" t="s">
        <v>37</v>
      </c>
      <c r="F748" t="s">
        <v>48</v>
      </c>
      <c r="G748" t="s">
        <v>45</v>
      </c>
      <c r="H748">
        <v>1</v>
      </c>
      <c r="I748">
        <v>2</v>
      </c>
      <c r="J748" t="s">
        <v>43</v>
      </c>
      <c r="K748" t="s">
        <v>43</v>
      </c>
      <c r="L748" t="s">
        <v>43</v>
      </c>
      <c r="M748" t="s">
        <v>42</v>
      </c>
      <c r="N748" t="s">
        <v>43</v>
      </c>
      <c r="O748">
        <v>5</v>
      </c>
      <c r="P748">
        <v>5</v>
      </c>
      <c r="Q748">
        <v>3</v>
      </c>
      <c r="R748" t="s">
        <v>61</v>
      </c>
      <c r="S748">
        <v>0</v>
      </c>
      <c r="T748" s="1">
        <v>14.666666666666666</v>
      </c>
      <c r="U748" t="s">
        <v>61</v>
      </c>
    </row>
    <row r="749" spans="1:21" x14ac:dyDescent="0.35">
      <c r="A749" t="s">
        <v>50</v>
      </c>
      <c r="B749">
        <v>19</v>
      </c>
      <c r="C749" t="s">
        <v>52</v>
      </c>
      <c r="D749" t="s">
        <v>36</v>
      </c>
      <c r="E749" t="s">
        <v>44</v>
      </c>
      <c r="F749" t="s">
        <v>45</v>
      </c>
      <c r="G749" t="s">
        <v>48</v>
      </c>
      <c r="H749">
        <v>2</v>
      </c>
      <c r="I749">
        <v>0</v>
      </c>
      <c r="J749" t="s">
        <v>43</v>
      </c>
      <c r="K749" t="s">
        <v>43</v>
      </c>
      <c r="L749" t="s">
        <v>43</v>
      </c>
      <c r="M749" t="s">
        <v>42</v>
      </c>
      <c r="N749" t="s">
        <v>42</v>
      </c>
      <c r="O749">
        <v>4</v>
      </c>
      <c r="P749">
        <v>5</v>
      </c>
      <c r="Q749">
        <v>3</v>
      </c>
      <c r="R749" t="s">
        <v>61</v>
      </c>
      <c r="S749">
        <v>0</v>
      </c>
      <c r="T749" s="1">
        <v>10.333333333333334</v>
      </c>
      <c r="U749" t="s">
        <v>62</v>
      </c>
    </row>
    <row r="750" spans="1:21" x14ac:dyDescent="0.35">
      <c r="A750" t="s">
        <v>34</v>
      </c>
      <c r="B750">
        <v>18</v>
      </c>
      <c r="C750" t="s">
        <v>35</v>
      </c>
      <c r="D750" t="s">
        <v>36</v>
      </c>
      <c r="E750" t="s">
        <v>44</v>
      </c>
      <c r="F750" t="s">
        <v>45</v>
      </c>
      <c r="G750" t="s">
        <v>39</v>
      </c>
      <c r="H750">
        <v>2</v>
      </c>
      <c r="I750">
        <v>0</v>
      </c>
      <c r="J750" t="s">
        <v>42</v>
      </c>
      <c r="K750" t="s">
        <v>42</v>
      </c>
      <c r="L750" t="s">
        <v>43</v>
      </c>
      <c r="M750" t="s">
        <v>43</v>
      </c>
      <c r="N750" t="s">
        <v>42</v>
      </c>
      <c r="O750">
        <v>3</v>
      </c>
      <c r="P750">
        <v>4</v>
      </c>
      <c r="Q750">
        <v>4</v>
      </c>
      <c r="R750" t="s">
        <v>61</v>
      </c>
      <c r="S750">
        <v>0</v>
      </c>
      <c r="T750" s="1">
        <v>10.333333333333334</v>
      </c>
      <c r="U750" t="s">
        <v>62</v>
      </c>
    </row>
    <row r="751" spans="1:21" x14ac:dyDescent="0.35">
      <c r="A751" t="s">
        <v>34</v>
      </c>
      <c r="B751">
        <v>18</v>
      </c>
      <c r="C751" t="s">
        <v>35</v>
      </c>
      <c r="D751" t="s">
        <v>36</v>
      </c>
      <c r="E751" t="s">
        <v>44</v>
      </c>
      <c r="F751" t="s">
        <v>48</v>
      </c>
      <c r="G751" t="s">
        <v>45</v>
      </c>
      <c r="H751">
        <v>2</v>
      </c>
      <c r="I751">
        <v>0</v>
      </c>
      <c r="J751" t="s">
        <v>43</v>
      </c>
      <c r="K751" t="s">
        <v>42</v>
      </c>
      <c r="L751" t="s">
        <v>43</v>
      </c>
      <c r="M751" t="s">
        <v>42</v>
      </c>
      <c r="N751" t="s">
        <v>43</v>
      </c>
      <c r="O751">
        <v>5</v>
      </c>
      <c r="P751">
        <v>3</v>
      </c>
      <c r="Q751">
        <v>3</v>
      </c>
      <c r="R751" t="s">
        <v>61</v>
      </c>
      <c r="S751">
        <v>0</v>
      </c>
      <c r="T751" s="1">
        <v>13</v>
      </c>
      <c r="U751" t="s">
        <v>62</v>
      </c>
    </row>
    <row r="752" spans="1:21" x14ac:dyDescent="0.35">
      <c r="A752" t="s">
        <v>34</v>
      </c>
      <c r="B752">
        <v>17</v>
      </c>
      <c r="C752" t="s">
        <v>35</v>
      </c>
      <c r="D752" t="s">
        <v>36</v>
      </c>
      <c r="E752" t="s">
        <v>44</v>
      </c>
      <c r="F752" t="s">
        <v>45</v>
      </c>
      <c r="G752" t="s">
        <v>45</v>
      </c>
      <c r="H752">
        <v>2</v>
      </c>
      <c r="I752">
        <v>0</v>
      </c>
      <c r="J752" t="s">
        <v>43</v>
      </c>
      <c r="K752" t="s">
        <v>43</v>
      </c>
      <c r="L752" t="s">
        <v>43</v>
      </c>
      <c r="M752" t="s">
        <v>42</v>
      </c>
      <c r="N752" t="s">
        <v>42</v>
      </c>
      <c r="O752">
        <v>4</v>
      </c>
      <c r="P752">
        <v>2</v>
      </c>
      <c r="Q752">
        <v>1</v>
      </c>
      <c r="R752" t="s">
        <v>61</v>
      </c>
      <c r="S752">
        <v>0</v>
      </c>
      <c r="T752" s="1">
        <v>12.333333333333334</v>
      </c>
      <c r="U752" t="s">
        <v>61</v>
      </c>
    </row>
    <row r="753" spans="1:21" x14ac:dyDescent="0.35">
      <c r="A753" t="s">
        <v>34</v>
      </c>
      <c r="B753">
        <v>17</v>
      </c>
      <c r="C753" t="s">
        <v>52</v>
      </c>
      <c r="D753" t="s">
        <v>36</v>
      </c>
      <c r="E753" t="s">
        <v>44</v>
      </c>
      <c r="F753" t="s">
        <v>39</v>
      </c>
      <c r="G753" t="s">
        <v>39</v>
      </c>
      <c r="H753">
        <v>1</v>
      </c>
      <c r="I753">
        <v>0</v>
      </c>
      <c r="J753" t="s">
        <v>43</v>
      </c>
      <c r="K753" t="s">
        <v>43</v>
      </c>
      <c r="L753" t="s">
        <v>43</v>
      </c>
      <c r="M753" t="s">
        <v>42</v>
      </c>
      <c r="N753" t="s">
        <v>43</v>
      </c>
      <c r="O753">
        <v>4</v>
      </c>
      <c r="P753">
        <v>4</v>
      </c>
      <c r="Q753">
        <v>4</v>
      </c>
      <c r="R753" t="s">
        <v>61</v>
      </c>
      <c r="S753">
        <v>0</v>
      </c>
      <c r="T753" s="1">
        <v>16</v>
      </c>
      <c r="U753" t="s">
        <v>61</v>
      </c>
    </row>
    <row r="754" spans="1:21" x14ac:dyDescent="0.35">
      <c r="A754" t="s">
        <v>34</v>
      </c>
      <c r="B754">
        <v>18</v>
      </c>
      <c r="C754" t="s">
        <v>35</v>
      </c>
      <c r="D754" t="s">
        <v>36</v>
      </c>
      <c r="E754" t="s">
        <v>44</v>
      </c>
      <c r="F754" t="s">
        <v>45</v>
      </c>
      <c r="G754" t="s">
        <v>45</v>
      </c>
      <c r="H754">
        <v>3</v>
      </c>
      <c r="I754">
        <v>0</v>
      </c>
      <c r="J754" t="s">
        <v>43</v>
      </c>
      <c r="K754" t="s">
        <v>42</v>
      </c>
      <c r="L754" t="s">
        <v>43</v>
      </c>
      <c r="M754" t="s">
        <v>42</v>
      </c>
      <c r="N754" t="s">
        <v>42</v>
      </c>
      <c r="O754">
        <v>4</v>
      </c>
      <c r="P754">
        <v>3</v>
      </c>
      <c r="Q754">
        <v>4</v>
      </c>
      <c r="R754" t="s">
        <v>61</v>
      </c>
      <c r="S754">
        <v>0</v>
      </c>
      <c r="T754" s="1">
        <v>15.333333333333334</v>
      </c>
      <c r="U754" t="s">
        <v>61</v>
      </c>
    </row>
    <row r="755" spans="1:21" x14ac:dyDescent="0.35">
      <c r="A755" t="s">
        <v>34</v>
      </c>
      <c r="B755">
        <v>18</v>
      </c>
      <c r="C755" t="s">
        <v>35</v>
      </c>
      <c r="D755" t="s">
        <v>47</v>
      </c>
      <c r="E755" t="s">
        <v>44</v>
      </c>
      <c r="F755" t="s">
        <v>28</v>
      </c>
      <c r="G755" t="s">
        <v>48</v>
      </c>
      <c r="H755">
        <v>1</v>
      </c>
      <c r="I755">
        <v>0</v>
      </c>
      <c r="J755" t="s">
        <v>43</v>
      </c>
      <c r="K755" t="s">
        <v>42</v>
      </c>
      <c r="L755" t="s">
        <v>43</v>
      </c>
      <c r="M755" t="s">
        <v>43</v>
      </c>
      <c r="N755" t="s">
        <v>43</v>
      </c>
      <c r="O755">
        <v>3</v>
      </c>
      <c r="P755">
        <v>2</v>
      </c>
      <c r="Q755">
        <v>4</v>
      </c>
      <c r="R755" t="s">
        <v>62</v>
      </c>
      <c r="S755">
        <v>0</v>
      </c>
      <c r="T755" s="1">
        <v>13</v>
      </c>
      <c r="U755" t="s">
        <v>63</v>
      </c>
    </row>
    <row r="756" spans="1:21" x14ac:dyDescent="0.35">
      <c r="A756" t="s">
        <v>34</v>
      </c>
      <c r="B756">
        <v>17</v>
      </c>
      <c r="C756" t="s">
        <v>52</v>
      </c>
      <c r="D756" t="s">
        <v>36</v>
      </c>
      <c r="E756" t="s">
        <v>44</v>
      </c>
      <c r="F756" t="s">
        <v>38</v>
      </c>
      <c r="G756" t="s">
        <v>48</v>
      </c>
      <c r="H756">
        <v>3</v>
      </c>
      <c r="I756">
        <v>0</v>
      </c>
      <c r="J756" t="s">
        <v>43</v>
      </c>
      <c r="K756" t="s">
        <v>42</v>
      </c>
      <c r="L756" t="s">
        <v>43</v>
      </c>
      <c r="M756" t="s">
        <v>42</v>
      </c>
      <c r="N756" t="s">
        <v>43</v>
      </c>
      <c r="O756">
        <v>4</v>
      </c>
      <c r="P756">
        <v>3</v>
      </c>
      <c r="Q756">
        <v>4</v>
      </c>
      <c r="R756" t="s">
        <v>61</v>
      </c>
      <c r="S756">
        <v>0</v>
      </c>
      <c r="T756" s="1">
        <v>15.666666666666666</v>
      </c>
      <c r="U756" t="s">
        <v>63</v>
      </c>
    </row>
    <row r="757" spans="1:21" x14ac:dyDescent="0.35">
      <c r="A757" t="s">
        <v>34</v>
      </c>
      <c r="B757">
        <v>18</v>
      </c>
      <c r="C757" t="s">
        <v>35</v>
      </c>
      <c r="D757" t="s">
        <v>36</v>
      </c>
      <c r="E757" t="s">
        <v>44</v>
      </c>
      <c r="F757" t="s">
        <v>38</v>
      </c>
      <c r="G757" t="s">
        <v>45</v>
      </c>
      <c r="H757">
        <v>2</v>
      </c>
      <c r="I757">
        <v>0</v>
      </c>
      <c r="J757" t="s">
        <v>43</v>
      </c>
      <c r="K757" t="s">
        <v>42</v>
      </c>
      <c r="L757" t="s">
        <v>43</v>
      </c>
      <c r="M757" t="s">
        <v>43</v>
      </c>
      <c r="N757" t="s">
        <v>43</v>
      </c>
      <c r="O757">
        <v>4</v>
      </c>
      <c r="P757">
        <v>1</v>
      </c>
      <c r="Q757">
        <v>4</v>
      </c>
      <c r="R757" t="s">
        <v>62</v>
      </c>
      <c r="S757">
        <v>0</v>
      </c>
      <c r="T757" s="1">
        <v>12.333333333333334</v>
      </c>
      <c r="U757" t="s">
        <v>61</v>
      </c>
    </row>
    <row r="758" spans="1:21" x14ac:dyDescent="0.35">
      <c r="A758" t="s">
        <v>50</v>
      </c>
      <c r="B758">
        <v>19</v>
      </c>
      <c r="C758" t="s">
        <v>35</v>
      </c>
      <c r="D758" t="s">
        <v>36</v>
      </c>
      <c r="E758" t="s">
        <v>44</v>
      </c>
      <c r="F758" t="s">
        <v>28</v>
      </c>
      <c r="G758" t="s">
        <v>45</v>
      </c>
      <c r="H758">
        <v>2</v>
      </c>
      <c r="I758">
        <v>0</v>
      </c>
      <c r="J758" t="s">
        <v>43</v>
      </c>
      <c r="K758" t="s">
        <v>42</v>
      </c>
      <c r="L758" t="s">
        <v>43</v>
      </c>
      <c r="M758" t="s">
        <v>42</v>
      </c>
      <c r="N758" t="s">
        <v>42</v>
      </c>
      <c r="O758">
        <v>5</v>
      </c>
      <c r="P758">
        <v>4</v>
      </c>
      <c r="Q758">
        <v>4</v>
      </c>
      <c r="R758" t="s">
        <v>62</v>
      </c>
      <c r="S758">
        <v>1</v>
      </c>
      <c r="T758" s="1">
        <v>10.333333333333334</v>
      </c>
      <c r="U758" t="s">
        <v>61</v>
      </c>
    </row>
    <row r="759" spans="1:21" x14ac:dyDescent="0.35">
      <c r="A759" t="s">
        <v>34</v>
      </c>
      <c r="B759">
        <v>18</v>
      </c>
      <c r="C759" t="s">
        <v>35</v>
      </c>
      <c r="D759" t="s">
        <v>36</v>
      </c>
      <c r="E759" t="s">
        <v>44</v>
      </c>
      <c r="F759" t="s">
        <v>39</v>
      </c>
      <c r="G759" t="s">
        <v>45</v>
      </c>
      <c r="H759">
        <v>2</v>
      </c>
      <c r="I759">
        <v>0</v>
      </c>
      <c r="J759" t="s">
        <v>43</v>
      </c>
      <c r="K759" t="s">
        <v>42</v>
      </c>
      <c r="L759" t="s">
        <v>43</v>
      </c>
      <c r="M759" t="s">
        <v>43</v>
      </c>
      <c r="N759" t="s">
        <v>43</v>
      </c>
      <c r="O759">
        <v>4</v>
      </c>
      <c r="P759">
        <v>4</v>
      </c>
      <c r="Q759">
        <v>4</v>
      </c>
      <c r="R759" t="s">
        <v>61</v>
      </c>
      <c r="S759">
        <v>1</v>
      </c>
      <c r="T759" s="1">
        <v>12</v>
      </c>
      <c r="U759" t="s">
        <v>63</v>
      </c>
    </row>
    <row r="760" spans="1:21" x14ac:dyDescent="0.35">
      <c r="A760" t="s">
        <v>34</v>
      </c>
      <c r="B760">
        <v>18</v>
      </c>
      <c r="C760" t="s">
        <v>35</v>
      </c>
      <c r="D760" t="s">
        <v>36</v>
      </c>
      <c r="E760" t="s">
        <v>44</v>
      </c>
      <c r="F760" t="s">
        <v>45</v>
      </c>
      <c r="G760" t="s">
        <v>45</v>
      </c>
      <c r="H760">
        <v>1</v>
      </c>
      <c r="I760">
        <v>0</v>
      </c>
      <c r="J760" t="s">
        <v>43</v>
      </c>
      <c r="K760" t="s">
        <v>42</v>
      </c>
      <c r="L760" t="s">
        <v>43</v>
      </c>
      <c r="M760" t="s">
        <v>42</v>
      </c>
      <c r="N760" t="s">
        <v>42</v>
      </c>
      <c r="O760">
        <v>5</v>
      </c>
      <c r="P760">
        <v>4</v>
      </c>
      <c r="Q760">
        <v>4</v>
      </c>
      <c r="R760" t="s">
        <v>61</v>
      </c>
      <c r="S760">
        <v>0</v>
      </c>
      <c r="T760" s="1">
        <v>12.333333333333334</v>
      </c>
      <c r="U760" t="s">
        <v>61</v>
      </c>
    </row>
    <row r="761" spans="1:21" x14ac:dyDescent="0.35">
      <c r="A761" t="s">
        <v>34</v>
      </c>
      <c r="B761">
        <v>17</v>
      </c>
      <c r="C761" t="s">
        <v>35</v>
      </c>
      <c r="D761" t="s">
        <v>36</v>
      </c>
      <c r="E761" t="s">
        <v>44</v>
      </c>
      <c r="F761" t="s">
        <v>28</v>
      </c>
      <c r="G761" t="s">
        <v>28</v>
      </c>
      <c r="H761">
        <v>1</v>
      </c>
      <c r="I761">
        <v>0</v>
      </c>
      <c r="J761" t="s">
        <v>43</v>
      </c>
      <c r="K761" t="s">
        <v>43</v>
      </c>
      <c r="L761" t="s">
        <v>43</v>
      </c>
      <c r="M761" t="s">
        <v>42</v>
      </c>
      <c r="N761" t="s">
        <v>43</v>
      </c>
      <c r="O761">
        <v>5</v>
      </c>
      <c r="P761">
        <v>3</v>
      </c>
      <c r="Q761">
        <v>4</v>
      </c>
      <c r="R761" t="s">
        <v>61</v>
      </c>
      <c r="S761">
        <v>0</v>
      </c>
      <c r="T761" s="1">
        <v>15.333333333333334</v>
      </c>
      <c r="U761" t="s">
        <v>62</v>
      </c>
    </row>
    <row r="762" spans="1:21" x14ac:dyDescent="0.35">
      <c r="A762" t="s">
        <v>34</v>
      </c>
      <c r="B762">
        <v>17</v>
      </c>
      <c r="C762" t="s">
        <v>35</v>
      </c>
      <c r="D762" t="s">
        <v>36</v>
      </c>
      <c r="E762" t="s">
        <v>37</v>
      </c>
      <c r="F762" t="s">
        <v>48</v>
      </c>
      <c r="G762" t="s">
        <v>48</v>
      </c>
      <c r="H762">
        <v>2</v>
      </c>
      <c r="I762">
        <v>0</v>
      </c>
      <c r="J762" t="s">
        <v>43</v>
      </c>
      <c r="K762" t="s">
        <v>42</v>
      </c>
      <c r="L762" t="s">
        <v>43</v>
      </c>
      <c r="M762" t="s">
        <v>43</v>
      </c>
      <c r="N762" t="s">
        <v>42</v>
      </c>
      <c r="O762">
        <v>5</v>
      </c>
      <c r="P762">
        <v>2</v>
      </c>
      <c r="Q762">
        <v>2</v>
      </c>
      <c r="R762" t="s">
        <v>63</v>
      </c>
      <c r="S762">
        <v>1</v>
      </c>
      <c r="T762" s="1">
        <v>15.333333333333334</v>
      </c>
      <c r="U762" t="s">
        <v>62</v>
      </c>
    </row>
    <row r="763" spans="1:21" x14ac:dyDescent="0.35">
      <c r="A763" t="s">
        <v>34</v>
      </c>
      <c r="B763">
        <v>17</v>
      </c>
      <c r="C763" t="s">
        <v>35</v>
      </c>
      <c r="D763" t="s">
        <v>47</v>
      </c>
      <c r="E763" t="s">
        <v>37</v>
      </c>
      <c r="F763" t="s">
        <v>48</v>
      </c>
      <c r="G763" t="s">
        <v>45</v>
      </c>
      <c r="H763">
        <v>2</v>
      </c>
      <c r="I763">
        <v>0</v>
      </c>
      <c r="J763" t="s">
        <v>42</v>
      </c>
      <c r="K763" t="s">
        <v>42</v>
      </c>
      <c r="L763" t="s">
        <v>43</v>
      </c>
      <c r="M763" t="s">
        <v>43</v>
      </c>
      <c r="N763" t="s">
        <v>43</v>
      </c>
      <c r="O763">
        <v>5</v>
      </c>
      <c r="P763">
        <v>3</v>
      </c>
      <c r="Q763">
        <v>3</v>
      </c>
      <c r="R763" t="s">
        <v>61</v>
      </c>
      <c r="S763">
        <v>0</v>
      </c>
      <c r="T763" s="1">
        <v>12.333333333333334</v>
      </c>
      <c r="U763" t="s">
        <v>61</v>
      </c>
    </row>
    <row r="764" spans="1:21" x14ac:dyDescent="0.35">
      <c r="A764" t="s">
        <v>34</v>
      </c>
      <c r="B764">
        <v>17</v>
      </c>
      <c r="C764" t="s">
        <v>35</v>
      </c>
      <c r="D764" t="s">
        <v>47</v>
      </c>
      <c r="E764" t="s">
        <v>44</v>
      </c>
      <c r="F764" t="s">
        <v>45</v>
      </c>
      <c r="G764" t="s">
        <v>45</v>
      </c>
      <c r="H764">
        <v>2</v>
      </c>
      <c r="I764">
        <v>0</v>
      </c>
      <c r="J764" t="s">
        <v>43</v>
      </c>
      <c r="K764" t="s">
        <v>43</v>
      </c>
      <c r="L764" t="s">
        <v>43</v>
      </c>
      <c r="M764" t="s">
        <v>42</v>
      </c>
      <c r="N764" t="s">
        <v>43</v>
      </c>
      <c r="O764">
        <v>4</v>
      </c>
      <c r="P764">
        <v>2</v>
      </c>
      <c r="Q764">
        <v>3</v>
      </c>
      <c r="R764" t="s">
        <v>61</v>
      </c>
      <c r="S764">
        <v>0</v>
      </c>
      <c r="T764" s="1">
        <v>12.333333333333334</v>
      </c>
      <c r="U764" t="s">
        <v>62</v>
      </c>
    </row>
    <row r="765" spans="1:21" x14ac:dyDescent="0.35">
      <c r="A765" t="s">
        <v>50</v>
      </c>
      <c r="B765">
        <v>18</v>
      </c>
      <c r="C765" t="s">
        <v>35</v>
      </c>
      <c r="D765" t="s">
        <v>47</v>
      </c>
      <c r="E765" t="s">
        <v>44</v>
      </c>
      <c r="F765" t="s">
        <v>45</v>
      </c>
      <c r="G765" t="s">
        <v>45</v>
      </c>
      <c r="H765">
        <v>1</v>
      </c>
      <c r="I765">
        <v>0</v>
      </c>
      <c r="J765" t="s">
        <v>43</v>
      </c>
      <c r="K765" t="s">
        <v>42</v>
      </c>
      <c r="L765" t="s">
        <v>43</v>
      </c>
      <c r="M765" t="s">
        <v>43</v>
      </c>
      <c r="N765" t="s">
        <v>43</v>
      </c>
      <c r="O765">
        <v>4</v>
      </c>
      <c r="P765">
        <v>2</v>
      </c>
      <c r="Q765">
        <v>5</v>
      </c>
      <c r="R765" t="s">
        <v>61</v>
      </c>
      <c r="S765">
        <v>0</v>
      </c>
      <c r="T765" s="1">
        <v>9.3333333333333339</v>
      </c>
      <c r="U765" t="s">
        <v>63</v>
      </c>
    </row>
    <row r="766" spans="1:21" x14ac:dyDescent="0.35">
      <c r="A766" t="s">
        <v>34</v>
      </c>
      <c r="B766">
        <v>19</v>
      </c>
      <c r="C766" t="s">
        <v>35</v>
      </c>
      <c r="D766" t="s">
        <v>36</v>
      </c>
      <c r="E766" t="s">
        <v>44</v>
      </c>
      <c r="F766" t="s">
        <v>45</v>
      </c>
      <c r="G766" t="s">
        <v>45</v>
      </c>
      <c r="H766">
        <v>3</v>
      </c>
      <c r="I766">
        <v>0</v>
      </c>
      <c r="J766" t="s">
        <v>43</v>
      </c>
      <c r="K766" t="s">
        <v>43</v>
      </c>
      <c r="L766" t="s">
        <v>43</v>
      </c>
      <c r="M766" t="s">
        <v>42</v>
      </c>
      <c r="N766" t="s">
        <v>42</v>
      </c>
      <c r="O766">
        <v>1</v>
      </c>
      <c r="P766">
        <v>5</v>
      </c>
      <c r="Q766">
        <v>5</v>
      </c>
      <c r="R766" t="s">
        <v>63</v>
      </c>
      <c r="S766">
        <v>0</v>
      </c>
      <c r="T766" s="1">
        <v>10.333333333333334</v>
      </c>
      <c r="U766" t="s">
        <v>63</v>
      </c>
    </row>
    <row r="767" spans="1:21" x14ac:dyDescent="0.35">
      <c r="A767" t="s">
        <v>34</v>
      </c>
      <c r="B767">
        <v>19</v>
      </c>
      <c r="C767" t="s">
        <v>35</v>
      </c>
      <c r="D767" t="s">
        <v>47</v>
      </c>
      <c r="E767" t="s">
        <v>37</v>
      </c>
      <c r="F767" t="s">
        <v>45</v>
      </c>
      <c r="G767" t="s">
        <v>45</v>
      </c>
      <c r="H767">
        <v>2</v>
      </c>
      <c r="I767">
        <v>2</v>
      </c>
      <c r="J767" t="s">
        <v>43</v>
      </c>
      <c r="K767" t="s">
        <v>42</v>
      </c>
      <c r="L767" t="s">
        <v>43</v>
      </c>
      <c r="M767" t="s">
        <v>43</v>
      </c>
      <c r="N767" t="s">
        <v>42</v>
      </c>
      <c r="O767">
        <v>5</v>
      </c>
      <c r="P767">
        <v>3</v>
      </c>
      <c r="Q767">
        <v>4</v>
      </c>
      <c r="R767" t="s">
        <v>61</v>
      </c>
      <c r="S767">
        <v>0</v>
      </c>
      <c r="T767" s="1">
        <v>8.3333333333333339</v>
      </c>
      <c r="U767" t="s">
        <v>61</v>
      </c>
    </row>
    <row r="768" spans="1:21" x14ac:dyDescent="0.35">
      <c r="A768" t="s">
        <v>34</v>
      </c>
      <c r="B768">
        <v>18</v>
      </c>
      <c r="C768" t="s">
        <v>35</v>
      </c>
      <c r="D768" t="s">
        <v>36</v>
      </c>
      <c r="E768" t="s">
        <v>44</v>
      </c>
      <c r="F768" t="s">
        <v>45</v>
      </c>
      <c r="G768" t="s">
        <v>45</v>
      </c>
      <c r="H768">
        <v>1</v>
      </c>
      <c r="I768">
        <v>0</v>
      </c>
      <c r="J768" t="s">
        <v>43</v>
      </c>
      <c r="K768" t="s">
        <v>42</v>
      </c>
      <c r="L768" t="s">
        <v>43</v>
      </c>
      <c r="M768" t="s">
        <v>42</v>
      </c>
      <c r="N768" t="s">
        <v>42</v>
      </c>
      <c r="O768">
        <v>4</v>
      </c>
      <c r="P768">
        <v>3</v>
      </c>
      <c r="Q768">
        <v>5</v>
      </c>
      <c r="R768" t="s">
        <v>61</v>
      </c>
      <c r="S768">
        <v>0</v>
      </c>
      <c r="T768" s="1">
        <v>10</v>
      </c>
      <c r="U768" t="s">
        <v>63</v>
      </c>
    </row>
    <row r="769" spans="1:21" x14ac:dyDescent="0.35">
      <c r="A769" t="s">
        <v>34</v>
      </c>
      <c r="B769">
        <v>17</v>
      </c>
      <c r="C769" t="s">
        <v>35</v>
      </c>
      <c r="D769" t="s">
        <v>36</v>
      </c>
      <c r="E769" t="s">
        <v>44</v>
      </c>
      <c r="F769" t="s">
        <v>45</v>
      </c>
      <c r="G769" t="s">
        <v>45</v>
      </c>
      <c r="H769">
        <v>2</v>
      </c>
      <c r="I769">
        <v>0</v>
      </c>
      <c r="J769" t="s">
        <v>43</v>
      </c>
      <c r="K769" t="s">
        <v>42</v>
      </c>
      <c r="L769" t="s">
        <v>43</v>
      </c>
      <c r="M769" t="s">
        <v>43</v>
      </c>
      <c r="N769" t="s">
        <v>42</v>
      </c>
      <c r="O769">
        <v>4</v>
      </c>
      <c r="P769">
        <v>2</v>
      </c>
      <c r="Q769">
        <v>2</v>
      </c>
      <c r="R769" t="s">
        <v>61</v>
      </c>
      <c r="S769">
        <v>1</v>
      </c>
      <c r="T769" s="1">
        <v>13.333333333333334</v>
      </c>
      <c r="U769" t="s">
        <v>61</v>
      </c>
    </row>
    <row r="770" spans="1:21" x14ac:dyDescent="0.35">
      <c r="A770" t="s">
        <v>34</v>
      </c>
      <c r="B770">
        <v>17</v>
      </c>
      <c r="C770" t="s">
        <v>52</v>
      </c>
      <c r="D770" t="s">
        <v>47</v>
      </c>
      <c r="E770" t="s">
        <v>44</v>
      </c>
      <c r="F770" t="s">
        <v>48</v>
      </c>
      <c r="G770" t="s">
        <v>48</v>
      </c>
      <c r="H770">
        <v>3</v>
      </c>
      <c r="I770">
        <v>0</v>
      </c>
      <c r="J770" t="s">
        <v>43</v>
      </c>
      <c r="K770" t="s">
        <v>42</v>
      </c>
      <c r="L770" t="s">
        <v>43</v>
      </c>
      <c r="M770" t="s">
        <v>42</v>
      </c>
      <c r="N770" t="s">
        <v>43</v>
      </c>
      <c r="O770">
        <v>3</v>
      </c>
      <c r="P770">
        <v>3</v>
      </c>
      <c r="Q770">
        <v>2</v>
      </c>
      <c r="R770" t="s">
        <v>61</v>
      </c>
      <c r="S770">
        <v>1</v>
      </c>
      <c r="T770" s="1">
        <v>10.666666666666666</v>
      </c>
      <c r="U770" t="s">
        <v>62</v>
      </c>
    </row>
    <row r="771" spans="1:21" x14ac:dyDescent="0.35">
      <c r="A771" t="s">
        <v>34</v>
      </c>
      <c r="B771">
        <v>17</v>
      </c>
      <c r="C771" t="s">
        <v>35</v>
      </c>
      <c r="D771" t="s">
        <v>36</v>
      </c>
      <c r="E771" t="s">
        <v>44</v>
      </c>
      <c r="F771" t="s">
        <v>48</v>
      </c>
      <c r="G771" t="s">
        <v>48</v>
      </c>
      <c r="H771">
        <v>3</v>
      </c>
      <c r="I771">
        <v>0</v>
      </c>
      <c r="J771" t="s">
        <v>43</v>
      </c>
      <c r="K771" t="s">
        <v>42</v>
      </c>
      <c r="L771" t="s">
        <v>43</v>
      </c>
      <c r="M771" t="s">
        <v>43</v>
      </c>
      <c r="N771" t="s">
        <v>43</v>
      </c>
      <c r="O771">
        <v>3</v>
      </c>
      <c r="P771">
        <v>4</v>
      </c>
      <c r="Q771">
        <v>3</v>
      </c>
      <c r="R771" t="s">
        <v>61</v>
      </c>
      <c r="S771">
        <v>1</v>
      </c>
      <c r="T771" s="1">
        <v>17.333333333333332</v>
      </c>
      <c r="U771" t="s">
        <v>63</v>
      </c>
    </row>
    <row r="772" spans="1:21" x14ac:dyDescent="0.35">
      <c r="A772" t="s">
        <v>34</v>
      </c>
      <c r="B772">
        <v>17</v>
      </c>
      <c r="C772" t="s">
        <v>35</v>
      </c>
      <c r="D772" t="s">
        <v>47</v>
      </c>
      <c r="E772" t="s">
        <v>44</v>
      </c>
      <c r="F772" t="s">
        <v>38</v>
      </c>
      <c r="G772" t="s">
        <v>38</v>
      </c>
      <c r="H772">
        <v>3</v>
      </c>
      <c r="I772">
        <v>0</v>
      </c>
      <c r="J772" t="s">
        <v>43</v>
      </c>
      <c r="K772" t="s">
        <v>43</v>
      </c>
      <c r="L772" t="s">
        <v>43</v>
      </c>
      <c r="M772" t="s">
        <v>43</v>
      </c>
      <c r="N772" t="s">
        <v>43</v>
      </c>
      <c r="O772">
        <v>3</v>
      </c>
      <c r="P772">
        <v>3</v>
      </c>
      <c r="Q772">
        <v>3</v>
      </c>
      <c r="R772" t="s">
        <v>61</v>
      </c>
      <c r="S772">
        <v>0</v>
      </c>
      <c r="T772" s="1">
        <v>14.333333333333334</v>
      </c>
      <c r="U772" t="s">
        <v>63</v>
      </c>
    </row>
    <row r="773" spans="1:21" x14ac:dyDescent="0.35">
      <c r="A773" t="s">
        <v>34</v>
      </c>
      <c r="B773">
        <v>18</v>
      </c>
      <c r="C773" t="s">
        <v>35</v>
      </c>
      <c r="D773" t="s">
        <v>36</v>
      </c>
      <c r="E773" t="s">
        <v>44</v>
      </c>
      <c r="F773" t="s">
        <v>45</v>
      </c>
      <c r="G773" t="s">
        <v>45</v>
      </c>
      <c r="H773">
        <v>3</v>
      </c>
      <c r="I773">
        <v>0</v>
      </c>
      <c r="J773" t="s">
        <v>43</v>
      </c>
      <c r="K773" t="s">
        <v>43</v>
      </c>
      <c r="L773" t="s">
        <v>43</v>
      </c>
      <c r="M773" t="s">
        <v>42</v>
      </c>
      <c r="N773" t="s">
        <v>43</v>
      </c>
      <c r="O773">
        <v>4</v>
      </c>
      <c r="P773">
        <v>5</v>
      </c>
      <c r="Q773">
        <v>5</v>
      </c>
      <c r="R773" t="s">
        <v>61</v>
      </c>
      <c r="S773">
        <v>0</v>
      </c>
      <c r="T773" s="1">
        <v>14</v>
      </c>
      <c r="U773" t="s">
        <v>62</v>
      </c>
    </row>
    <row r="774" spans="1:21" x14ac:dyDescent="0.35">
      <c r="A774" t="s">
        <v>50</v>
      </c>
      <c r="B774">
        <v>18</v>
      </c>
      <c r="C774" t="s">
        <v>35</v>
      </c>
      <c r="D774" t="s">
        <v>36</v>
      </c>
      <c r="E774" t="s">
        <v>44</v>
      </c>
      <c r="F774" t="s">
        <v>45</v>
      </c>
      <c r="G774" t="s">
        <v>45</v>
      </c>
      <c r="H774">
        <v>3</v>
      </c>
      <c r="I774">
        <v>0</v>
      </c>
      <c r="J774" t="s">
        <v>43</v>
      </c>
      <c r="K774" t="s">
        <v>43</v>
      </c>
      <c r="L774" t="s">
        <v>43</v>
      </c>
      <c r="M774" t="s">
        <v>42</v>
      </c>
      <c r="N774" t="s">
        <v>43</v>
      </c>
      <c r="O774">
        <v>4</v>
      </c>
      <c r="P774">
        <v>3</v>
      </c>
      <c r="Q774">
        <v>3</v>
      </c>
      <c r="R774" t="s">
        <v>61</v>
      </c>
      <c r="S774">
        <v>1</v>
      </c>
      <c r="T774" s="1">
        <v>13.333333333333334</v>
      </c>
      <c r="U774" t="s">
        <v>62</v>
      </c>
    </row>
    <row r="775" spans="1:21" x14ac:dyDescent="0.35">
      <c r="A775" t="s">
        <v>50</v>
      </c>
      <c r="B775">
        <v>17</v>
      </c>
      <c r="C775" t="s">
        <v>35</v>
      </c>
      <c r="D775" t="s">
        <v>36</v>
      </c>
      <c r="E775" t="s">
        <v>44</v>
      </c>
      <c r="F775" t="s">
        <v>45</v>
      </c>
      <c r="G775" t="s">
        <v>48</v>
      </c>
      <c r="H775">
        <v>1</v>
      </c>
      <c r="I775">
        <v>0</v>
      </c>
      <c r="J775" t="s">
        <v>43</v>
      </c>
      <c r="K775" t="s">
        <v>43</v>
      </c>
      <c r="L775" t="s">
        <v>43</v>
      </c>
      <c r="M775" t="s">
        <v>42</v>
      </c>
      <c r="N775" t="s">
        <v>43</v>
      </c>
      <c r="O775">
        <v>4</v>
      </c>
      <c r="P775">
        <v>3</v>
      </c>
      <c r="Q775">
        <v>5</v>
      </c>
      <c r="R775" t="s">
        <v>61</v>
      </c>
      <c r="S775">
        <v>1</v>
      </c>
      <c r="T775" s="1">
        <v>17.333333333333332</v>
      </c>
      <c r="U775" t="s">
        <v>63</v>
      </c>
    </row>
    <row r="776" spans="1:21" x14ac:dyDescent="0.35">
      <c r="A776" t="s">
        <v>50</v>
      </c>
      <c r="B776">
        <v>17</v>
      </c>
      <c r="C776" t="s">
        <v>52</v>
      </c>
      <c r="D776" t="s">
        <v>36</v>
      </c>
      <c r="E776" t="s">
        <v>44</v>
      </c>
      <c r="F776" t="s">
        <v>48</v>
      </c>
      <c r="G776" t="s">
        <v>45</v>
      </c>
      <c r="H776">
        <v>1</v>
      </c>
      <c r="I776">
        <v>0</v>
      </c>
      <c r="J776" t="s">
        <v>43</v>
      </c>
      <c r="K776" t="s">
        <v>42</v>
      </c>
      <c r="L776" t="s">
        <v>43</v>
      </c>
      <c r="M776" t="s">
        <v>43</v>
      </c>
      <c r="N776" t="s">
        <v>43</v>
      </c>
      <c r="O776">
        <v>4</v>
      </c>
      <c r="P776">
        <v>4</v>
      </c>
      <c r="Q776">
        <v>5</v>
      </c>
      <c r="R776" t="s">
        <v>61</v>
      </c>
      <c r="S776">
        <v>1</v>
      </c>
      <c r="T776" s="1">
        <v>10.333333333333334</v>
      </c>
      <c r="U776" t="s">
        <v>63</v>
      </c>
    </row>
    <row r="777" spans="1:21" x14ac:dyDescent="0.35">
      <c r="A777" t="s">
        <v>34</v>
      </c>
      <c r="B777">
        <v>17</v>
      </c>
      <c r="C777" t="s">
        <v>35</v>
      </c>
      <c r="D777" t="s">
        <v>36</v>
      </c>
      <c r="E777" t="s">
        <v>44</v>
      </c>
      <c r="F777" t="s">
        <v>39</v>
      </c>
      <c r="G777" t="s">
        <v>48</v>
      </c>
      <c r="H777">
        <v>3</v>
      </c>
      <c r="I777">
        <v>0</v>
      </c>
      <c r="J777" t="s">
        <v>43</v>
      </c>
      <c r="K777" t="s">
        <v>42</v>
      </c>
      <c r="L777" t="s">
        <v>43</v>
      </c>
      <c r="M777" t="s">
        <v>42</v>
      </c>
      <c r="N777" t="s">
        <v>43</v>
      </c>
      <c r="O777">
        <v>5</v>
      </c>
      <c r="P777">
        <v>4</v>
      </c>
      <c r="Q777">
        <v>4</v>
      </c>
      <c r="R777" t="s">
        <v>61</v>
      </c>
      <c r="S777">
        <v>1</v>
      </c>
      <c r="T777" s="1">
        <v>12.666666666666666</v>
      </c>
      <c r="U777" t="s">
        <v>62</v>
      </c>
    </row>
    <row r="778" spans="1:21" x14ac:dyDescent="0.35">
      <c r="A778" t="s">
        <v>34</v>
      </c>
      <c r="B778">
        <v>17</v>
      </c>
      <c r="C778" t="s">
        <v>35</v>
      </c>
      <c r="D778" t="s">
        <v>36</v>
      </c>
      <c r="E778" t="s">
        <v>44</v>
      </c>
      <c r="F778" t="s">
        <v>39</v>
      </c>
      <c r="G778" t="s">
        <v>39</v>
      </c>
      <c r="H778">
        <v>3</v>
      </c>
      <c r="I778">
        <v>0</v>
      </c>
      <c r="J778" t="s">
        <v>43</v>
      </c>
      <c r="K778" t="s">
        <v>42</v>
      </c>
      <c r="L778" t="s">
        <v>43</v>
      </c>
      <c r="M778" t="s">
        <v>43</v>
      </c>
      <c r="N778" t="s">
        <v>42</v>
      </c>
      <c r="O778">
        <v>4</v>
      </c>
      <c r="P778">
        <v>3</v>
      </c>
      <c r="Q778">
        <v>3</v>
      </c>
      <c r="R778" t="s">
        <v>61</v>
      </c>
      <c r="S778">
        <v>1</v>
      </c>
      <c r="T778" s="1">
        <v>14.666666666666666</v>
      </c>
      <c r="U778" t="s">
        <v>62</v>
      </c>
    </row>
    <row r="779" spans="1:21" x14ac:dyDescent="0.35">
      <c r="A779" t="s">
        <v>34</v>
      </c>
      <c r="B779">
        <v>17</v>
      </c>
      <c r="C779" t="s">
        <v>35</v>
      </c>
      <c r="D779" t="s">
        <v>36</v>
      </c>
      <c r="E779" t="s">
        <v>44</v>
      </c>
      <c r="F779" t="s">
        <v>38</v>
      </c>
      <c r="G779" t="s">
        <v>45</v>
      </c>
      <c r="H779">
        <v>1</v>
      </c>
      <c r="I779">
        <v>0</v>
      </c>
      <c r="J779" t="s">
        <v>43</v>
      </c>
      <c r="K779" t="s">
        <v>42</v>
      </c>
      <c r="L779" t="s">
        <v>42</v>
      </c>
      <c r="M779" t="s">
        <v>42</v>
      </c>
      <c r="N779" t="s">
        <v>43</v>
      </c>
      <c r="O779">
        <v>4</v>
      </c>
      <c r="P779">
        <v>2</v>
      </c>
      <c r="Q779">
        <v>5</v>
      </c>
      <c r="R779" t="s">
        <v>61</v>
      </c>
      <c r="S779">
        <v>1</v>
      </c>
      <c r="T779" s="1">
        <v>11.333333333333334</v>
      </c>
      <c r="U779" t="s">
        <v>63</v>
      </c>
    </row>
    <row r="780" spans="1:21" x14ac:dyDescent="0.35">
      <c r="A780" t="s">
        <v>50</v>
      </c>
      <c r="B780">
        <v>18</v>
      </c>
      <c r="C780" t="s">
        <v>35</v>
      </c>
      <c r="D780" t="s">
        <v>47</v>
      </c>
      <c r="E780" t="s">
        <v>44</v>
      </c>
      <c r="F780" t="s">
        <v>45</v>
      </c>
      <c r="G780" t="s">
        <v>45</v>
      </c>
      <c r="H780">
        <v>4</v>
      </c>
      <c r="I780">
        <v>0</v>
      </c>
      <c r="J780" t="s">
        <v>43</v>
      </c>
      <c r="K780" t="s">
        <v>42</v>
      </c>
      <c r="L780" t="s">
        <v>42</v>
      </c>
      <c r="M780" t="s">
        <v>42</v>
      </c>
      <c r="N780" t="s">
        <v>43</v>
      </c>
      <c r="O780">
        <v>4</v>
      </c>
      <c r="P780">
        <v>5</v>
      </c>
      <c r="Q780">
        <v>5</v>
      </c>
      <c r="R780" t="s">
        <v>61</v>
      </c>
      <c r="S780">
        <v>0</v>
      </c>
      <c r="T780" s="1">
        <v>11.333333333333334</v>
      </c>
      <c r="U780" t="s">
        <v>63</v>
      </c>
    </row>
    <row r="781" spans="1:21" x14ac:dyDescent="0.35">
      <c r="A781" t="s">
        <v>50</v>
      </c>
      <c r="B781">
        <v>19</v>
      </c>
      <c r="C781" t="s">
        <v>52</v>
      </c>
      <c r="D781" t="s">
        <v>36</v>
      </c>
      <c r="E781" t="s">
        <v>44</v>
      </c>
      <c r="F781" t="s">
        <v>38</v>
      </c>
      <c r="G781" t="s">
        <v>48</v>
      </c>
      <c r="H781">
        <v>1</v>
      </c>
      <c r="I781">
        <v>0</v>
      </c>
      <c r="J781" t="s">
        <v>43</v>
      </c>
      <c r="K781" t="s">
        <v>42</v>
      </c>
      <c r="L781" t="s">
        <v>43</v>
      </c>
      <c r="M781" t="s">
        <v>43</v>
      </c>
      <c r="N781" t="s">
        <v>42</v>
      </c>
      <c r="O781">
        <v>5</v>
      </c>
      <c r="P781">
        <v>3</v>
      </c>
      <c r="Q781">
        <v>4</v>
      </c>
      <c r="R781" t="s">
        <v>61</v>
      </c>
      <c r="S781">
        <v>1</v>
      </c>
      <c r="T781" s="1">
        <v>10.333333333333334</v>
      </c>
      <c r="U781" t="s">
        <v>62</v>
      </c>
    </row>
    <row r="782" spans="1:21" x14ac:dyDescent="0.35">
      <c r="A782" t="s">
        <v>34</v>
      </c>
      <c r="B782">
        <v>18</v>
      </c>
      <c r="C782" t="s">
        <v>35</v>
      </c>
      <c r="D782" t="s">
        <v>36</v>
      </c>
      <c r="E782" t="s">
        <v>44</v>
      </c>
      <c r="F782" t="s">
        <v>38</v>
      </c>
      <c r="G782" t="s">
        <v>45</v>
      </c>
      <c r="H782">
        <v>2</v>
      </c>
      <c r="I782">
        <v>0</v>
      </c>
      <c r="J782" t="s">
        <v>43</v>
      </c>
      <c r="K782" t="s">
        <v>43</v>
      </c>
      <c r="L782" t="s">
        <v>43</v>
      </c>
      <c r="M782" t="s">
        <v>42</v>
      </c>
      <c r="N782" t="s">
        <v>42</v>
      </c>
      <c r="O782">
        <v>4</v>
      </c>
      <c r="P782">
        <v>2</v>
      </c>
      <c r="Q782">
        <v>5</v>
      </c>
      <c r="R782" t="s">
        <v>61</v>
      </c>
      <c r="S782">
        <v>1</v>
      </c>
      <c r="T782" s="1">
        <v>9.6666666666666661</v>
      </c>
      <c r="U782" t="s">
        <v>61</v>
      </c>
    </row>
    <row r="783" spans="1:21" x14ac:dyDescent="0.35">
      <c r="A783" t="s">
        <v>34</v>
      </c>
      <c r="B783">
        <v>17</v>
      </c>
      <c r="C783" t="s">
        <v>52</v>
      </c>
      <c r="D783" t="s">
        <v>36</v>
      </c>
      <c r="E783" t="s">
        <v>44</v>
      </c>
      <c r="F783" t="s">
        <v>38</v>
      </c>
      <c r="G783" t="s">
        <v>45</v>
      </c>
      <c r="H783">
        <v>3</v>
      </c>
      <c r="I783">
        <v>0</v>
      </c>
      <c r="J783" t="s">
        <v>43</v>
      </c>
      <c r="K783" t="s">
        <v>42</v>
      </c>
      <c r="L783" t="s">
        <v>43</v>
      </c>
      <c r="M783" t="s">
        <v>43</v>
      </c>
      <c r="N783" t="s">
        <v>42</v>
      </c>
      <c r="O783">
        <v>4</v>
      </c>
      <c r="P783">
        <v>4</v>
      </c>
      <c r="Q783">
        <v>3</v>
      </c>
      <c r="R783" t="s">
        <v>61</v>
      </c>
      <c r="S783">
        <v>0</v>
      </c>
      <c r="T783" s="1">
        <v>15</v>
      </c>
      <c r="U783" t="s">
        <v>61</v>
      </c>
    </row>
    <row r="784" spans="1:21" x14ac:dyDescent="0.35">
      <c r="A784" t="s">
        <v>50</v>
      </c>
      <c r="B784">
        <v>18</v>
      </c>
      <c r="C784" t="s">
        <v>35</v>
      </c>
      <c r="D784" t="s">
        <v>36</v>
      </c>
      <c r="E784" t="s">
        <v>44</v>
      </c>
      <c r="F784" t="s">
        <v>45</v>
      </c>
      <c r="G784" t="s">
        <v>45</v>
      </c>
      <c r="H784">
        <v>1</v>
      </c>
      <c r="I784">
        <v>0</v>
      </c>
      <c r="J784" t="s">
        <v>43</v>
      </c>
      <c r="K784" t="s">
        <v>43</v>
      </c>
      <c r="L784" t="s">
        <v>43</v>
      </c>
      <c r="M784" t="s">
        <v>43</v>
      </c>
      <c r="N784" t="s">
        <v>43</v>
      </c>
      <c r="O784">
        <v>5</v>
      </c>
      <c r="P784">
        <v>4</v>
      </c>
      <c r="Q784">
        <v>2</v>
      </c>
      <c r="R784" t="s">
        <v>62</v>
      </c>
      <c r="S784">
        <v>1</v>
      </c>
      <c r="T784" s="1">
        <v>14.666666666666666</v>
      </c>
      <c r="U784" t="s">
        <v>62</v>
      </c>
    </row>
    <row r="785" spans="1:21" x14ac:dyDescent="0.35">
      <c r="A785" t="s">
        <v>34</v>
      </c>
      <c r="B785">
        <v>18</v>
      </c>
      <c r="C785" t="s">
        <v>35</v>
      </c>
      <c r="D785" t="s">
        <v>36</v>
      </c>
      <c r="E785" t="s">
        <v>44</v>
      </c>
      <c r="F785" t="s">
        <v>48</v>
      </c>
      <c r="G785" t="s">
        <v>48</v>
      </c>
      <c r="H785">
        <v>2</v>
      </c>
      <c r="I785">
        <v>0</v>
      </c>
      <c r="J785" t="s">
        <v>43</v>
      </c>
      <c r="K785" t="s">
        <v>43</v>
      </c>
      <c r="L785" t="s">
        <v>43</v>
      </c>
      <c r="M785" t="s">
        <v>42</v>
      </c>
      <c r="N785" t="s">
        <v>43</v>
      </c>
      <c r="O785">
        <v>5</v>
      </c>
      <c r="P785">
        <v>3</v>
      </c>
      <c r="Q785">
        <v>4</v>
      </c>
      <c r="R785" t="s">
        <v>62</v>
      </c>
      <c r="S785">
        <v>0</v>
      </c>
      <c r="T785" s="1">
        <v>11</v>
      </c>
      <c r="U785" t="s">
        <v>61</v>
      </c>
    </row>
    <row r="786" spans="1:21" x14ac:dyDescent="0.35">
      <c r="A786" t="s">
        <v>34</v>
      </c>
      <c r="B786">
        <v>18</v>
      </c>
      <c r="C786" t="s">
        <v>35</v>
      </c>
      <c r="D786" t="s">
        <v>47</v>
      </c>
      <c r="E786" t="s">
        <v>44</v>
      </c>
      <c r="F786" t="s">
        <v>45</v>
      </c>
      <c r="G786" t="s">
        <v>45</v>
      </c>
      <c r="H786">
        <v>2</v>
      </c>
      <c r="I786">
        <v>0</v>
      </c>
      <c r="J786" t="s">
        <v>43</v>
      </c>
      <c r="K786" t="s">
        <v>43</v>
      </c>
      <c r="L786" t="s">
        <v>43</v>
      </c>
      <c r="M786" t="s">
        <v>42</v>
      </c>
      <c r="N786" t="s">
        <v>42</v>
      </c>
      <c r="O786">
        <v>4</v>
      </c>
      <c r="P786">
        <v>3</v>
      </c>
      <c r="Q786">
        <v>3</v>
      </c>
      <c r="R786" t="s">
        <v>61</v>
      </c>
      <c r="S786">
        <v>1</v>
      </c>
      <c r="T786" s="1">
        <v>10.333333333333334</v>
      </c>
      <c r="U786" t="s">
        <v>61</v>
      </c>
    </row>
    <row r="787" spans="1:21" x14ac:dyDescent="0.35">
      <c r="A787" t="s">
        <v>34</v>
      </c>
      <c r="B787">
        <v>18</v>
      </c>
      <c r="C787" t="s">
        <v>52</v>
      </c>
      <c r="D787" t="s">
        <v>36</v>
      </c>
      <c r="E787" t="s">
        <v>44</v>
      </c>
      <c r="F787" t="s">
        <v>38</v>
      </c>
      <c r="G787" t="s">
        <v>45</v>
      </c>
      <c r="H787">
        <v>4</v>
      </c>
      <c r="I787">
        <v>0</v>
      </c>
      <c r="J787" t="s">
        <v>43</v>
      </c>
      <c r="K787" t="s">
        <v>43</v>
      </c>
      <c r="L787" t="s">
        <v>43</v>
      </c>
      <c r="M787" t="s">
        <v>42</v>
      </c>
      <c r="N787" t="s">
        <v>43</v>
      </c>
      <c r="O787">
        <v>4</v>
      </c>
      <c r="P787">
        <v>4</v>
      </c>
      <c r="Q787">
        <v>4</v>
      </c>
      <c r="R787" t="s">
        <v>62</v>
      </c>
      <c r="S787">
        <v>1</v>
      </c>
      <c r="T787" s="1">
        <v>13.666666666666666</v>
      </c>
      <c r="U787" t="s">
        <v>61</v>
      </c>
    </row>
    <row r="788" spans="1:21" x14ac:dyDescent="0.35">
      <c r="A788" t="s">
        <v>34</v>
      </c>
      <c r="B788">
        <v>17</v>
      </c>
      <c r="C788" t="s">
        <v>35</v>
      </c>
      <c r="D788" t="s">
        <v>36</v>
      </c>
      <c r="E788" t="s">
        <v>44</v>
      </c>
      <c r="F788" t="s">
        <v>48</v>
      </c>
      <c r="G788" t="s">
        <v>45</v>
      </c>
      <c r="H788">
        <v>3</v>
      </c>
      <c r="I788">
        <v>0</v>
      </c>
      <c r="J788" t="s">
        <v>43</v>
      </c>
      <c r="K788" t="s">
        <v>43</v>
      </c>
      <c r="L788" t="s">
        <v>43</v>
      </c>
      <c r="M788" t="s">
        <v>43</v>
      </c>
      <c r="N788" t="s">
        <v>43</v>
      </c>
      <c r="O788">
        <v>4</v>
      </c>
      <c r="P788">
        <v>4</v>
      </c>
      <c r="Q788">
        <v>5</v>
      </c>
      <c r="R788" t="s">
        <v>62</v>
      </c>
      <c r="S788">
        <v>0</v>
      </c>
      <c r="T788" s="1">
        <v>12.666666666666666</v>
      </c>
      <c r="U788" t="s">
        <v>62</v>
      </c>
    </row>
    <row r="789" spans="1:21" x14ac:dyDescent="0.35">
      <c r="A789" t="s">
        <v>34</v>
      </c>
      <c r="B789">
        <v>17</v>
      </c>
      <c r="C789" t="s">
        <v>35</v>
      </c>
      <c r="D789" t="s">
        <v>36</v>
      </c>
      <c r="E789" t="s">
        <v>44</v>
      </c>
      <c r="F789" t="s">
        <v>45</v>
      </c>
      <c r="G789" t="s">
        <v>45</v>
      </c>
      <c r="H789">
        <v>2</v>
      </c>
      <c r="I789">
        <v>0</v>
      </c>
      <c r="J789" t="s">
        <v>43</v>
      </c>
      <c r="K789" t="s">
        <v>42</v>
      </c>
      <c r="L789" t="s">
        <v>43</v>
      </c>
      <c r="M789" t="s">
        <v>43</v>
      </c>
      <c r="N789" t="s">
        <v>42</v>
      </c>
      <c r="O789">
        <v>4</v>
      </c>
      <c r="P789">
        <v>3</v>
      </c>
      <c r="Q789">
        <v>2</v>
      </c>
      <c r="R789" t="s">
        <v>61</v>
      </c>
      <c r="S789">
        <v>0</v>
      </c>
      <c r="T789" s="1">
        <v>13.333333333333334</v>
      </c>
      <c r="U789" t="s">
        <v>63</v>
      </c>
    </row>
    <row r="790" spans="1:21" x14ac:dyDescent="0.35">
      <c r="A790" t="s">
        <v>34</v>
      </c>
      <c r="B790">
        <v>18</v>
      </c>
      <c r="C790" t="s">
        <v>35</v>
      </c>
      <c r="D790" t="s">
        <v>47</v>
      </c>
      <c r="E790" t="s">
        <v>44</v>
      </c>
      <c r="F790" t="s">
        <v>48</v>
      </c>
      <c r="G790" t="s">
        <v>48</v>
      </c>
      <c r="H790">
        <v>4</v>
      </c>
      <c r="I790">
        <v>0</v>
      </c>
      <c r="J790" t="s">
        <v>43</v>
      </c>
      <c r="K790" t="s">
        <v>42</v>
      </c>
      <c r="L790" t="s">
        <v>43</v>
      </c>
      <c r="M790" t="s">
        <v>43</v>
      </c>
      <c r="N790" t="s">
        <v>43</v>
      </c>
      <c r="O790">
        <v>5</v>
      </c>
      <c r="P790">
        <v>3</v>
      </c>
      <c r="Q790">
        <v>3</v>
      </c>
      <c r="R790" t="s">
        <v>61</v>
      </c>
      <c r="S790">
        <v>0</v>
      </c>
      <c r="T790" s="1">
        <v>14.333333333333334</v>
      </c>
      <c r="U790" t="s">
        <v>61</v>
      </c>
    </row>
    <row r="791" spans="1:21" x14ac:dyDescent="0.35">
      <c r="A791" t="s">
        <v>34</v>
      </c>
      <c r="B791">
        <v>17</v>
      </c>
      <c r="C791" t="s">
        <v>52</v>
      </c>
      <c r="D791" t="s">
        <v>36</v>
      </c>
      <c r="E791" t="s">
        <v>37</v>
      </c>
      <c r="F791" t="s">
        <v>45</v>
      </c>
      <c r="G791" t="s">
        <v>45</v>
      </c>
      <c r="H791">
        <v>2</v>
      </c>
      <c r="I791">
        <v>0</v>
      </c>
      <c r="J791" t="s">
        <v>43</v>
      </c>
      <c r="K791" t="s">
        <v>42</v>
      </c>
      <c r="L791" t="s">
        <v>43</v>
      </c>
      <c r="M791" t="s">
        <v>43</v>
      </c>
      <c r="N791" t="s">
        <v>43</v>
      </c>
      <c r="O791">
        <v>4</v>
      </c>
      <c r="P791">
        <v>3</v>
      </c>
      <c r="Q791">
        <v>3</v>
      </c>
      <c r="R791" t="s">
        <v>61</v>
      </c>
      <c r="S791">
        <v>0</v>
      </c>
      <c r="T791" s="1">
        <v>14.666666666666666</v>
      </c>
      <c r="U791" t="s">
        <v>63</v>
      </c>
    </row>
    <row r="792" spans="1:21" x14ac:dyDescent="0.35">
      <c r="A792" t="s">
        <v>50</v>
      </c>
      <c r="B792">
        <v>18</v>
      </c>
      <c r="C792" t="s">
        <v>35</v>
      </c>
      <c r="D792" t="s">
        <v>36</v>
      </c>
      <c r="E792" t="s">
        <v>44</v>
      </c>
      <c r="F792" t="s">
        <v>39</v>
      </c>
      <c r="G792" t="s">
        <v>48</v>
      </c>
      <c r="H792">
        <v>2</v>
      </c>
      <c r="I792">
        <v>0</v>
      </c>
      <c r="J792" t="s">
        <v>43</v>
      </c>
      <c r="K792" t="s">
        <v>42</v>
      </c>
      <c r="L792" t="s">
        <v>43</v>
      </c>
      <c r="M792" t="s">
        <v>42</v>
      </c>
      <c r="N792" t="s">
        <v>43</v>
      </c>
      <c r="O792">
        <v>4</v>
      </c>
      <c r="P792">
        <v>3</v>
      </c>
      <c r="Q792">
        <v>3</v>
      </c>
      <c r="R792" t="s">
        <v>61</v>
      </c>
      <c r="S792">
        <v>0</v>
      </c>
      <c r="T792" s="1">
        <v>12.333333333333334</v>
      </c>
      <c r="U792" t="s">
        <v>62</v>
      </c>
    </row>
    <row r="793" spans="1:21" x14ac:dyDescent="0.35">
      <c r="A793" t="s">
        <v>50</v>
      </c>
      <c r="B793">
        <v>18</v>
      </c>
      <c r="C793" t="s">
        <v>35</v>
      </c>
      <c r="D793" t="s">
        <v>47</v>
      </c>
      <c r="E793" t="s">
        <v>44</v>
      </c>
      <c r="F793" t="s">
        <v>48</v>
      </c>
      <c r="G793" t="s">
        <v>45</v>
      </c>
      <c r="H793">
        <v>2</v>
      </c>
      <c r="I793">
        <v>0</v>
      </c>
      <c r="J793" t="s">
        <v>43</v>
      </c>
      <c r="K793" t="s">
        <v>43</v>
      </c>
      <c r="L793" t="s">
        <v>43</v>
      </c>
      <c r="M793" t="s">
        <v>42</v>
      </c>
      <c r="N793" t="s">
        <v>42</v>
      </c>
      <c r="O793">
        <v>4</v>
      </c>
      <c r="P793">
        <v>3</v>
      </c>
      <c r="Q793">
        <v>3</v>
      </c>
      <c r="R793" t="s">
        <v>62</v>
      </c>
      <c r="S793">
        <v>0</v>
      </c>
      <c r="T793" s="1">
        <v>16.333333333333332</v>
      </c>
      <c r="U793" t="s">
        <v>62</v>
      </c>
    </row>
    <row r="794" spans="1:21" x14ac:dyDescent="0.35">
      <c r="A794" t="s">
        <v>34</v>
      </c>
      <c r="B794">
        <v>17</v>
      </c>
      <c r="C794" t="s">
        <v>35</v>
      </c>
      <c r="D794" t="s">
        <v>36</v>
      </c>
      <c r="E794" t="s">
        <v>37</v>
      </c>
      <c r="F794" t="s">
        <v>38</v>
      </c>
      <c r="G794" t="s">
        <v>38</v>
      </c>
      <c r="H794">
        <v>2</v>
      </c>
      <c r="I794">
        <v>0</v>
      </c>
      <c r="J794" t="s">
        <v>43</v>
      </c>
      <c r="K794" t="s">
        <v>42</v>
      </c>
      <c r="L794" t="s">
        <v>43</v>
      </c>
      <c r="M794" t="s">
        <v>43</v>
      </c>
      <c r="N794" t="s">
        <v>42</v>
      </c>
      <c r="O794">
        <v>3</v>
      </c>
      <c r="P794">
        <v>3</v>
      </c>
      <c r="Q794">
        <v>1</v>
      </c>
      <c r="R794" t="s">
        <v>63</v>
      </c>
      <c r="S794">
        <v>0</v>
      </c>
      <c r="T794" s="1">
        <v>12</v>
      </c>
      <c r="U794" t="s">
        <v>62</v>
      </c>
    </row>
    <row r="795" spans="1:21" x14ac:dyDescent="0.35">
      <c r="A795" t="s">
        <v>34</v>
      </c>
      <c r="B795">
        <v>18</v>
      </c>
      <c r="C795" t="s">
        <v>35</v>
      </c>
      <c r="D795" t="s">
        <v>36</v>
      </c>
      <c r="E795" t="s">
        <v>44</v>
      </c>
      <c r="F795" t="s">
        <v>38</v>
      </c>
      <c r="G795" t="s">
        <v>45</v>
      </c>
      <c r="H795">
        <v>3</v>
      </c>
      <c r="I795">
        <v>0</v>
      </c>
      <c r="J795" t="s">
        <v>43</v>
      </c>
      <c r="K795" t="s">
        <v>42</v>
      </c>
      <c r="L795" t="s">
        <v>43</v>
      </c>
      <c r="M795" t="s">
        <v>43</v>
      </c>
      <c r="N795" t="s">
        <v>43</v>
      </c>
      <c r="O795">
        <v>4</v>
      </c>
      <c r="P795">
        <v>3</v>
      </c>
      <c r="Q795">
        <v>3</v>
      </c>
      <c r="R795" t="s">
        <v>61</v>
      </c>
      <c r="S795">
        <v>0</v>
      </c>
      <c r="T795" s="1">
        <v>12.333333333333334</v>
      </c>
      <c r="U795" t="s">
        <v>62</v>
      </c>
    </row>
    <row r="796" spans="1:21" x14ac:dyDescent="0.35">
      <c r="A796" t="s">
        <v>34</v>
      </c>
      <c r="B796">
        <v>18</v>
      </c>
      <c r="C796" t="s">
        <v>35</v>
      </c>
      <c r="D796" t="s">
        <v>36</v>
      </c>
      <c r="E796" t="s">
        <v>44</v>
      </c>
      <c r="F796" t="s">
        <v>45</v>
      </c>
      <c r="G796" t="s">
        <v>48</v>
      </c>
      <c r="H796">
        <v>3</v>
      </c>
      <c r="I796">
        <v>0</v>
      </c>
      <c r="J796" t="s">
        <v>43</v>
      </c>
      <c r="K796" t="s">
        <v>43</v>
      </c>
      <c r="L796" t="s">
        <v>43</v>
      </c>
      <c r="M796" t="s">
        <v>43</v>
      </c>
      <c r="N796" t="s">
        <v>42</v>
      </c>
      <c r="O796">
        <v>5</v>
      </c>
      <c r="P796">
        <v>4</v>
      </c>
      <c r="Q796">
        <v>3</v>
      </c>
      <c r="R796" t="s">
        <v>61</v>
      </c>
      <c r="S796">
        <v>0</v>
      </c>
      <c r="T796" s="1">
        <v>15.666666666666666</v>
      </c>
      <c r="U796" t="s">
        <v>63</v>
      </c>
    </row>
    <row r="797" spans="1:21" x14ac:dyDescent="0.35">
      <c r="A797" t="s">
        <v>50</v>
      </c>
      <c r="B797">
        <v>18</v>
      </c>
      <c r="C797" t="s">
        <v>52</v>
      </c>
      <c r="D797" t="s">
        <v>36</v>
      </c>
      <c r="E797" t="s">
        <v>44</v>
      </c>
      <c r="F797" t="s">
        <v>39</v>
      </c>
      <c r="G797" t="s">
        <v>48</v>
      </c>
      <c r="H797">
        <v>3</v>
      </c>
      <c r="I797">
        <v>0</v>
      </c>
      <c r="J797" t="s">
        <v>43</v>
      </c>
      <c r="K797" t="s">
        <v>43</v>
      </c>
      <c r="L797" t="s">
        <v>43</v>
      </c>
      <c r="M797" t="s">
        <v>43</v>
      </c>
      <c r="N797" t="s">
        <v>42</v>
      </c>
      <c r="O797">
        <v>5</v>
      </c>
      <c r="P797">
        <v>3</v>
      </c>
      <c r="Q797">
        <v>2</v>
      </c>
      <c r="R797" t="s">
        <v>61</v>
      </c>
      <c r="S797">
        <v>1</v>
      </c>
      <c r="T797" s="1">
        <v>15.333333333333334</v>
      </c>
      <c r="U797" t="s">
        <v>62</v>
      </c>
    </row>
    <row r="798" spans="1:21" x14ac:dyDescent="0.35">
      <c r="A798" t="s">
        <v>50</v>
      </c>
      <c r="B798">
        <v>18</v>
      </c>
      <c r="C798" t="s">
        <v>35</v>
      </c>
      <c r="D798" t="s">
        <v>36</v>
      </c>
      <c r="E798" t="s">
        <v>44</v>
      </c>
      <c r="F798" t="s">
        <v>39</v>
      </c>
      <c r="G798" t="s">
        <v>45</v>
      </c>
      <c r="H798">
        <v>3</v>
      </c>
      <c r="I798">
        <v>0</v>
      </c>
      <c r="J798" t="s">
        <v>43</v>
      </c>
      <c r="K798" t="s">
        <v>42</v>
      </c>
      <c r="L798" t="s">
        <v>43</v>
      </c>
      <c r="M798" t="s">
        <v>43</v>
      </c>
      <c r="N798" t="s">
        <v>42</v>
      </c>
      <c r="O798">
        <v>5</v>
      </c>
      <c r="P798">
        <v>4</v>
      </c>
      <c r="Q798">
        <v>5</v>
      </c>
      <c r="R798" t="s">
        <v>61</v>
      </c>
      <c r="S798">
        <v>1</v>
      </c>
      <c r="T798" s="1">
        <v>13.666666666666666</v>
      </c>
      <c r="U798" t="s">
        <v>63</v>
      </c>
    </row>
    <row r="799" spans="1:21" x14ac:dyDescent="0.35">
      <c r="A799" t="s">
        <v>34</v>
      </c>
      <c r="B799">
        <v>17</v>
      </c>
      <c r="C799" t="s">
        <v>35</v>
      </c>
      <c r="D799" t="s">
        <v>36</v>
      </c>
      <c r="E799" t="s">
        <v>44</v>
      </c>
      <c r="F799" t="s">
        <v>28</v>
      </c>
      <c r="G799" t="s">
        <v>45</v>
      </c>
      <c r="H799">
        <v>3</v>
      </c>
      <c r="I799">
        <v>0</v>
      </c>
      <c r="J799" t="s">
        <v>43</v>
      </c>
      <c r="K799" t="s">
        <v>42</v>
      </c>
      <c r="L799" t="s">
        <v>43</v>
      </c>
      <c r="M799" t="s">
        <v>42</v>
      </c>
      <c r="N799" t="s">
        <v>42</v>
      </c>
      <c r="O799">
        <v>4</v>
      </c>
      <c r="P799">
        <v>4</v>
      </c>
      <c r="Q799">
        <v>3</v>
      </c>
      <c r="R799" t="s">
        <v>61</v>
      </c>
      <c r="S799">
        <v>0</v>
      </c>
      <c r="T799" s="1">
        <v>12</v>
      </c>
      <c r="U799" t="s">
        <v>62</v>
      </c>
    </row>
    <row r="800" spans="1:21" x14ac:dyDescent="0.35">
      <c r="A800" t="s">
        <v>34</v>
      </c>
      <c r="B800">
        <v>17</v>
      </c>
      <c r="C800" t="s">
        <v>35</v>
      </c>
      <c r="D800" t="s">
        <v>36</v>
      </c>
      <c r="E800" t="s">
        <v>44</v>
      </c>
      <c r="F800" t="s">
        <v>48</v>
      </c>
      <c r="G800" t="s">
        <v>45</v>
      </c>
      <c r="H800">
        <v>2</v>
      </c>
      <c r="I800">
        <v>0</v>
      </c>
      <c r="J800" t="s">
        <v>43</v>
      </c>
      <c r="K800" t="s">
        <v>42</v>
      </c>
      <c r="L800" t="s">
        <v>43</v>
      </c>
      <c r="M800" t="s">
        <v>42</v>
      </c>
      <c r="N800" t="s">
        <v>42</v>
      </c>
      <c r="O800">
        <v>4</v>
      </c>
      <c r="P800">
        <v>3</v>
      </c>
      <c r="Q800">
        <v>4</v>
      </c>
      <c r="R800" t="s">
        <v>63</v>
      </c>
      <c r="S800">
        <v>0</v>
      </c>
      <c r="T800" s="1">
        <v>14</v>
      </c>
      <c r="U800" t="s">
        <v>62</v>
      </c>
    </row>
    <row r="801" spans="1:21" x14ac:dyDescent="0.35">
      <c r="A801" t="s">
        <v>34</v>
      </c>
      <c r="B801">
        <v>17</v>
      </c>
      <c r="C801" t="s">
        <v>35</v>
      </c>
      <c r="D801" t="s">
        <v>36</v>
      </c>
      <c r="E801" t="s">
        <v>44</v>
      </c>
      <c r="F801" t="s">
        <v>48</v>
      </c>
      <c r="G801" t="s">
        <v>45</v>
      </c>
      <c r="H801">
        <v>2</v>
      </c>
      <c r="I801">
        <v>0</v>
      </c>
      <c r="J801" t="s">
        <v>43</v>
      </c>
      <c r="K801" t="s">
        <v>42</v>
      </c>
      <c r="L801" t="s">
        <v>43</v>
      </c>
      <c r="M801" t="s">
        <v>42</v>
      </c>
      <c r="N801" t="s">
        <v>43</v>
      </c>
      <c r="O801">
        <v>4</v>
      </c>
      <c r="P801">
        <v>3</v>
      </c>
      <c r="Q801">
        <v>5</v>
      </c>
      <c r="R801" t="s">
        <v>61</v>
      </c>
      <c r="S801">
        <v>0</v>
      </c>
      <c r="T801" s="1">
        <v>14.666666666666666</v>
      </c>
      <c r="U801" t="s">
        <v>63</v>
      </c>
    </row>
    <row r="802" spans="1:21" x14ac:dyDescent="0.35">
      <c r="A802" t="s">
        <v>34</v>
      </c>
      <c r="B802">
        <v>19</v>
      </c>
      <c r="C802" t="s">
        <v>35</v>
      </c>
      <c r="D802" t="s">
        <v>47</v>
      </c>
      <c r="E802" t="s">
        <v>37</v>
      </c>
      <c r="F802" t="s">
        <v>38</v>
      </c>
      <c r="G802" t="s">
        <v>45</v>
      </c>
      <c r="H802">
        <v>1</v>
      </c>
      <c r="I802">
        <v>1</v>
      </c>
      <c r="J802" t="s">
        <v>43</v>
      </c>
      <c r="K802" t="s">
        <v>43</v>
      </c>
      <c r="L802" t="s">
        <v>43</v>
      </c>
      <c r="M802" t="s">
        <v>43</v>
      </c>
      <c r="N802" t="s">
        <v>43</v>
      </c>
      <c r="O802">
        <v>2</v>
      </c>
      <c r="P802">
        <v>2</v>
      </c>
      <c r="Q802">
        <v>3</v>
      </c>
      <c r="R802" t="s">
        <v>63</v>
      </c>
      <c r="S802">
        <v>0</v>
      </c>
      <c r="T802" s="1">
        <v>10.666666666666666</v>
      </c>
      <c r="U802" t="s">
        <v>63</v>
      </c>
    </row>
    <row r="803" spans="1:21" x14ac:dyDescent="0.35">
      <c r="A803" t="s">
        <v>34</v>
      </c>
      <c r="B803">
        <v>17</v>
      </c>
      <c r="C803" t="s">
        <v>35</v>
      </c>
      <c r="D803" t="s">
        <v>36</v>
      </c>
      <c r="E803" t="s">
        <v>44</v>
      </c>
      <c r="F803" t="s">
        <v>45</v>
      </c>
      <c r="G803" t="s">
        <v>38</v>
      </c>
      <c r="H803">
        <v>1</v>
      </c>
      <c r="I803">
        <v>1</v>
      </c>
      <c r="J803" t="s">
        <v>43</v>
      </c>
      <c r="K803" t="s">
        <v>42</v>
      </c>
      <c r="L803" t="s">
        <v>42</v>
      </c>
      <c r="M803" t="s">
        <v>43</v>
      </c>
      <c r="N803" t="s">
        <v>42</v>
      </c>
      <c r="O803">
        <v>4</v>
      </c>
      <c r="P803">
        <v>1</v>
      </c>
      <c r="Q803">
        <v>2</v>
      </c>
      <c r="R803" t="s">
        <v>62</v>
      </c>
      <c r="S803">
        <v>0</v>
      </c>
      <c r="T803" s="1">
        <v>12</v>
      </c>
      <c r="U803" t="s">
        <v>61</v>
      </c>
    </row>
    <row r="804" spans="1:21" x14ac:dyDescent="0.35">
      <c r="A804" t="s">
        <v>34</v>
      </c>
      <c r="B804">
        <v>21</v>
      </c>
      <c r="C804" t="s">
        <v>35</v>
      </c>
      <c r="D804" t="s">
        <v>47</v>
      </c>
      <c r="E804" t="s">
        <v>44</v>
      </c>
      <c r="F804" t="s">
        <v>45</v>
      </c>
      <c r="G804" t="s">
        <v>45</v>
      </c>
      <c r="H804">
        <v>3</v>
      </c>
      <c r="I804">
        <v>2</v>
      </c>
      <c r="J804" t="s">
        <v>43</v>
      </c>
      <c r="K804" t="s">
        <v>43</v>
      </c>
      <c r="L804" t="s">
        <v>42</v>
      </c>
      <c r="M804" t="s">
        <v>42</v>
      </c>
      <c r="N804" t="s">
        <v>43</v>
      </c>
      <c r="O804">
        <v>3</v>
      </c>
      <c r="P804">
        <v>3</v>
      </c>
      <c r="Q804">
        <v>2</v>
      </c>
      <c r="R804" t="s">
        <v>61</v>
      </c>
      <c r="S804">
        <v>0</v>
      </c>
      <c r="T804" s="1">
        <v>11</v>
      </c>
      <c r="U804" t="s">
        <v>61</v>
      </c>
    </row>
    <row r="805" spans="1:21" x14ac:dyDescent="0.35">
      <c r="A805" t="s">
        <v>50</v>
      </c>
      <c r="B805">
        <v>18</v>
      </c>
      <c r="C805" t="s">
        <v>35</v>
      </c>
      <c r="D805" t="s">
        <v>47</v>
      </c>
      <c r="E805" t="s">
        <v>44</v>
      </c>
      <c r="F805" t="s">
        <v>48</v>
      </c>
      <c r="G805" t="s">
        <v>48</v>
      </c>
      <c r="H805">
        <v>2</v>
      </c>
      <c r="I805">
        <v>0</v>
      </c>
      <c r="J805" t="s">
        <v>43</v>
      </c>
      <c r="K805" t="s">
        <v>42</v>
      </c>
      <c r="L805" t="s">
        <v>43</v>
      </c>
      <c r="M805" t="s">
        <v>42</v>
      </c>
      <c r="N805" t="s">
        <v>43</v>
      </c>
      <c r="O805">
        <v>4</v>
      </c>
      <c r="P805">
        <v>4</v>
      </c>
      <c r="Q805">
        <v>4</v>
      </c>
      <c r="R805" t="s">
        <v>63</v>
      </c>
      <c r="S805">
        <v>0</v>
      </c>
      <c r="T805" s="1">
        <v>10.666666666666666</v>
      </c>
      <c r="U805" t="s">
        <v>62</v>
      </c>
    </row>
    <row r="806" spans="1:21" x14ac:dyDescent="0.35">
      <c r="A806" t="s">
        <v>50</v>
      </c>
      <c r="B806">
        <v>18</v>
      </c>
      <c r="C806" t="s">
        <v>35</v>
      </c>
      <c r="D806" t="s">
        <v>47</v>
      </c>
      <c r="E806" t="s">
        <v>37</v>
      </c>
      <c r="F806" t="s">
        <v>45</v>
      </c>
      <c r="G806" t="s">
        <v>45</v>
      </c>
      <c r="H806">
        <v>2</v>
      </c>
      <c r="I806">
        <v>0</v>
      </c>
      <c r="J806" t="s">
        <v>43</v>
      </c>
      <c r="K806" t="s">
        <v>43</v>
      </c>
      <c r="L806" t="s">
        <v>43</v>
      </c>
      <c r="M806" t="s">
        <v>42</v>
      </c>
      <c r="N806" t="s">
        <v>42</v>
      </c>
      <c r="O806">
        <v>4</v>
      </c>
      <c r="P806">
        <v>3</v>
      </c>
      <c r="Q806">
        <v>5</v>
      </c>
      <c r="R806" t="s">
        <v>62</v>
      </c>
      <c r="S806">
        <v>0</v>
      </c>
      <c r="T806" s="1">
        <v>14</v>
      </c>
      <c r="U806" t="s">
        <v>63</v>
      </c>
    </row>
    <row r="807" spans="1:21" x14ac:dyDescent="0.35">
      <c r="A807" t="s">
        <v>34</v>
      </c>
      <c r="B807">
        <v>17</v>
      </c>
      <c r="C807" t="s">
        <v>35</v>
      </c>
      <c r="D807" t="s">
        <v>36</v>
      </c>
      <c r="E807" t="s">
        <v>44</v>
      </c>
      <c r="F807" t="s">
        <v>48</v>
      </c>
      <c r="G807" t="s">
        <v>48</v>
      </c>
      <c r="H807">
        <v>2</v>
      </c>
      <c r="I807">
        <v>0</v>
      </c>
      <c r="J807" t="s">
        <v>43</v>
      </c>
      <c r="K807" t="s">
        <v>42</v>
      </c>
      <c r="L807" t="s">
        <v>43</v>
      </c>
      <c r="M807" t="s">
        <v>42</v>
      </c>
      <c r="N807" t="s">
        <v>43</v>
      </c>
      <c r="O807">
        <v>4</v>
      </c>
      <c r="P807">
        <v>3</v>
      </c>
      <c r="Q807">
        <v>4</v>
      </c>
      <c r="R807" t="s">
        <v>61</v>
      </c>
      <c r="S807">
        <v>0</v>
      </c>
      <c r="T807" s="1">
        <v>15.666666666666666</v>
      </c>
      <c r="U807" t="s">
        <v>62</v>
      </c>
    </row>
    <row r="808" spans="1:21" x14ac:dyDescent="0.35">
      <c r="A808" t="s">
        <v>50</v>
      </c>
      <c r="B808">
        <v>17</v>
      </c>
      <c r="C808" t="s">
        <v>35</v>
      </c>
      <c r="D808" t="s">
        <v>47</v>
      </c>
      <c r="E808" t="s">
        <v>37</v>
      </c>
      <c r="F808" t="s">
        <v>28</v>
      </c>
      <c r="G808" t="s">
        <v>45</v>
      </c>
      <c r="H808">
        <v>3</v>
      </c>
      <c r="I808">
        <v>0</v>
      </c>
      <c r="J808" t="s">
        <v>43</v>
      </c>
      <c r="K808" t="s">
        <v>42</v>
      </c>
      <c r="L808" t="s">
        <v>43</v>
      </c>
      <c r="M808" t="s">
        <v>43</v>
      </c>
      <c r="N808" t="s">
        <v>43</v>
      </c>
      <c r="O808">
        <v>4</v>
      </c>
      <c r="P808">
        <v>4</v>
      </c>
      <c r="Q808">
        <v>2</v>
      </c>
      <c r="R808" t="s">
        <v>61</v>
      </c>
      <c r="S808">
        <v>0</v>
      </c>
      <c r="T808" s="1">
        <v>14</v>
      </c>
      <c r="U808" t="s">
        <v>62</v>
      </c>
    </row>
    <row r="809" spans="1:21" x14ac:dyDescent="0.35">
      <c r="A809" t="s">
        <v>34</v>
      </c>
      <c r="B809">
        <v>18</v>
      </c>
      <c r="C809" t="s">
        <v>35</v>
      </c>
      <c r="D809" t="s">
        <v>47</v>
      </c>
      <c r="E809" t="s">
        <v>44</v>
      </c>
      <c r="F809" t="s">
        <v>39</v>
      </c>
      <c r="G809" t="s">
        <v>45</v>
      </c>
      <c r="H809">
        <v>2</v>
      </c>
      <c r="I809">
        <v>0</v>
      </c>
      <c r="J809" t="s">
        <v>43</v>
      </c>
      <c r="K809" t="s">
        <v>42</v>
      </c>
      <c r="L809" t="s">
        <v>43</v>
      </c>
      <c r="M809" t="s">
        <v>42</v>
      </c>
      <c r="N809" t="s">
        <v>43</v>
      </c>
      <c r="O809">
        <v>4</v>
      </c>
      <c r="P809">
        <v>2</v>
      </c>
      <c r="Q809">
        <v>2</v>
      </c>
      <c r="R809" t="s">
        <v>61</v>
      </c>
      <c r="S809">
        <v>0</v>
      </c>
      <c r="T809" s="1">
        <v>16</v>
      </c>
      <c r="U809" t="s">
        <v>61</v>
      </c>
    </row>
    <row r="810" spans="1:21" x14ac:dyDescent="0.35">
      <c r="A810" t="s">
        <v>50</v>
      </c>
      <c r="B810">
        <v>21</v>
      </c>
      <c r="C810" t="s">
        <v>52</v>
      </c>
      <c r="D810" t="s">
        <v>47</v>
      </c>
      <c r="E810" t="s">
        <v>44</v>
      </c>
      <c r="F810" t="s">
        <v>38</v>
      </c>
      <c r="G810" t="s">
        <v>45</v>
      </c>
      <c r="H810">
        <v>2</v>
      </c>
      <c r="I810">
        <v>2</v>
      </c>
      <c r="J810" t="s">
        <v>43</v>
      </c>
      <c r="K810" t="s">
        <v>42</v>
      </c>
      <c r="L810" t="s">
        <v>43</v>
      </c>
      <c r="M810" t="s">
        <v>42</v>
      </c>
      <c r="N810" t="s">
        <v>42</v>
      </c>
      <c r="O810">
        <v>5</v>
      </c>
      <c r="P810">
        <v>3</v>
      </c>
      <c r="Q810">
        <v>3</v>
      </c>
      <c r="R810" t="s">
        <v>63</v>
      </c>
      <c r="S810">
        <v>0</v>
      </c>
      <c r="T810" s="1">
        <v>9.6666666666666661</v>
      </c>
      <c r="U810" t="s">
        <v>63</v>
      </c>
    </row>
    <row r="811" spans="1:21" x14ac:dyDescent="0.35">
      <c r="A811" t="s">
        <v>34</v>
      </c>
      <c r="B811">
        <v>20</v>
      </c>
      <c r="C811" t="s">
        <v>52</v>
      </c>
      <c r="D811" t="s">
        <v>36</v>
      </c>
      <c r="E811" t="s">
        <v>44</v>
      </c>
      <c r="F811" t="s">
        <v>45</v>
      </c>
      <c r="G811" t="s">
        <v>45</v>
      </c>
      <c r="H811">
        <v>3</v>
      </c>
      <c r="I811">
        <v>0</v>
      </c>
      <c r="J811" t="s">
        <v>43</v>
      </c>
      <c r="K811" t="s">
        <v>43</v>
      </c>
      <c r="L811" t="s">
        <v>43</v>
      </c>
      <c r="M811" t="s">
        <v>43</v>
      </c>
      <c r="N811" t="s">
        <v>42</v>
      </c>
      <c r="O811">
        <v>3</v>
      </c>
      <c r="P811">
        <v>2</v>
      </c>
      <c r="Q811">
        <v>2</v>
      </c>
      <c r="R811" t="s">
        <v>62</v>
      </c>
      <c r="S811">
        <v>0</v>
      </c>
      <c r="T811" s="1">
        <v>13.666666666666666</v>
      </c>
      <c r="U811" t="s">
        <v>62</v>
      </c>
    </row>
    <row r="812" spans="1:21" x14ac:dyDescent="0.35">
      <c r="A812" t="s">
        <v>34</v>
      </c>
      <c r="B812">
        <v>19</v>
      </c>
      <c r="C812" t="s">
        <v>35</v>
      </c>
      <c r="D812" t="s">
        <v>36</v>
      </c>
      <c r="E812" t="s">
        <v>44</v>
      </c>
      <c r="F812" t="s">
        <v>39</v>
      </c>
      <c r="G812" t="s">
        <v>45</v>
      </c>
      <c r="H812">
        <v>1</v>
      </c>
      <c r="I812">
        <v>1</v>
      </c>
      <c r="J812" t="s">
        <v>43</v>
      </c>
      <c r="K812" t="s">
        <v>42</v>
      </c>
      <c r="L812" t="s">
        <v>43</v>
      </c>
      <c r="M812" t="s">
        <v>43</v>
      </c>
      <c r="N812" t="s">
        <v>42</v>
      </c>
      <c r="O812">
        <v>3</v>
      </c>
      <c r="P812">
        <v>2</v>
      </c>
      <c r="Q812">
        <v>5</v>
      </c>
      <c r="R812" t="s">
        <v>62</v>
      </c>
      <c r="S812">
        <v>0</v>
      </c>
      <c r="T812" s="1">
        <v>10</v>
      </c>
      <c r="U812" t="s">
        <v>63</v>
      </c>
    </row>
    <row r="813" spans="1:21" x14ac:dyDescent="0.35">
      <c r="A813" t="s">
        <v>50</v>
      </c>
      <c r="B813">
        <v>17</v>
      </c>
      <c r="C813" t="s">
        <v>35</v>
      </c>
      <c r="D813" t="s">
        <v>47</v>
      </c>
      <c r="E813" t="s">
        <v>37</v>
      </c>
      <c r="F813" t="s">
        <v>45</v>
      </c>
      <c r="G813" t="s">
        <v>45</v>
      </c>
      <c r="H813">
        <v>2</v>
      </c>
      <c r="I813">
        <v>0</v>
      </c>
      <c r="J813" t="s">
        <v>43</v>
      </c>
      <c r="K813" t="s">
        <v>42</v>
      </c>
      <c r="L813" t="s">
        <v>43</v>
      </c>
      <c r="M813" t="s">
        <v>43</v>
      </c>
      <c r="N813" t="s">
        <v>43</v>
      </c>
      <c r="O813">
        <v>4</v>
      </c>
      <c r="P813">
        <v>4</v>
      </c>
      <c r="Q813">
        <v>4</v>
      </c>
      <c r="R813" t="s">
        <v>63</v>
      </c>
      <c r="S813">
        <v>0</v>
      </c>
      <c r="T813" s="1">
        <v>17.333333333333332</v>
      </c>
      <c r="U813" t="s">
        <v>62</v>
      </c>
    </row>
    <row r="814" spans="1:21" x14ac:dyDescent="0.35">
      <c r="A814" t="s">
        <v>34</v>
      </c>
      <c r="B814">
        <v>18</v>
      </c>
      <c r="C814" t="s">
        <v>35</v>
      </c>
      <c r="D814" t="s">
        <v>36</v>
      </c>
      <c r="E814" t="s">
        <v>44</v>
      </c>
      <c r="F814" t="s">
        <v>38</v>
      </c>
      <c r="G814" t="s">
        <v>45</v>
      </c>
      <c r="H814">
        <v>3</v>
      </c>
      <c r="I814">
        <v>0</v>
      </c>
      <c r="J814" t="s">
        <v>43</v>
      </c>
      <c r="K814" t="s">
        <v>42</v>
      </c>
      <c r="L814" t="s">
        <v>43</v>
      </c>
      <c r="M814" t="s">
        <v>43</v>
      </c>
      <c r="N814" t="s">
        <v>42</v>
      </c>
      <c r="O814">
        <v>4</v>
      </c>
      <c r="P814">
        <v>3</v>
      </c>
      <c r="Q814">
        <v>4</v>
      </c>
      <c r="R814" t="s">
        <v>62</v>
      </c>
      <c r="S814">
        <v>0</v>
      </c>
      <c r="T814" s="1">
        <v>16</v>
      </c>
      <c r="U814" t="s">
        <v>62</v>
      </c>
    </row>
    <row r="815" spans="1:21" x14ac:dyDescent="0.35">
      <c r="A815" t="s">
        <v>50</v>
      </c>
      <c r="B815">
        <v>18</v>
      </c>
      <c r="C815" t="s">
        <v>52</v>
      </c>
      <c r="D815" t="s">
        <v>36</v>
      </c>
      <c r="E815" t="s">
        <v>44</v>
      </c>
      <c r="F815" t="s">
        <v>45</v>
      </c>
      <c r="G815" t="s">
        <v>48</v>
      </c>
      <c r="H815">
        <v>1</v>
      </c>
      <c r="I815">
        <v>0</v>
      </c>
      <c r="J815" t="s">
        <v>43</v>
      </c>
      <c r="K815" t="s">
        <v>43</v>
      </c>
      <c r="L815" t="s">
        <v>43</v>
      </c>
      <c r="M815" t="s">
        <v>43</v>
      </c>
      <c r="N815" t="s">
        <v>43</v>
      </c>
      <c r="O815">
        <v>3</v>
      </c>
      <c r="P815">
        <v>1</v>
      </c>
      <c r="Q815">
        <v>3</v>
      </c>
      <c r="R815" t="s">
        <v>63</v>
      </c>
      <c r="S815">
        <v>0</v>
      </c>
      <c r="T815" s="1">
        <v>13.666666666666666</v>
      </c>
      <c r="U815" t="s">
        <v>63</v>
      </c>
    </row>
    <row r="816" spans="1:21" x14ac:dyDescent="0.35">
      <c r="A816" t="s">
        <v>50</v>
      </c>
      <c r="B816">
        <v>19</v>
      </c>
      <c r="C816" t="s">
        <v>35</v>
      </c>
      <c r="D816" t="s">
        <v>36</v>
      </c>
      <c r="E816" t="s">
        <v>44</v>
      </c>
      <c r="F816" t="s">
        <v>45</v>
      </c>
      <c r="G816" t="s">
        <v>45</v>
      </c>
      <c r="H816">
        <v>1</v>
      </c>
      <c r="I816">
        <v>0</v>
      </c>
      <c r="J816" t="s">
        <v>43</v>
      </c>
      <c r="K816" t="s">
        <v>43</v>
      </c>
      <c r="L816" t="s">
        <v>43</v>
      </c>
      <c r="M816" t="s">
        <v>43</v>
      </c>
      <c r="N816" t="s">
        <v>43</v>
      </c>
      <c r="O816">
        <v>5</v>
      </c>
      <c r="P816">
        <v>3</v>
      </c>
      <c r="Q816">
        <v>4</v>
      </c>
      <c r="R816" t="s">
        <v>63</v>
      </c>
      <c r="S816">
        <v>0</v>
      </c>
      <c r="T816" s="1">
        <v>9.6666666666666661</v>
      </c>
      <c r="U816" t="s">
        <v>63</v>
      </c>
    </row>
    <row r="817" spans="1:21" x14ac:dyDescent="0.35">
      <c r="A817" t="s">
        <v>34</v>
      </c>
      <c r="B817">
        <v>18</v>
      </c>
      <c r="C817" t="s">
        <v>35</v>
      </c>
      <c r="D817" t="s">
        <v>47</v>
      </c>
      <c r="E817" t="s">
        <v>37</v>
      </c>
      <c r="F817" t="s">
        <v>48</v>
      </c>
      <c r="G817" t="s">
        <v>45</v>
      </c>
      <c r="H817">
        <v>2</v>
      </c>
      <c r="I817">
        <v>0</v>
      </c>
      <c r="J817" t="s">
        <v>43</v>
      </c>
      <c r="K817" t="s">
        <v>42</v>
      </c>
      <c r="L817" t="s">
        <v>43</v>
      </c>
      <c r="M817" t="s">
        <v>43</v>
      </c>
      <c r="N817" t="s">
        <v>43</v>
      </c>
      <c r="O817">
        <v>4</v>
      </c>
      <c r="P817">
        <v>1</v>
      </c>
      <c r="Q817">
        <v>4</v>
      </c>
      <c r="R817" t="s">
        <v>63</v>
      </c>
      <c r="S817">
        <v>0</v>
      </c>
      <c r="T817" s="1">
        <v>16</v>
      </c>
      <c r="U817" t="s">
        <v>62</v>
      </c>
    </row>
    <row r="818" spans="1:21" x14ac:dyDescent="0.35">
      <c r="A818" t="s">
        <v>34</v>
      </c>
      <c r="B818">
        <v>20</v>
      </c>
      <c r="C818" t="s">
        <v>35</v>
      </c>
      <c r="D818" t="s">
        <v>36</v>
      </c>
      <c r="E818" t="s">
        <v>44</v>
      </c>
      <c r="F818" t="s">
        <v>45</v>
      </c>
      <c r="G818" t="s">
        <v>45</v>
      </c>
      <c r="H818">
        <v>1</v>
      </c>
      <c r="I818">
        <v>1</v>
      </c>
      <c r="J818" t="s">
        <v>42</v>
      </c>
      <c r="K818" t="s">
        <v>43</v>
      </c>
      <c r="L818" t="s">
        <v>43</v>
      </c>
      <c r="M818" t="s">
        <v>43</v>
      </c>
      <c r="N818" t="s">
        <v>42</v>
      </c>
      <c r="O818">
        <v>5</v>
      </c>
      <c r="P818">
        <v>3</v>
      </c>
      <c r="Q818">
        <v>1</v>
      </c>
      <c r="R818" t="s">
        <v>62</v>
      </c>
      <c r="S818">
        <v>0</v>
      </c>
      <c r="T818" s="1">
        <v>9.3333333333333339</v>
      </c>
      <c r="U818" t="s">
        <v>61</v>
      </c>
    </row>
    <row r="819" spans="1:21" x14ac:dyDescent="0.35">
      <c r="A819" t="s">
        <v>34</v>
      </c>
      <c r="B819">
        <v>18</v>
      </c>
      <c r="C819" t="s">
        <v>35</v>
      </c>
      <c r="D819" t="s">
        <v>36</v>
      </c>
      <c r="E819" t="s">
        <v>44</v>
      </c>
      <c r="F819" t="s">
        <v>48</v>
      </c>
      <c r="G819" t="s">
        <v>45</v>
      </c>
      <c r="H819">
        <v>2</v>
      </c>
      <c r="I819">
        <v>0</v>
      </c>
      <c r="J819" t="s">
        <v>43</v>
      </c>
      <c r="K819" t="s">
        <v>42</v>
      </c>
      <c r="L819" t="s">
        <v>43</v>
      </c>
      <c r="M819" t="s">
        <v>42</v>
      </c>
      <c r="N819" t="s">
        <v>42</v>
      </c>
      <c r="O819">
        <v>3</v>
      </c>
      <c r="P819">
        <v>1</v>
      </c>
      <c r="Q819">
        <v>2</v>
      </c>
      <c r="R819" t="s">
        <v>61</v>
      </c>
      <c r="S819">
        <v>0</v>
      </c>
      <c r="T819" s="1">
        <v>12</v>
      </c>
      <c r="U819" t="s">
        <v>62</v>
      </c>
    </row>
    <row r="820" spans="1:21" x14ac:dyDescent="0.35">
      <c r="A820" t="s">
        <v>34</v>
      </c>
      <c r="B820">
        <v>16</v>
      </c>
      <c r="C820" t="s">
        <v>35</v>
      </c>
      <c r="D820" t="s">
        <v>36</v>
      </c>
      <c r="E820" t="s">
        <v>44</v>
      </c>
      <c r="F820" t="s">
        <v>38</v>
      </c>
      <c r="G820" t="s">
        <v>45</v>
      </c>
      <c r="H820">
        <v>1</v>
      </c>
      <c r="I820">
        <v>0</v>
      </c>
      <c r="J820" t="s">
        <v>43</v>
      </c>
      <c r="K820" t="s">
        <v>42</v>
      </c>
      <c r="L820" t="s">
        <v>43</v>
      </c>
      <c r="M820" t="s">
        <v>43</v>
      </c>
      <c r="N820" t="s">
        <v>42</v>
      </c>
      <c r="O820">
        <v>4</v>
      </c>
      <c r="P820">
        <v>3</v>
      </c>
      <c r="Q820">
        <v>3</v>
      </c>
      <c r="R820" t="s">
        <v>63</v>
      </c>
      <c r="S820">
        <v>0</v>
      </c>
      <c r="T820" s="1">
        <v>10.666666666666666</v>
      </c>
      <c r="U820" t="s">
        <v>62</v>
      </c>
    </row>
    <row r="821" spans="1:21" x14ac:dyDescent="0.35">
      <c r="A821" t="s">
        <v>34</v>
      </c>
      <c r="B821">
        <v>16</v>
      </c>
      <c r="C821" t="s">
        <v>52</v>
      </c>
      <c r="D821" t="s">
        <v>36</v>
      </c>
      <c r="E821" t="s">
        <v>44</v>
      </c>
      <c r="F821" t="s">
        <v>45</v>
      </c>
      <c r="G821" t="s">
        <v>45</v>
      </c>
      <c r="H821">
        <v>2</v>
      </c>
      <c r="I821">
        <v>0</v>
      </c>
      <c r="J821" t="s">
        <v>43</v>
      </c>
      <c r="K821" t="s">
        <v>42</v>
      </c>
      <c r="L821" t="s">
        <v>43</v>
      </c>
      <c r="M821" t="s">
        <v>42</v>
      </c>
      <c r="N821" t="s">
        <v>43</v>
      </c>
      <c r="O821">
        <v>4</v>
      </c>
      <c r="P821">
        <v>4</v>
      </c>
      <c r="Q821">
        <v>4</v>
      </c>
      <c r="R821" t="s">
        <v>61</v>
      </c>
      <c r="S821">
        <v>0</v>
      </c>
      <c r="T821" s="1">
        <v>12</v>
      </c>
      <c r="U821" t="s">
        <v>61</v>
      </c>
    </row>
    <row r="822" spans="1:21" x14ac:dyDescent="0.35">
      <c r="A822" t="s">
        <v>34</v>
      </c>
      <c r="B822">
        <v>15</v>
      </c>
      <c r="C822" t="s">
        <v>52</v>
      </c>
      <c r="D822" t="s">
        <v>36</v>
      </c>
      <c r="E822" t="s">
        <v>44</v>
      </c>
      <c r="F822" t="s">
        <v>38</v>
      </c>
      <c r="G822" t="s">
        <v>48</v>
      </c>
      <c r="H822">
        <v>1</v>
      </c>
      <c r="I822">
        <v>1</v>
      </c>
      <c r="J822" t="s">
        <v>43</v>
      </c>
      <c r="K822" t="s">
        <v>42</v>
      </c>
      <c r="L822" t="s">
        <v>43</v>
      </c>
      <c r="M822" t="s">
        <v>43</v>
      </c>
      <c r="N822" t="s">
        <v>42</v>
      </c>
      <c r="O822">
        <v>4</v>
      </c>
      <c r="P822">
        <v>1</v>
      </c>
      <c r="Q822">
        <v>3</v>
      </c>
      <c r="R822" t="s">
        <v>62</v>
      </c>
      <c r="S822">
        <v>0</v>
      </c>
      <c r="T822" s="1">
        <v>10</v>
      </c>
      <c r="U822" t="s">
        <v>61</v>
      </c>
    </row>
    <row r="823" spans="1:21" x14ac:dyDescent="0.35">
      <c r="A823" t="s">
        <v>34</v>
      </c>
      <c r="B823">
        <v>15</v>
      </c>
      <c r="C823" t="s">
        <v>52</v>
      </c>
      <c r="D823" t="s">
        <v>36</v>
      </c>
      <c r="E823" t="s">
        <v>44</v>
      </c>
      <c r="F823" t="s">
        <v>38</v>
      </c>
      <c r="G823" t="s">
        <v>45</v>
      </c>
      <c r="H823">
        <v>1</v>
      </c>
      <c r="I823">
        <v>0</v>
      </c>
      <c r="J823" t="s">
        <v>43</v>
      </c>
      <c r="K823" t="s">
        <v>42</v>
      </c>
      <c r="L823" t="s">
        <v>43</v>
      </c>
      <c r="M823" t="s">
        <v>43</v>
      </c>
      <c r="N823" t="s">
        <v>43</v>
      </c>
      <c r="O823">
        <v>5</v>
      </c>
      <c r="P823">
        <v>4</v>
      </c>
      <c r="Q823">
        <v>4</v>
      </c>
      <c r="R823" t="s">
        <v>61</v>
      </c>
      <c r="S823">
        <v>0</v>
      </c>
      <c r="T823" s="1">
        <v>10.333333333333334</v>
      </c>
      <c r="U823" t="s">
        <v>63</v>
      </c>
    </row>
    <row r="824" spans="1:21" x14ac:dyDescent="0.35">
      <c r="A824" t="s">
        <v>34</v>
      </c>
      <c r="B824">
        <v>16</v>
      </c>
      <c r="C824" t="s">
        <v>52</v>
      </c>
      <c r="D824" t="s">
        <v>36</v>
      </c>
      <c r="E824" t="s">
        <v>44</v>
      </c>
      <c r="F824" t="s">
        <v>38</v>
      </c>
      <c r="G824" t="s">
        <v>48</v>
      </c>
      <c r="H824">
        <v>2</v>
      </c>
      <c r="I824">
        <v>0</v>
      </c>
      <c r="J824" t="s">
        <v>43</v>
      </c>
      <c r="K824" t="s">
        <v>43</v>
      </c>
      <c r="L824" t="s">
        <v>43</v>
      </c>
      <c r="M824" t="s">
        <v>43</v>
      </c>
      <c r="N824" t="s">
        <v>43</v>
      </c>
      <c r="O824">
        <v>4</v>
      </c>
      <c r="P824">
        <v>5</v>
      </c>
      <c r="Q824">
        <v>2</v>
      </c>
      <c r="R824" t="s">
        <v>61</v>
      </c>
      <c r="S824">
        <v>0</v>
      </c>
      <c r="T824" s="1">
        <v>16.666666666666668</v>
      </c>
      <c r="U824" t="s">
        <v>62</v>
      </c>
    </row>
    <row r="825" spans="1:21" x14ac:dyDescent="0.35">
      <c r="A825" t="s">
        <v>34</v>
      </c>
      <c r="B825">
        <v>15</v>
      </c>
      <c r="C825" t="s">
        <v>52</v>
      </c>
      <c r="D825" t="s">
        <v>47</v>
      </c>
      <c r="E825" t="s">
        <v>44</v>
      </c>
      <c r="F825" t="s">
        <v>38</v>
      </c>
      <c r="G825" t="s">
        <v>45</v>
      </c>
      <c r="H825">
        <v>1</v>
      </c>
      <c r="I825">
        <v>0</v>
      </c>
      <c r="J825" t="s">
        <v>43</v>
      </c>
      <c r="K825" t="s">
        <v>43</v>
      </c>
      <c r="L825" t="s">
        <v>43</v>
      </c>
      <c r="M825" t="s">
        <v>43</v>
      </c>
      <c r="N825" t="s">
        <v>43</v>
      </c>
      <c r="O825">
        <v>1</v>
      </c>
      <c r="P825">
        <v>3</v>
      </c>
      <c r="Q825">
        <v>4</v>
      </c>
      <c r="R825" t="s">
        <v>61</v>
      </c>
      <c r="S825">
        <v>0</v>
      </c>
      <c r="T825" s="1">
        <v>7.666666666666667</v>
      </c>
      <c r="U825" t="s">
        <v>61</v>
      </c>
    </row>
    <row r="826" spans="1:21" x14ac:dyDescent="0.35">
      <c r="A826" t="s">
        <v>50</v>
      </c>
      <c r="B826">
        <v>16</v>
      </c>
      <c r="C826" t="s">
        <v>52</v>
      </c>
      <c r="D826" t="s">
        <v>47</v>
      </c>
      <c r="E826" t="s">
        <v>37</v>
      </c>
      <c r="F826" t="s">
        <v>38</v>
      </c>
      <c r="G826" t="s">
        <v>45</v>
      </c>
      <c r="H826">
        <v>2</v>
      </c>
      <c r="I826">
        <v>0</v>
      </c>
      <c r="J826" t="s">
        <v>43</v>
      </c>
      <c r="K826" t="s">
        <v>42</v>
      </c>
      <c r="L826" t="s">
        <v>43</v>
      </c>
      <c r="M826" t="s">
        <v>43</v>
      </c>
      <c r="N826" t="s">
        <v>43</v>
      </c>
      <c r="O826">
        <v>5</v>
      </c>
      <c r="P826">
        <v>3</v>
      </c>
      <c r="Q826">
        <v>2</v>
      </c>
      <c r="R826" t="s">
        <v>62</v>
      </c>
      <c r="S826">
        <v>0</v>
      </c>
      <c r="T826" s="1">
        <v>10.666666666666666</v>
      </c>
      <c r="U826" t="s">
        <v>62</v>
      </c>
    </row>
    <row r="827" spans="1:21" x14ac:dyDescent="0.35">
      <c r="A827" t="s">
        <v>50</v>
      </c>
      <c r="B827">
        <v>16</v>
      </c>
      <c r="C827" t="s">
        <v>35</v>
      </c>
      <c r="D827" t="s">
        <v>36</v>
      </c>
      <c r="E827" t="s">
        <v>37</v>
      </c>
      <c r="F827" t="s">
        <v>45</v>
      </c>
      <c r="G827" t="s">
        <v>45</v>
      </c>
      <c r="H827">
        <v>3</v>
      </c>
      <c r="I827">
        <v>0</v>
      </c>
      <c r="J827" t="s">
        <v>42</v>
      </c>
      <c r="K827" t="s">
        <v>43</v>
      </c>
      <c r="L827" t="s">
        <v>43</v>
      </c>
      <c r="M827" t="s">
        <v>43</v>
      </c>
      <c r="N827" t="s">
        <v>43</v>
      </c>
      <c r="O827">
        <v>4</v>
      </c>
      <c r="P827">
        <v>4</v>
      </c>
      <c r="Q827">
        <v>3</v>
      </c>
      <c r="R827" t="s">
        <v>61</v>
      </c>
      <c r="S827">
        <v>0</v>
      </c>
      <c r="T827" s="1">
        <v>10.666666666666666</v>
      </c>
      <c r="U827" t="s">
        <v>61</v>
      </c>
    </row>
    <row r="828" spans="1:21" x14ac:dyDescent="0.35">
      <c r="A828" t="s">
        <v>34</v>
      </c>
      <c r="B828">
        <v>17</v>
      </c>
      <c r="C828" t="s">
        <v>52</v>
      </c>
      <c r="D828" t="s">
        <v>36</v>
      </c>
      <c r="E828" t="s">
        <v>44</v>
      </c>
      <c r="F828" t="s">
        <v>38</v>
      </c>
      <c r="G828" t="s">
        <v>45</v>
      </c>
      <c r="H828">
        <v>2</v>
      </c>
      <c r="I828">
        <v>1</v>
      </c>
      <c r="J828" t="s">
        <v>43</v>
      </c>
      <c r="K828" t="s">
        <v>43</v>
      </c>
      <c r="L828" t="s">
        <v>43</v>
      </c>
      <c r="M828" t="s">
        <v>43</v>
      </c>
      <c r="N828" t="s">
        <v>42</v>
      </c>
      <c r="O828">
        <v>4</v>
      </c>
      <c r="P828">
        <v>5</v>
      </c>
      <c r="Q828">
        <v>4</v>
      </c>
      <c r="R828" t="s">
        <v>61</v>
      </c>
      <c r="S828">
        <v>0</v>
      </c>
      <c r="T828" s="1">
        <v>10</v>
      </c>
      <c r="U828" t="s">
        <v>62</v>
      </c>
    </row>
    <row r="829" spans="1:21" x14ac:dyDescent="0.35">
      <c r="A829" t="s">
        <v>34</v>
      </c>
      <c r="B829">
        <v>17</v>
      </c>
      <c r="C829" t="s">
        <v>52</v>
      </c>
      <c r="D829" t="s">
        <v>36</v>
      </c>
      <c r="E829" t="s">
        <v>44</v>
      </c>
      <c r="F829" t="s">
        <v>45</v>
      </c>
      <c r="G829" t="s">
        <v>45</v>
      </c>
      <c r="H829">
        <v>1</v>
      </c>
      <c r="I829">
        <v>1</v>
      </c>
      <c r="J829" t="s">
        <v>43</v>
      </c>
      <c r="K829" t="s">
        <v>42</v>
      </c>
      <c r="L829" t="s">
        <v>43</v>
      </c>
      <c r="M829" t="s">
        <v>43</v>
      </c>
      <c r="N829" t="s">
        <v>43</v>
      </c>
      <c r="O829">
        <v>5</v>
      </c>
      <c r="P829">
        <v>4</v>
      </c>
      <c r="Q829">
        <v>4</v>
      </c>
      <c r="R829" t="s">
        <v>61</v>
      </c>
      <c r="S829">
        <v>0</v>
      </c>
      <c r="T829" s="1">
        <v>6.333333333333333</v>
      </c>
      <c r="U829" t="s">
        <v>62</v>
      </c>
    </row>
    <row r="830" spans="1:21" x14ac:dyDescent="0.35">
      <c r="A830" t="s">
        <v>34</v>
      </c>
      <c r="B830">
        <v>15</v>
      </c>
      <c r="C830" t="s">
        <v>52</v>
      </c>
      <c r="D830" t="s">
        <v>36</v>
      </c>
      <c r="E830" t="s">
        <v>44</v>
      </c>
      <c r="F830" t="s">
        <v>39</v>
      </c>
      <c r="G830" t="s">
        <v>45</v>
      </c>
      <c r="H830">
        <v>1</v>
      </c>
      <c r="I830">
        <v>0</v>
      </c>
      <c r="J830" t="s">
        <v>43</v>
      </c>
      <c r="K830" t="s">
        <v>43</v>
      </c>
      <c r="L830" t="s">
        <v>43</v>
      </c>
      <c r="M830" t="s">
        <v>43</v>
      </c>
      <c r="N830" t="s">
        <v>42</v>
      </c>
      <c r="O830">
        <v>1</v>
      </c>
      <c r="P830">
        <v>5</v>
      </c>
      <c r="Q830">
        <v>1</v>
      </c>
      <c r="R830" t="s">
        <v>61</v>
      </c>
      <c r="S830">
        <v>0</v>
      </c>
      <c r="T830" s="1">
        <v>13.666666666666666</v>
      </c>
      <c r="U830" t="s">
        <v>63</v>
      </c>
    </row>
    <row r="831" spans="1:21" x14ac:dyDescent="0.35">
      <c r="A831" t="s">
        <v>34</v>
      </c>
      <c r="B831">
        <v>16</v>
      </c>
      <c r="C831" t="s">
        <v>35</v>
      </c>
      <c r="D831" t="s">
        <v>47</v>
      </c>
      <c r="E831" t="s">
        <v>37</v>
      </c>
      <c r="F831" t="s">
        <v>38</v>
      </c>
      <c r="G831" t="s">
        <v>45</v>
      </c>
      <c r="H831">
        <v>4</v>
      </c>
      <c r="I831">
        <v>0</v>
      </c>
      <c r="J831" t="s">
        <v>43</v>
      </c>
      <c r="K831" t="s">
        <v>43</v>
      </c>
      <c r="L831" t="s">
        <v>43</v>
      </c>
      <c r="M831" t="s">
        <v>42</v>
      </c>
      <c r="N831" t="s">
        <v>42</v>
      </c>
      <c r="O831">
        <v>1</v>
      </c>
      <c r="P831">
        <v>2</v>
      </c>
      <c r="Q831">
        <v>1</v>
      </c>
      <c r="R831" t="s">
        <v>61</v>
      </c>
      <c r="S831">
        <v>1</v>
      </c>
      <c r="T831" s="1">
        <v>10</v>
      </c>
      <c r="U831" t="s">
        <v>61</v>
      </c>
    </row>
    <row r="832" spans="1:21" x14ac:dyDescent="0.35">
      <c r="A832" t="s">
        <v>34</v>
      </c>
      <c r="B832">
        <v>15</v>
      </c>
      <c r="C832" t="s">
        <v>52</v>
      </c>
      <c r="D832" t="s">
        <v>47</v>
      </c>
      <c r="E832" t="s">
        <v>44</v>
      </c>
      <c r="F832" t="s">
        <v>38</v>
      </c>
      <c r="G832" t="s">
        <v>48</v>
      </c>
      <c r="H832">
        <v>2</v>
      </c>
      <c r="I832">
        <v>0</v>
      </c>
      <c r="J832" t="s">
        <v>43</v>
      </c>
      <c r="K832" t="s">
        <v>42</v>
      </c>
      <c r="L832" t="s">
        <v>43</v>
      </c>
      <c r="M832" t="s">
        <v>43</v>
      </c>
      <c r="N832" t="s">
        <v>43</v>
      </c>
      <c r="O832">
        <v>5</v>
      </c>
      <c r="P832">
        <v>4</v>
      </c>
      <c r="Q832">
        <v>3</v>
      </c>
      <c r="R832" t="s">
        <v>61</v>
      </c>
      <c r="S832">
        <v>0</v>
      </c>
      <c r="T832" s="1">
        <v>10</v>
      </c>
      <c r="U832" t="s">
        <v>62</v>
      </c>
    </row>
    <row r="833" spans="1:21" x14ac:dyDescent="0.35">
      <c r="A833" t="s">
        <v>34</v>
      </c>
      <c r="B833">
        <v>15</v>
      </c>
      <c r="C833" t="s">
        <v>52</v>
      </c>
      <c r="D833" t="s">
        <v>47</v>
      </c>
      <c r="E833" t="s">
        <v>44</v>
      </c>
      <c r="F833" t="s">
        <v>45</v>
      </c>
      <c r="G833" t="s">
        <v>48</v>
      </c>
      <c r="H833">
        <v>1</v>
      </c>
      <c r="I833">
        <v>1</v>
      </c>
      <c r="J833" t="s">
        <v>43</v>
      </c>
      <c r="K833" t="s">
        <v>42</v>
      </c>
      <c r="L833" t="s">
        <v>43</v>
      </c>
      <c r="M833" t="s">
        <v>43</v>
      </c>
      <c r="N833" t="s">
        <v>42</v>
      </c>
      <c r="O833">
        <v>4</v>
      </c>
      <c r="P833">
        <v>4</v>
      </c>
      <c r="Q833">
        <v>3</v>
      </c>
      <c r="R833" t="s">
        <v>61</v>
      </c>
      <c r="S833">
        <v>0</v>
      </c>
      <c r="T833" s="1">
        <v>7</v>
      </c>
      <c r="U833" t="s">
        <v>62</v>
      </c>
    </row>
    <row r="834" spans="1:21" x14ac:dyDescent="0.35">
      <c r="A834" t="s">
        <v>34</v>
      </c>
      <c r="B834">
        <v>16</v>
      </c>
      <c r="C834" t="s">
        <v>52</v>
      </c>
      <c r="D834" t="s">
        <v>36</v>
      </c>
      <c r="E834" t="s">
        <v>44</v>
      </c>
      <c r="F834" t="s">
        <v>45</v>
      </c>
      <c r="G834" t="s">
        <v>45</v>
      </c>
      <c r="H834">
        <v>1</v>
      </c>
      <c r="I834">
        <v>0</v>
      </c>
      <c r="J834" t="s">
        <v>43</v>
      </c>
      <c r="K834" t="s">
        <v>42</v>
      </c>
      <c r="L834" t="s">
        <v>43</v>
      </c>
      <c r="M834" t="s">
        <v>42</v>
      </c>
      <c r="N834" t="s">
        <v>43</v>
      </c>
      <c r="O834">
        <v>3</v>
      </c>
      <c r="P834">
        <v>2</v>
      </c>
      <c r="Q834">
        <v>3</v>
      </c>
      <c r="R834" t="s">
        <v>61</v>
      </c>
      <c r="S834">
        <v>1</v>
      </c>
      <c r="T834" s="1">
        <v>11.666666666666666</v>
      </c>
      <c r="U834" t="s">
        <v>62</v>
      </c>
    </row>
    <row r="835" spans="1:21" x14ac:dyDescent="0.35">
      <c r="A835" t="s">
        <v>34</v>
      </c>
      <c r="B835">
        <v>17</v>
      </c>
      <c r="C835" t="s">
        <v>52</v>
      </c>
      <c r="D835" t="s">
        <v>36</v>
      </c>
      <c r="E835" t="s">
        <v>44</v>
      </c>
      <c r="F835" t="s">
        <v>45</v>
      </c>
      <c r="G835" t="s">
        <v>45</v>
      </c>
      <c r="H835">
        <v>1</v>
      </c>
      <c r="I835">
        <v>0</v>
      </c>
      <c r="J835" t="s">
        <v>43</v>
      </c>
      <c r="K835" t="s">
        <v>42</v>
      </c>
      <c r="L835" t="s">
        <v>43</v>
      </c>
      <c r="M835" t="s">
        <v>43</v>
      </c>
      <c r="N835" t="s">
        <v>43</v>
      </c>
      <c r="O835">
        <v>5</v>
      </c>
      <c r="P835">
        <v>5</v>
      </c>
      <c r="Q835">
        <v>5</v>
      </c>
      <c r="R835" t="s">
        <v>61</v>
      </c>
      <c r="S835">
        <v>0</v>
      </c>
      <c r="T835" s="1">
        <v>11</v>
      </c>
      <c r="U835" t="s">
        <v>62</v>
      </c>
    </row>
    <row r="836" spans="1:21" x14ac:dyDescent="0.35">
      <c r="A836" t="s">
        <v>34</v>
      </c>
      <c r="B836">
        <v>15</v>
      </c>
      <c r="C836" t="s">
        <v>52</v>
      </c>
      <c r="D836" t="s">
        <v>36</v>
      </c>
      <c r="E836" t="s">
        <v>44</v>
      </c>
      <c r="F836" t="s">
        <v>45</v>
      </c>
      <c r="G836" t="s">
        <v>48</v>
      </c>
      <c r="H836">
        <v>1</v>
      </c>
      <c r="I836">
        <v>0</v>
      </c>
      <c r="J836" t="s">
        <v>43</v>
      </c>
      <c r="K836" t="s">
        <v>43</v>
      </c>
      <c r="L836" t="s">
        <v>43</v>
      </c>
      <c r="M836" t="s">
        <v>43</v>
      </c>
      <c r="N836" t="s">
        <v>43</v>
      </c>
      <c r="O836">
        <v>4</v>
      </c>
      <c r="P836">
        <v>1</v>
      </c>
      <c r="Q836">
        <v>3</v>
      </c>
      <c r="R836" t="s">
        <v>61</v>
      </c>
      <c r="S836">
        <v>0</v>
      </c>
      <c r="T836" s="1">
        <v>15.333333333333334</v>
      </c>
      <c r="U836" t="s">
        <v>61</v>
      </c>
    </row>
    <row r="837" spans="1:21" x14ac:dyDescent="0.35">
      <c r="A837" t="s">
        <v>50</v>
      </c>
      <c r="B837">
        <v>16</v>
      </c>
      <c r="C837" t="s">
        <v>35</v>
      </c>
      <c r="D837" t="s">
        <v>36</v>
      </c>
      <c r="E837" t="s">
        <v>44</v>
      </c>
      <c r="F837" t="s">
        <v>38</v>
      </c>
      <c r="G837" t="s">
        <v>48</v>
      </c>
      <c r="H837">
        <v>2</v>
      </c>
      <c r="I837">
        <v>0</v>
      </c>
      <c r="J837" t="s">
        <v>43</v>
      </c>
      <c r="K837" t="s">
        <v>42</v>
      </c>
      <c r="L837" t="s">
        <v>43</v>
      </c>
      <c r="M837" t="s">
        <v>42</v>
      </c>
      <c r="N837" t="s">
        <v>42</v>
      </c>
      <c r="O837">
        <v>5</v>
      </c>
      <c r="P837">
        <v>4</v>
      </c>
      <c r="Q837">
        <v>5</v>
      </c>
      <c r="R837" t="s">
        <v>61</v>
      </c>
      <c r="S837">
        <v>1</v>
      </c>
      <c r="T837" s="1">
        <v>2.3333333333333335</v>
      </c>
      <c r="U837" t="s">
        <v>63</v>
      </c>
    </row>
    <row r="838" spans="1:21" x14ac:dyDescent="0.35">
      <c r="A838" t="s">
        <v>50</v>
      </c>
      <c r="B838">
        <v>17</v>
      </c>
      <c r="C838" t="s">
        <v>35</v>
      </c>
      <c r="D838" t="s">
        <v>36</v>
      </c>
      <c r="E838" t="s">
        <v>44</v>
      </c>
      <c r="F838" t="s">
        <v>45</v>
      </c>
      <c r="G838" t="s">
        <v>45</v>
      </c>
      <c r="H838">
        <v>2</v>
      </c>
      <c r="I838">
        <v>0</v>
      </c>
      <c r="J838" t="s">
        <v>43</v>
      </c>
      <c r="K838" t="s">
        <v>43</v>
      </c>
      <c r="L838" t="s">
        <v>42</v>
      </c>
      <c r="M838" t="s">
        <v>43</v>
      </c>
      <c r="N838" t="s">
        <v>43</v>
      </c>
      <c r="O838">
        <v>4</v>
      </c>
      <c r="P838">
        <v>4</v>
      </c>
      <c r="Q838">
        <v>3</v>
      </c>
      <c r="R838" t="s">
        <v>61</v>
      </c>
      <c r="S838">
        <v>0</v>
      </c>
      <c r="T838" s="1">
        <v>8.6666666666666661</v>
      </c>
      <c r="U838" t="s">
        <v>63</v>
      </c>
    </row>
    <row r="839" spans="1:21" x14ac:dyDescent="0.35">
      <c r="A839" t="s">
        <v>50</v>
      </c>
      <c r="B839">
        <v>15</v>
      </c>
      <c r="C839" t="s">
        <v>52</v>
      </c>
      <c r="D839" t="s">
        <v>47</v>
      </c>
      <c r="E839" t="s">
        <v>44</v>
      </c>
      <c r="F839" t="s">
        <v>28</v>
      </c>
      <c r="G839" t="s">
        <v>48</v>
      </c>
      <c r="H839">
        <v>2</v>
      </c>
      <c r="I839">
        <v>0</v>
      </c>
      <c r="J839" t="s">
        <v>43</v>
      </c>
      <c r="K839" t="s">
        <v>42</v>
      </c>
      <c r="L839" t="s">
        <v>43</v>
      </c>
      <c r="M839" t="s">
        <v>42</v>
      </c>
      <c r="N839" t="s">
        <v>43</v>
      </c>
      <c r="O839">
        <v>5</v>
      </c>
      <c r="P839">
        <v>3</v>
      </c>
      <c r="Q839">
        <v>4</v>
      </c>
      <c r="R839" t="s">
        <v>61</v>
      </c>
      <c r="S839">
        <v>0</v>
      </c>
      <c r="T839" s="1">
        <v>13</v>
      </c>
      <c r="U839" t="s">
        <v>62</v>
      </c>
    </row>
    <row r="840" spans="1:21" x14ac:dyDescent="0.35">
      <c r="A840" t="s">
        <v>50</v>
      </c>
      <c r="B840">
        <v>15</v>
      </c>
      <c r="C840" t="s">
        <v>52</v>
      </c>
      <c r="D840" t="s">
        <v>47</v>
      </c>
      <c r="E840" t="s">
        <v>44</v>
      </c>
      <c r="F840" t="s">
        <v>28</v>
      </c>
      <c r="G840" t="s">
        <v>48</v>
      </c>
      <c r="H840">
        <v>2</v>
      </c>
      <c r="I840">
        <v>0</v>
      </c>
      <c r="J840" t="s">
        <v>43</v>
      </c>
      <c r="K840" t="s">
        <v>42</v>
      </c>
      <c r="L840" t="s">
        <v>43</v>
      </c>
      <c r="M840" t="s">
        <v>42</v>
      </c>
      <c r="N840" t="s">
        <v>43</v>
      </c>
      <c r="O840">
        <v>5</v>
      </c>
      <c r="P840">
        <v>3</v>
      </c>
      <c r="Q840">
        <v>4</v>
      </c>
      <c r="R840" t="s">
        <v>62</v>
      </c>
      <c r="S840">
        <v>1</v>
      </c>
      <c r="T840" s="1">
        <v>8</v>
      </c>
      <c r="U840" t="s">
        <v>62</v>
      </c>
    </row>
    <row r="841" spans="1:21" x14ac:dyDescent="0.35">
      <c r="A841" t="s">
        <v>50</v>
      </c>
      <c r="B841">
        <v>16</v>
      </c>
      <c r="C841" t="s">
        <v>52</v>
      </c>
      <c r="D841" t="s">
        <v>36</v>
      </c>
      <c r="E841" t="s">
        <v>44</v>
      </c>
      <c r="F841" t="s">
        <v>45</v>
      </c>
      <c r="G841" t="s">
        <v>28</v>
      </c>
      <c r="H841">
        <v>2</v>
      </c>
      <c r="I841">
        <v>0</v>
      </c>
      <c r="J841" t="s">
        <v>43</v>
      </c>
      <c r="K841" t="s">
        <v>43</v>
      </c>
      <c r="L841" t="s">
        <v>43</v>
      </c>
      <c r="M841" t="s">
        <v>43</v>
      </c>
      <c r="N841" t="s">
        <v>43</v>
      </c>
      <c r="O841">
        <v>3</v>
      </c>
      <c r="P841">
        <v>4</v>
      </c>
      <c r="Q841">
        <v>5</v>
      </c>
      <c r="R841" t="s">
        <v>61</v>
      </c>
      <c r="S841">
        <v>0</v>
      </c>
      <c r="T841" s="1">
        <v>10</v>
      </c>
      <c r="U841" t="s">
        <v>62</v>
      </c>
    </row>
    <row r="842" spans="1:21" x14ac:dyDescent="0.35">
      <c r="A842" t="s">
        <v>50</v>
      </c>
      <c r="B842">
        <v>15</v>
      </c>
      <c r="C842" t="s">
        <v>52</v>
      </c>
      <c r="D842" t="s">
        <v>36</v>
      </c>
      <c r="E842" t="s">
        <v>44</v>
      </c>
      <c r="F842" t="s">
        <v>45</v>
      </c>
      <c r="G842" t="s">
        <v>45</v>
      </c>
      <c r="H842">
        <v>2</v>
      </c>
      <c r="I842">
        <v>0</v>
      </c>
      <c r="J842" t="s">
        <v>43</v>
      </c>
      <c r="K842" t="s">
        <v>42</v>
      </c>
      <c r="L842" t="s">
        <v>43</v>
      </c>
      <c r="M842" t="s">
        <v>42</v>
      </c>
      <c r="N842" t="s">
        <v>42</v>
      </c>
      <c r="O842">
        <v>5</v>
      </c>
      <c r="P842">
        <v>4</v>
      </c>
      <c r="Q842">
        <v>5</v>
      </c>
      <c r="R842" t="s">
        <v>62</v>
      </c>
      <c r="S842">
        <v>0</v>
      </c>
      <c r="T842" s="1">
        <v>8.3333333333333339</v>
      </c>
      <c r="U842" t="s">
        <v>63</v>
      </c>
    </row>
    <row r="843" spans="1:21" x14ac:dyDescent="0.35">
      <c r="A843" t="s">
        <v>50</v>
      </c>
      <c r="B843">
        <v>15</v>
      </c>
      <c r="C843" t="s">
        <v>35</v>
      </c>
      <c r="D843" t="s">
        <v>47</v>
      </c>
      <c r="E843" t="s">
        <v>44</v>
      </c>
      <c r="F843" t="s">
        <v>38</v>
      </c>
      <c r="G843" t="s">
        <v>38</v>
      </c>
      <c r="H843">
        <v>2</v>
      </c>
      <c r="I843">
        <v>0</v>
      </c>
      <c r="J843" t="s">
        <v>43</v>
      </c>
      <c r="K843" t="s">
        <v>42</v>
      </c>
      <c r="L843" t="s">
        <v>43</v>
      </c>
      <c r="M843" t="s">
        <v>42</v>
      </c>
      <c r="N843" t="s">
        <v>43</v>
      </c>
      <c r="O843">
        <v>5</v>
      </c>
      <c r="P843">
        <v>3</v>
      </c>
      <c r="Q843">
        <v>3</v>
      </c>
      <c r="R843" t="s">
        <v>61</v>
      </c>
      <c r="S843">
        <v>0</v>
      </c>
      <c r="T843" s="1">
        <v>11</v>
      </c>
      <c r="U843" t="s">
        <v>61</v>
      </c>
    </row>
    <row r="844" spans="1:21" x14ac:dyDescent="0.35">
      <c r="A844" t="s">
        <v>50</v>
      </c>
      <c r="B844">
        <v>17</v>
      </c>
      <c r="C844" t="s">
        <v>52</v>
      </c>
      <c r="D844" t="s">
        <v>36</v>
      </c>
      <c r="E844" t="s">
        <v>44</v>
      </c>
      <c r="F844" t="s">
        <v>45</v>
      </c>
      <c r="G844" t="s">
        <v>45</v>
      </c>
      <c r="H844">
        <v>1</v>
      </c>
      <c r="I844">
        <v>0</v>
      </c>
      <c r="J844" t="s">
        <v>43</v>
      </c>
      <c r="K844" t="s">
        <v>43</v>
      </c>
      <c r="L844" t="s">
        <v>43</v>
      </c>
      <c r="M844" t="s">
        <v>42</v>
      </c>
      <c r="N844" t="s">
        <v>42</v>
      </c>
      <c r="O844">
        <v>5</v>
      </c>
      <c r="P844">
        <v>5</v>
      </c>
      <c r="Q844">
        <v>5</v>
      </c>
      <c r="R844" t="s">
        <v>62</v>
      </c>
      <c r="S844">
        <v>1</v>
      </c>
      <c r="T844" s="1">
        <v>9</v>
      </c>
      <c r="U844" t="s">
        <v>63</v>
      </c>
    </row>
    <row r="845" spans="1:21" x14ac:dyDescent="0.35">
      <c r="A845" t="s">
        <v>34</v>
      </c>
      <c r="B845">
        <v>16</v>
      </c>
      <c r="C845" t="s">
        <v>52</v>
      </c>
      <c r="D845" t="s">
        <v>36</v>
      </c>
      <c r="E845" t="s">
        <v>44</v>
      </c>
      <c r="F845" t="s">
        <v>39</v>
      </c>
      <c r="G845" t="s">
        <v>39</v>
      </c>
      <c r="H845">
        <v>3</v>
      </c>
      <c r="I845">
        <v>0</v>
      </c>
      <c r="J845" t="s">
        <v>43</v>
      </c>
      <c r="K845" t="s">
        <v>43</v>
      </c>
      <c r="L845" t="s">
        <v>43</v>
      </c>
      <c r="M845" t="s">
        <v>42</v>
      </c>
      <c r="N845" t="s">
        <v>42</v>
      </c>
      <c r="O845">
        <v>4</v>
      </c>
      <c r="P845">
        <v>2</v>
      </c>
      <c r="Q845">
        <v>2</v>
      </c>
      <c r="R845" t="s">
        <v>62</v>
      </c>
      <c r="S845">
        <v>0</v>
      </c>
      <c r="T845" s="1">
        <v>16.333333333333332</v>
      </c>
      <c r="U845" t="s">
        <v>61</v>
      </c>
    </row>
    <row r="846" spans="1:21" x14ac:dyDescent="0.35">
      <c r="A846" t="s">
        <v>34</v>
      </c>
      <c r="B846">
        <v>15</v>
      </c>
      <c r="C846" t="s">
        <v>52</v>
      </c>
      <c r="D846" t="s">
        <v>36</v>
      </c>
      <c r="E846" t="s">
        <v>44</v>
      </c>
      <c r="F846" t="s">
        <v>45</v>
      </c>
      <c r="G846" t="s">
        <v>48</v>
      </c>
      <c r="H846">
        <v>1</v>
      </c>
      <c r="I846">
        <v>0</v>
      </c>
      <c r="J846" t="s">
        <v>43</v>
      </c>
      <c r="K846" t="s">
        <v>43</v>
      </c>
      <c r="L846" t="s">
        <v>43</v>
      </c>
      <c r="M846" t="s">
        <v>43</v>
      </c>
      <c r="N846" t="s">
        <v>43</v>
      </c>
      <c r="O846">
        <v>5</v>
      </c>
      <c r="P846">
        <v>1</v>
      </c>
      <c r="Q846">
        <v>2</v>
      </c>
      <c r="R846" t="s">
        <v>61</v>
      </c>
      <c r="S846">
        <v>0</v>
      </c>
      <c r="T846" s="1">
        <v>12.333333333333334</v>
      </c>
      <c r="U846" t="s">
        <v>61</v>
      </c>
    </row>
    <row r="847" spans="1:21" x14ac:dyDescent="0.35">
      <c r="A847" t="s">
        <v>34</v>
      </c>
      <c r="B847">
        <v>16</v>
      </c>
      <c r="C847" t="s">
        <v>52</v>
      </c>
      <c r="D847" t="s">
        <v>36</v>
      </c>
      <c r="E847" t="s">
        <v>44</v>
      </c>
      <c r="F847" t="s">
        <v>45</v>
      </c>
      <c r="G847" t="s">
        <v>48</v>
      </c>
      <c r="H847">
        <v>2</v>
      </c>
      <c r="I847">
        <v>0</v>
      </c>
      <c r="J847" t="s">
        <v>43</v>
      </c>
      <c r="K847" t="s">
        <v>42</v>
      </c>
      <c r="L847" t="s">
        <v>43</v>
      </c>
      <c r="M847" t="s">
        <v>43</v>
      </c>
      <c r="N847" t="s">
        <v>43</v>
      </c>
      <c r="O847">
        <v>4</v>
      </c>
      <c r="P847">
        <v>5</v>
      </c>
      <c r="Q847">
        <v>4</v>
      </c>
      <c r="R847" t="s">
        <v>61</v>
      </c>
      <c r="S847">
        <v>0</v>
      </c>
      <c r="T847" s="1">
        <v>15</v>
      </c>
      <c r="U847" t="s">
        <v>62</v>
      </c>
    </row>
    <row r="848" spans="1:21" x14ac:dyDescent="0.35">
      <c r="A848" t="s">
        <v>50</v>
      </c>
      <c r="B848">
        <v>16</v>
      </c>
      <c r="C848" t="s">
        <v>52</v>
      </c>
      <c r="D848" t="s">
        <v>36</v>
      </c>
      <c r="E848" t="s">
        <v>44</v>
      </c>
      <c r="F848" t="s">
        <v>45</v>
      </c>
      <c r="G848" t="s">
        <v>45</v>
      </c>
      <c r="H848">
        <v>2</v>
      </c>
      <c r="I848">
        <v>0</v>
      </c>
      <c r="J848" t="s">
        <v>43</v>
      </c>
      <c r="K848" t="s">
        <v>43</v>
      </c>
      <c r="L848" t="s">
        <v>43</v>
      </c>
      <c r="M848" t="s">
        <v>43</v>
      </c>
      <c r="N848" t="s">
        <v>43</v>
      </c>
      <c r="O848">
        <v>4</v>
      </c>
      <c r="P848">
        <v>3</v>
      </c>
      <c r="Q848">
        <v>3</v>
      </c>
      <c r="R848" t="s">
        <v>61</v>
      </c>
      <c r="S848">
        <v>0</v>
      </c>
      <c r="T848" s="1">
        <v>10.666666666666666</v>
      </c>
      <c r="U848" t="s">
        <v>61</v>
      </c>
    </row>
    <row r="849" spans="1:21" x14ac:dyDescent="0.35">
      <c r="A849" t="s">
        <v>34</v>
      </c>
      <c r="B849">
        <v>16</v>
      </c>
      <c r="C849" t="s">
        <v>52</v>
      </c>
      <c r="D849" t="s">
        <v>36</v>
      </c>
      <c r="E849" t="s">
        <v>44</v>
      </c>
      <c r="F849" t="s">
        <v>45</v>
      </c>
      <c r="G849" t="s">
        <v>45</v>
      </c>
      <c r="H849">
        <v>2</v>
      </c>
      <c r="I849">
        <v>0</v>
      </c>
      <c r="J849" t="s">
        <v>43</v>
      </c>
      <c r="K849" t="s">
        <v>42</v>
      </c>
      <c r="L849" t="s">
        <v>43</v>
      </c>
      <c r="M849" t="s">
        <v>43</v>
      </c>
      <c r="N849" t="s">
        <v>43</v>
      </c>
      <c r="O849">
        <v>4</v>
      </c>
      <c r="P849">
        <v>4</v>
      </c>
      <c r="Q849">
        <v>5</v>
      </c>
      <c r="R849" t="s">
        <v>61</v>
      </c>
      <c r="S849">
        <v>0</v>
      </c>
      <c r="T849" s="1">
        <v>10</v>
      </c>
      <c r="U849" t="s">
        <v>61</v>
      </c>
    </row>
    <row r="850" spans="1:21" x14ac:dyDescent="0.35">
      <c r="A850" t="s">
        <v>34</v>
      </c>
      <c r="B850">
        <v>16</v>
      </c>
      <c r="C850" t="s">
        <v>35</v>
      </c>
      <c r="D850" t="s">
        <v>36</v>
      </c>
      <c r="E850" t="s">
        <v>44</v>
      </c>
      <c r="F850" t="s">
        <v>45</v>
      </c>
      <c r="G850" t="s">
        <v>48</v>
      </c>
      <c r="H850">
        <v>3</v>
      </c>
      <c r="I850">
        <v>1</v>
      </c>
      <c r="J850" t="s">
        <v>43</v>
      </c>
      <c r="K850" t="s">
        <v>42</v>
      </c>
      <c r="L850" t="s">
        <v>43</v>
      </c>
      <c r="M850" t="s">
        <v>43</v>
      </c>
      <c r="N850" t="s">
        <v>43</v>
      </c>
      <c r="O850">
        <v>1</v>
      </c>
      <c r="P850">
        <v>3</v>
      </c>
      <c r="Q850">
        <v>2</v>
      </c>
      <c r="R850" t="s">
        <v>61</v>
      </c>
      <c r="S850">
        <v>1</v>
      </c>
      <c r="T850" s="1">
        <v>8.6666666666666661</v>
      </c>
      <c r="U850" t="s">
        <v>62</v>
      </c>
    </row>
    <row r="851" spans="1:21" x14ac:dyDescent="0.35">
      <c r="A851" t="s">
        <v>34</v>
      </c>
      <c r="B851">
        <v>16</v>
      </c>
      <c r="C851" t="s">
        <v>35</v>
      </c>
      <c r="D851" t="s">
        <v>36</v>
      </c>
      <c r="E851" t="s">
        <v>44</v>
      </c>
      <c r="F851" t="s">
        <v>45</v>
      </c>
      <c r="G851" t="s">
        <v>48</v>
      </c>
      <c r="H851">
        <v>3</v>
      </c>
      <c r="I851">
        <v>1</v>
      </c>
      <c r="J851" t="s">
        <v>43</v>
      </c>
      <c r="K851" t="s">
        <v>42</v>
      </c>
      <c r="L851" t="s">
        <v>43</v>
      </c>
      <c r="M851" t="s">
        <v>43</v>
      </c>
      <c r="N851" t="s">
        <v>43</v>
      </c>
      <c r="O851">
        <v>1</v>
      </c>
      <c r="P851">
        <v>3</v>
      </c>
      <c r="Q851">
        <v>2</v>
      </c>
      <c r="R851" t="s">
        <v>61</v>
      </c>
      <c r="S851">
        <v>1</v>
      </c>
      <c r="T851" s="1">
        <v>8.3333333333333339</v>
      </c>
      <c r="U851" t="s">
        <v>62</v>
      </c>
    </row>
    <row r="852" spans="1:21" x14ac:dyDescent="0.35">
      <c r="A852" t="s">
        <v>34</v>
      </c>
      <c r="B852">
        <v>15</v>
      </c>
      <c r="C852" t="s">
        <v>35</v>
      </c>
      <c r="D852" t="s">
        <v>36</v>
      </c>
      <c r="E852" t="s">
        <v>44</v>
      </c>
      <c r="F852" t="s">
        <v>38</v>
      </c>
      <c r="G852" t="s">
        <v>45</v>
      </c>
      <c r="H852">
        <v>2</v>
      </c>
      <c r="I852">
        <v>0</v>
      </c>
      <c r="J852" t="s">
        <v>42</v>
      </c>
      <c r="K852" t="s">
        <v>42</v>
      </c>
      <c r="L852" t="s">
        <v>43</v>
      </c>
      <c r="M852" t="s">
        <v>43</v>
      </c>
      <c r="N852" t="s">
        <v>43</v>
      </c>
      <c r="O852">
        <v>4</v>
      </c>
      <c r="P852">
        <v>4</v>
      </c>
      <c r="Q852">
        <v>2</v>
      </c>
      <c r="R852" t="s">
        <v>61</v>
      </c>
      <c r="S852">
        <v>1</v>
      </c>
      <c r="T852" s="1">
        <v>9.3333333333333339</v>
      </c>
      <c r="U852" t="s">
        <v>63</v>
      </c>
    </row>
    <row r="853" spans="1:21" x14ac:dyDescent="0.35">
      <c r="A853" t="s">
        <v>34</v>
      </c>
      <c r="B853">
        <v>16</v>
      </c>
      <c r="C853" t="s">
        <v>35</v>
      </c>
      <c r="D853" t="s">
        <v>36</v>
      </c>
      <c r="E853" t="s">
        <v>44</v>
      </c>
      <c r="F853" t="s">
        <v>38</v>
      </c>
      <c r="G853" t="s">
        <v>45</v>
      </c>
      <c r="H853">
        <v>2</v>
      </c>
      <c r="I853">
        <v>0</v>
      </c>
      <c r="J853" t="s">
        <v>43</v>
      </c>
      <c r="K853" t="s">
        <v>42</v>
      </c>
      <c r="L853" t="s">
        <v>43</v>
      </c>
      <c r="M853" t="s">
        <v>43</v>
      </c>
      <c r="N853" t="s">
        <v>42</v>
      </c>
      <c r="O853">
        <v>5</v>
      </c>
      <c r="P853">
        <v>4</v>
      </c>
      <c r="Q853">
        <v>3</v>
      </c>
      <c r="R853" t="s">
        <v>61</v>
      </c>
      <c r="S853">
        <v>0</v>
      </c>
      <c r="T853" s="1">
        <v>14</v>
      </c>
      <c r="U853" t="s">
        <v>62</v>
      </c>
    </row>
    <row r="854" spans="1:21" x14ac:dyDescent="0.35">
      <c r="A854" t="s">
        <v>50</v>
      </c>
      <c r="B854">
        <v>17</v>
      </c>
      <c r="C854" t="s">
        <v>52</v>
      </c>
      <c r="D854" t="s">
        <v>47</v>
      </c>
      <c r="E854" t="s">
        <v>44</v>
      </c>
      <c r="F854" t="s">
        <v>38</v>
      </c>
      <c r="G854" t="s">
        <v>48</v>
      </c>
      <c r="H854">
        <v>1</v>
      </c>
      <c r="I854">
        <v>0</v>
      </c>
      <c r="J854" t="s">
        <v>43</v>
      </c>
      <c r="K854" t="s">
        <v>42</v>
      </c>
      <c r="L854" t="s">
        <v>43</v>
      </c>
      <c r="M854" t="s">
        <v>42</v>
      </c>
      <c r="N854" t="s">
        <v>43</v>
      </c>
      <c r="O854">
        <v>5</v>
      </c>
      <c r="P854">
        <v>5</v>
      </c>
      <c r="Q854">
        <v>5</v>
      </c>
      <c r="R854" t="s">
        <v>61</v>
      </c>
      <c r="S854">
        <v>0</v>
      </c>
      <c r="T854" s="1">
        <v>10.666666666666666</v>
      </c>
      <c r="U854" t="s">
        <v>63</v>
      </c>
    </row>
    <row r="855" spans="1:21" x14ac:dyDescent="0.35">
      <c r="A855" t="s">
        <v>34</v>
      </c>
      <c r="B855">
        <v>16</v>
      </c>
      <c r="C855" t="s">
        <v>52</v>
      </c>
      <c r="D855" t="s">
        <v>36</v>
      </c>
      <c r="E855" t="s">
        <v>44</v>
      </c>
      <c r="F855" t="s">
        <v>45</v>
      </c>
      <c r="G855" t="s">
        <v>45</v>
      </c>
      <c r="H855">
        <v>4</v>
      </c>
      <c r="I855">
        <v>0</v>
      </c>
      <c r="J855" t="s">
        <v>43</v>
      </c>
      <c r="K855" t="s">
        <v>42</v>
      </c>
      <c r="L855" t="s">
        <v>43</v>
      </c>
      <c r="M855" t="s">
        <v>43</v>
      </c>
      <c r="N855" t="s">
        <v>43</v>
      </c>
      <c r="O855">
        <v>4</v>
      </c>
      <c r="P855">
        <v>3</v>
      </c>
      <c r="Q855">
        <v>2</v>
      </c>
      <c r="R855" t="s">
        <v>61</v>
      </c>
      <c r="S855">
        <v>1</v>
      </c>
      <c r="T855" s="1">
        <v>12</v>
      </c>
      <c r="U855" t="s">
        <v>61</v>
      </c>
    </row>
    <row r="856" spans="1:21" x14ac:dyDescent="0.35">
      <c r="A856" t="s">
        <v>34</v>
      </c>
      <c r="B856">
        <v>16</v>
      </c>
      <c r="C856" t="s">
        <v>52</v>
      </c>
      <c r="D856" t="s">
        <v>36</v>
      </c>
      <c r="E856" t="s">
        <v>44</v>
      </c>
      <c r="F856" t="s">
        <v>38</v>
      </c>
      <c r="G856" t="s">
        <v>45</v>
      </c>
      <c r="H856">
        <v>3</v>
      </c>
      <c r="I856">
        <v>0</v>
      </c>
      <c r="J856" t="s">
        <v>42</v>
      </c>
      <c r="K856" t="s">
        <v>42</v>
      </c>
      <c r="L856" t="s">
        <v>43</v>
      </c>
      <c r="M856" t="s">
        <v>43</v>
      </c>
      <c r="N856" t="s">
        <v>43</v>
      </c>
      <c r="O856">
        <v>4</v>
      </c>
      <c r="P856">
        <v>4</v>
      </c>
      <c r="Q856">
        <v>3</v>
      </c>
      <c r="R856" t="s">
        <v>61</v>
      </c>
      <c r="S856">
        <v>1</v>
      </c>
      <c r="T856" s="1">
        <v>9.6666666666666661</v>
      </c>
      <c r="U856" t="s">
        <v>61</v>
      </c>
    </row>
    <row r="857" spans="1:21" x14ac:dyDescent="0.35">
      <c r="A857" t="s">
        <v>34</v>
      </c>
      <c r="B857">
        <v>15</v>
      </c>
      <c r="C857" t="s">
        <v>52</v>
      </c>
      <c r="D857" t="s">
        <v>36</v>
      </c>
      <c r="E857" t="s">
        <v>44</v>
      </c>
      <c r="F857" t="s">
        <v>38</v>
      </c>
      <c r="G857" t="s">
        <v>45</v>
      </c>
      <c r="H857">
        <v>2</v>
      </c>
      <c r="I857">
        <v>0</v>
      </c>
      <c r="J857" t="s">
        <v>43</v>
      </c>
      <c r="K857" t="s">
        <v>42</v>
      </c>
      <c r="L857" t="s">
        <v>43</v>
      </c>
      <c r="M857" t="s">
        <v>42</v>
      </c>
      <c r="N857" t="s">
        <v>43</v>
      </c>
      <c r="O857">
        <v>4</v>
      </c>
      <c r="P857">
        <v>3</v>
      </c>
      <c r="Q857">
        <v>3</v>
      </c>
      <c r="R857" t="s">
        <v>61</v>
      </c>
      <c r="S857">
        <v>1</v>
      </c>
      <c r="T857" s="1">
        <v>10.666666666666666</v>
      </c>
      <c r="U857" t="s">
        <v>61</v>
      </c>
    </row>
    <row r="858" spans="1:21" x14ac:dyDescent="0.35">
      <c r="A858" t="s">
        <v>34</v>
      </c>
      <c r="B858">
        <v>16</v>
      </c>
      <c r="C858" t="s">
        <v>52</v>
      </c>
      <c r="D858" t="s">
        <v>36</v>
      </c>
      <c r="E858" t="s">
        <v>44</v>
      </c>
      <c r="F858" t="s">
        <v>38</v>
      </c>
      <c r="G858" t="s">
        <v>45</v>
      </c>
      <c r="H858">
        <v>1</v>
      </c>
      <c r="I858">
        <v>0</v>
      </c>
      <c r="J858" t="s">
        <v>43</v>
      </c>
      <c r="K858" t="s">
        <v>43</v>
      </c>
      <c r="L858" t="s">
        <v>43</v>
      </c>
      <c r="M858" t="s">
        <v>42</v>
      </c>
      <c r="N858" t="s">
        <v>42</v>
      </c>
      <c r="O858">
        <v>4</v>
      </c>
      <c r="P858">
        <v>2</v>
      </c>
      <c r="Q858">
        <v>2</v>
      </c>
      <c r="R858" t="s">
        <v>61</v>
      </c>
      <c r="S858">
        <v>1</v>
      </c>
      <c r="T858" s="1">
        <v>13</v>
      </c>
      <c r="U858" t="s">
        <v>63</v>
      </c>
    </row>
    <row r="859" spans="1:21" x14ac:dyDescent="0.35">
      <c r="A859" t="s">
        <v>34</v>
      </c>
      <c r="B859">
        <v>15</v>
      </c>
      <c r="C859" t="s">
        <v>52</v>
      </c>
      <c r="D859" t="s">
        <v>36</v>
      </c>
      <c r="E859" t="s">
        <v>44</v>
      </c>
      <c r="F859" t="s">
        <v>38</v>
      </c>
      <c r="G859" t="s">
        <v>38</v>
      </c>
      <c r="H859">
        <v>2</v>
      </c>
      <c r="I859">
        <v>0</v>
      </c>
      <c r="J859" t="s">
        <v>43</v>
      </c>
      <c r="K859" t="s">
        <v>42</v>
      </c>
      <c r="L859" t="s">
        <v>43</v>
      </c>
      <c r="M859" t="s">
        <v>43</v>
      </c>
      <c r="N859" t="s">
        <v>43</v>
      </c>
      <c r="O859">
        <v>4</v>
      </c>
      <c r="P859">
        <v>2</v>
      </c>
      <c r="Q859">
        <v>1</v>
      </c>
      <c r="R859" t="s">
        <v>61</v>
      </c>
      <c r="S859">
        <v>0</v>
      </c>
      <c r="T859" s="1">
        <v>13.666666666666666</v>
      </c>
      <c r="U859" t="s">
        <v>62</v>
      </c>
    </row>
    <row r="860" spans="1:21" x14ac:dyDescent="0.35">
      <c r="A860" t="s">
        <v>34</v>
      </c>
      <c r="B860">
        <v>15</v>
      </c>
      <c r="C860" t="s">
        <v>52</v>
      </c>
      <c r="D860" t="s">
        <v>47</v>
      </c>
      <c r="E860" t="s">
        <v>44</v>
      </c>
      <c r="F860" t="s">
        <v>45</v>
      </c>
      <c r="G860" t="s">
        <v>45</v>
      </c>
      <c r="H860">
        <v>3</v>
      </c>
      <c r="I860">
        <v>0</v>
      </c>
      <c r="J860" t="s">
        <v>42</v>
      </c>
      <c r="K860" t="s">
        <v>42</v>
      </c>
      <c r="L860" t="s">
        <v>43</v>
      </c>
      <c r="M860" t="s">
        <v>43</v>
      </c>
      <c r="N860" t="s">
        <v>43</v>
      </c>
      <c r="O860">
        <v>4</v>
      </c>
      <c r="P860">
        <v>4</v>
      </c>
      <c r="Q860">
        <v>3</v>
      </c>
      <c r="R860" t="s">
        <v>61</v>
      </c>
      <c r="S860">
        <v>1</v>
      </c>
      <c r="T860" s="1">
        <v>12.333333333333334</v>
      </c>
      <c r="U860" t="s">
        <v>62</v>
      </c>
    </row>
    <row r="861" spans="1:21" x14ac:dyDescent="0.35">
      <c r="A861" t="s">
        <v>50</v>
      </c>
      <c r="B861">
        <v>16</v>
      </c>
      <c r="C861" t="s">
        <v>52</v>
      </c>
      <c r="D861" t="s">
        <v>36</v>
      </c>
      <c r="E861" t="s">
        <v>44</v>
      </c>
      <c r="F861" t="s">
        <v>38</v>
      </c>
      <c r="G861" t="s">
        <v>45</v>
      </c>
      <c r="H861">
        <v>1</v>
      </c>
      <c r="I861">
        <v>0</v>
      </c>
      <c r="J861" t="s">
        <v>43</v>
      </c>
      <c r="K861" t="s">
        <v>43</v>
      </c>
      <c r="L861" t="s">
        <v>43</v>
      </c>
      <c r="M861" t="s">
        <v>42</v>
      </c>
      <c r="N861" t="s">
        <v>43</v>
      </c>
      <c r="O861">
        <v>3</v>
      </c>
      <c r="P861">
        <v>4</v>
      </c>
      <c r="Q861">
        <v>4</v>
      </c>
      <c r="R861" t="s">
        <v>62</v>
      </c>
      <c r="S861">
        <v>0</v>
      </c>
      <c r="T861" s="1">
        <v>11</v>
      </c>
      <c r="U861" t="s">
        <v>63</v>
      </c>
    </row>
    <row r="862" spans="1:21" x14ac:dyDescent="0.35">
      <c r="A862" t="s">
        <v>34</v>
      </c>
      <c r="B862">
        <v>18</v>
      </c>
      <c r="C862" t="s">
        <v>35</v>
      </c>
      <c r="D862" t="s">
        <v>36</v>
      </c>
      <c r="E862" t="s">
        <v>44</v>
      </c>
      <c r="F862" t="s">
        <v>45</v>
      </c>
      <c r="G862" t="s">
        <v>45</v>
      </c>
      <c r="H862">
        <v>2</v>
      </c>
      <c r="I862">
        <v>1</v>
      </c>
      <c r="J862" t="s">
        <v>43</v>
      </c>
      <c r="K862" t="s">
        <v>42</v>
      </c>
      <c r="L862" t="s">
        <v>43</v>
      </c>
      <c r="M862" t="s">
        <v>42</v>
      </c>
      <c r="N862" t="s">
        <v>42</v>
      </c>
      <c r="O862">
        <v>3</v>
      </c>
      <c r="P862">
        <v>4</v>
      </c>
      <c r="Q862">
        <v>4</v>
      </c>
      <c r="R862" t="s">
        <v>62</v>
      </c>
      <c r="S862">
        <v>1</v>
      </c>
      <c r="T862" s="1">
        <v>8.3333333333333339</v>
      </c>
      <c r="U862" t="s">
        <v>63</v>
      </c>
    </row>
    <row r="863" spans="1:21" x14ac:dyDescent="0.35">
      <c r="A863" t="s">
        <v>50</v>
      </c>
      <c r="B863">
        <v>15</v>
      </c>
      <c r="C863" t="s">
        <v>35</v>
      </c>
      <c r="D863" t="s">
        <v>36</v>
      </c>
      <c r="E863" t="s">
        <v>44</v>
      </c>
      <c r="F863" t="s">
        <v>45</v>
      </c>
      <c r="G863" t="s">
        <v>48</v>
      </c>
      <c r="H863">
        <v>1</v>
      </c>
      <c r="I863">
        <v>0</v>
      </c>
      <c r="J863" t="s">
        <v>43</v>
      </c>
      <c r="K863" t="s">
        <v>42</v>
      </c>
      <c r="L863" t="s">
        <v>43</v>
      </c>
      <c r="M863" t="s">
        <v>43</v>
      </c>
      <c r="N863" t="s">
        <v>43</v>
      </c>
      <c r="O863">
        <v>3</v>
      </c>
      <c r="P863">
        <v>2</v>
      </c>
      <c r="Q863">
        <v>3</v>
      </c>
      <c r="R863" t="s">
        <v>61</v>
      </c>
      <c r="S863">
        <v>1</v>
      </c>
      <c r="T863" s="1">
        <v>10</v>
      </c>
      <c r="U863" t="s">
        <v>62</v>
      </c>
    </row>
    <row r="864" spans="1:21" x14ac:dyDescent="0.35">
      <c r="A864" t="s">
        <v>34</v>
      </c>
      <c r="B864">
        <v>16</v>
      </c>
      <c r="C864" t="s">
        <v>52</v>
      </c>
      <c r="D864" t="s">
        <v>36</v>
      </c>
      <c r="E864" t="s">
        <v>44</v>
      </c>
      <c r="F864" t="s">
        <v>45</v>
      </c>
      <c r="G864" t="s">
        <v>48</v>
      </c>
      <c r="H864">
        <v>2</v>
      </c>
      <c r="I864">
        <v>0</v>
      </c>
      <c r="J864" t="s">
        <v>43</v>
      </c>
      <c r="K864" t="s">
        <v>42</v>
      </c>
      <c r="L864" t="s">
        <v>43</v>
      </c>
      <c r="M864" t="s">
        <v>42</v>
      </c>
      <c r="N864" t="s">
        <v>43</v>
      </c>
      <c r="O864">
        <v>5</v>
      </c>
      <c r="P864">
        <v>3</v>
      </c>
      <c r="Q864">
        <v>4</v>
      </c>
      <c r="R864" t="s">
        <v>61</v>
      </c>
      <c r="S864">
        <v>1</v>
      </c>
      <c r="T864" s="1">
        <v>13.666666666666666</v>
      </c>
      <c r="U864" t="s">
        <v>61</v>
      </c>
    </row>
    <row r="865" spans="1:21" x14ac:dyDescent="0.35">
      <c r="A865" t="s">
        <v>50</v>
      </c>
      <c r="B865">
        <v>15</v>
      </c>
      <c r="C865" t="s">
        <v>35</v>
      </c>
      <c r="D865" t="s">
        <v>36</v>
      </c>
      <c r="E865" t="s">
        <v>44</v>
      </c>
      <c r="F865" t="s">
        <v>28</v>
      </c>
      <c r="G865" t="s">
        <v>45</v>
      </c>
      <c r="H865">
        <v>1</v>
      </c>
      <c r="I865">
        <v>0</v>
      </c>
      <c r="J865" t="s">
        <v>43</v>
      </c>
      <c r="K865" t="s">
        <v>43</v>
      </c>
      <c r="L865" t="s">
        <v>43</v>
      </c>
      <c r="M865" t="s">
        <v>43</v>
      </c>
      <c r="N865" t="s">
        <v>43</v>
      </c>
      <c r="O865">
        <v>4</v>
      </c>
      <c r="P865">
        <v>3</v>
      </c>
      <c r="Q865">
        <v>3</v>
      </c>
      <c r="R865" t="s">
        <v>61</v>
      </c>
      <c r="S865">
        <v>1</v>
      </c>
      <c r="T865" s="1">
        <v>12.666666666666666</v>
      </c>
      <c r="U865" t="s">
        <v>62</v>
      </c>
    </row>
    <row r="866" spans="1:21" x14ac:dyDescent="0.35">
      <c r="A866" t="s">
        <v>50</v>
      </c>
      <c r="B866">
        <v>16</v>
      </c>
      <c r="C866" t="s">
        <v>35</v>
      </c>
      <c r="D866" t="s">
        <v>36</v>
      </c>
      <c r="E866" t="s">
        <v>44</v>
      </c>
      <c r="F866" t="s">
        <v>45</v>
      </c>
      <c r="G866" t="s">
        <v>39</v>
      </c>
      <c r="H866">
        <v>2</v>
      </c>
      <c r="I866">
        <v>0</v>
      </c>
      <c r="J866" t="s">
        <v>43</v>
      </c>
      <c r="K866" t="s">
        <v>42</v>
      </c>
      <c r="L866" t="s">
        <v>43</v>
      </c>
      <c r="M866" t="s">
        <v>42</v>
      </c>
      <c r="N866" t="s">
        <v>42</v>
      </c>
      <c r="O866">
        <v>4</v>
      </c>
      <c r="P866">
        <v>3</v>
      </c>
      <c r="Q866">
        <v>1</v>
      </c>
      <c r="R866" t="s">
        <v>61</v>
      </c>
      <c r="S866">
        <v>1</v>
      </c>
      <c r="T866" s="1">
        <v>12.666666666666666</v>
      </c>
      <c r="U866" t="s">
        <v>61</v>
      </c>
    </row>
    <row r="867" spans="1:21" x14ac:dyDescent="0.35">
      <c r="A867" t="s">
        <v>34</v>
      </c>
      <c r="B867">
        <v>15</v>
      </c>
      <c r="C867" t="s">
        <v>52</v>
      </c>
      <c r="D867" t="s">
        <v>36</v>
      </c>
      <c r="E867" t="s">
        <v>44</v>
      </c>
      <c r="F867" t="s">
        <v>48</v>
      </c>
      <c r="G867" t="s">
        <v>45</v>
      </c>
      <c r="H867">
        <v>2</v>
      </c>
      <c r="I867">
        <v>0</v>
      </c>
      <c r="J867" t="s">
        <v>43</v>
      </c>
      <c r="K867" t="s">
        <v>42</v>
      </c>
      <c r="L867" t="s">
        <v>43</v>
      </c>
      <c r="M867" t="s">
        <v>43</v>
      </c>
      <c r="N867" t="s">
        <v>42</v>
      </c>
      <c r="O867">
        <v>4</v>
      </c>
      <c r="P867">
        <v>5</v>
      </c>
      <c r="Q867">
        <v>4</v>
      </c>
      <c r="R867" t="s">
        <v>61</v>
      </c>
      <c r="S867">
        <v>1</v>
      </c>
      <c r="T867" s="1">
        <v>12.333333333333334</v>
      </c>
      <c r="U867" t="s">
        <v>61</v>
      </c>
    </row>
    <row r="868" spans="1:21" x14ac:dyDescent="0.35">
      <c r="A868" t="s">
        <v>34</v>
      </c>
      <c r="B868">
        <v>16</v>
      </c>
      <c r="C868" t="s">
        <v>52</v>
      </c>
      <c r="D868" t="s">
        <v>36</v>
      </c>
      <c r="E868" t="s">
        <v>44</v>
      </c>
      <c r="F868" t="s">
        <v>38</v>
      </c>
      <c r="G868" t="s">
        <v>45</v>
      </c>
      <c r="H868">
        <v>2</v>
      </c>
      <c r="I868">
        <v>1</v>
      </c>
      <c r="J868" t="s">
        <v>43</v>
      </c>
      <c r="K868" t="s">
        <v>42</v>
      </c>
      <c r="L868" t="s">
        <v>43</v>
      </c>
      <c r="M868" t="s">
        <v>42</v>
      </c>
      <c r="N868" t="s">
        <v>43</v>
      </c>
      <c r="O868">
        <v>4</v>
      </c>
      <c r="P868">
        <v>4</v>
      </c>
      <c r="Q868">
        <v>4</v>
      </c>
      <c r="R868" t="s">
        <v>61</v>
      </c>
      <c r="S868">
        <v>1</v>
      </c>
      <c r="T868" s="1">
        <v>11.666666666666666</v>
      </c>
      <c r="U868" t="s">
        <v>63</v>
      </c>
    </row>
    <row r="869" spans="1:21" x14ac:dyDescent="0.35">
      <c r="A869" t="s">
        <v>34</v>
      </c>
      <c r="B869">
        <v>16</v>
      </c>
      <c r="C869" t="s">
        <v>52</v>
      </c>
      <c r="D869" t="s">
        <v>47</v>
      </c>
      <c r="E869" t="s">
        <v>44</v>
      </c>
      <c r="F869" t="s">
        <v>45</v>
      </c>
      <c r="G869" t="s">
        <v>45</v>
      </c>
      <c r="H869">
        <v>1</v>
      </c>
      <c r="I869">
        <v>0</v>
      </c>
      <c r="J869" t="s">
        <v>43</v>
      </c>
      <c r="K869" t="s">
        <v>42</v>
      </c>
      <c r="L869" t="s">
        <v>43</v>
      </c>
      <c r="M869" t="s">
        <v>42</v>
      </c>
      <c r="N869" t="s">
        <v>42</v>
      </c>
      <c r="O869">
        <v>4</v>
      </c>
      <c r="P869">
        <v>3</v>
      </c>
      <c r="Q869">
        <v>2</v>
      </c>
      <c r="R869" t="s">
        <v>61</v>
      </c>
      <c r="S869">
        <v>0</v>
      </c>
      <c r="T869" s="1">
        <v>14.666666666666666</v>
      </c>
      <c r="U869" t="s">
        <v>61</v>
      </c>
    </row>
    <row r="870" spans="1:21" x14ac:dyDescent="0.35">
      <c r="A870" t="s">
        <v>50</v>
      </c>
      <c r="B870">
        <v>16</v>
      </c>
      <c r="C870" t="s">
        <v>35</v>
      </c>
      <c r="D870" t="s">
        <v>47</v>
      </c>
      <c r="E870" t="s">
        <v>44</v>
      </c>
      <c r="F870" t="s">
        <v>38</v>
      </c>
      <c r="G870" t="s">
        <v>48</v>
      </c>
      <c r="H870">
        <v>1</v>
      </c>
      <c r="I870">
        <v>0</v>
      </c>
      <c r="J870" t="s">
        <v>43</v>
      </c>
      <c r="K870" t="s">
        <v>42</v>
      </c>
      <c r="L870" t="s">
        <v>43</v>
      </c>
      <c r="M870" t="s">
        <v>42</v>
      </c>
      <c r="N870" t="s">
        <v>43</v>
      </c>
      <c r="O870">
        <v>2</v>
      </c>
      <c r="P870">
        <v>4</v>
      </c>
      <c r="Q870">
        <v>3</v>
      </c>
      <c r="R870" t="s">
        <v>61</v>
      </c>
      <c r="S870">
        <v>1</v>
      </c>
      <c r="T870" s="1">
        <v>9.3333333333333339</v>
      </c>
      <c r="U870" t="s">
        <v>63</v>
      </c>
    </row>
    <row r="871" spans="1:21" x14ac:dyDescent="0.35">
      <c r="A871" t="s">
        <v>50</v>
      </c>
      <c r="B871">
        <v>15</v>
      </c>
      <c r="C871" t="s">
        <v>52</v>
      </c>
      <c r="D871" t="s">
        <v>47</v>
      </c>
      <c r="E871" t="s">
        <v>44</v>
      </c>
      <c r="F871" t="s">
        <v>38</v>
      </c>
      <c r="G871" t="s">
        <v>45</v>
      </c>
      <c r="H871">
        <v>1</v>
      </c>
      <c r="I871">
        <v>0</v>
      </c>
      <c r="J871" t="s">
        <v>43</v>
      </c>
      <c r="K871" t="s">
        <v>42</v>
      </c>
      <c r="L871" t="s">
        <v>43</v>
      </c>
      <c r="M871" t="s">
        <v>42</v>
      </c>
      <c r="N871" t="s">
        <v>43</v>
      </c>
      <c r="O871">
        <v>4</v>
      </c>
      <c r="P871">
        <v>2</v>
      </c>
      <c r="Q871">
        <v>4</v>
      </c>
      <c r="R871" t="s">
        <v>61</v>
      </c>
      <c r="S871">
        <v>0</v>
      </c>
      <c r="T871" s="1">
        <v>10.666666666666666</v>
      </c>
      <c r="U871" t="s">
        <v>63</v>
      </c>
    </row>
    <row r="872" spans="1:21" x14ac:dyDescent="0.35">
      <c r="A872" t="s">
        <v>34</v>
      </c>
      <c r="B872">
        <v>15</v>
      </c>
      <c r="C872" t="s">
        <v>35</v>
      </c>
      <c r="D872" t="s">
        <v>36</v>
      </c>
      <c r="E872" t="s">
        <v>44</v>
      </c>
      <c r="F872" t="s">
        <v>45</v>
      </c>
      <c r="G872" t="s">
        <v>48</v>
      </c>
      <c r="H872">
        <v>3</v>
      </c>
      <c r="I872">
        <v>0</v>
      </c>
      <c r="J872" t="s">
        <v>43</v>
      </c>
      <c r="K872" t="s">
        <v>42</v>
      </c>
      <c r="L872" t="s">
        <v>43</v>
      </c>
      <c r="M872" t="s">
        <v>42</v>
      </c>
      <c r="N872" t="s">
        <v>43</v>
      </c>
      <c r="O872">
        <v>5</v>
      </c>
      <c r="P872">
        <v>3</v>
      </c>
      <c r="Q872">
        <v>2</v>
      </c>
      <c r="R872" t="s">
        <v>61</v>
      </c>
      <c r="S872">
        <v>0</v>
      </c>
      <c r="T872" s="1">
        <v>13</v>
      </c>
      <c r="U872" t="s">
        <v>61</v>
      </c>
    </row>
    <row r="873" spans="1:21" x14ac:dyDescent="0.35">
      <c r="A873" t="s">
        <v>34</v>
      </c>
      <c r="B873">
        <v>16</v>
      </c>
      <c r="C873" t="s">
        <v>52</v>
      </c>
      <c r="D873" t="s">
        <v>47</v>
      </c>
      <c r="E873" t="s">
        <v>44</v>
      </c>
      <c r="F873" t="s">
        <v>45</v>
      </c>
      <c r="G873" t="s">
        <v>45</v>
      </c>
      <c r="H873">
        <v>1</v>
      </c>
      <c r="I873">
        <v>0</v>
      </c>
      <c r="J873" t="s">
        <v>43</v>
      </c>
      <c r="K873" t="s">
        <v>42</v>
      </c>
      <c r="L873" t="s">
        <v>43</v>
      </c>
      <c r="M873" t="s">
        <v>43</v>
      </c>
      <c r="N873" t="s">
        <v>42</v>
      </c>
      <c r="O873">
        <v>5</v>
      </c>
      <c r="P873">
        <v>4</v>
      </c>
      <c r="Q873">
        <v>3</v>
      </c>
      <c r="R873" t="s">
        <v>61</v>
      </c>
      <c r="S873">
        <v>1</v>
      </c>
      <c r="T873" s="1">
        <v>8.6666666666666661</v>
      </c>
      <c r="U873" t="s">
        <v>61</v>
      </c>
    </row>
    <row r="874" spans="1:21" x14ac:dyDescent="0.35">
      <c r="A874" t="s">
        <v>50</v>
      </c>
      <c r="B874">
        <v>15</v>
      </c>
      <c r="C874" t="s">
        <v>35</v>
      </c>
      <c r="D874" t="s">
        <v>36</v>
      </c>
      <c r="E874" t="s">
        <v>44</v>
      </c>
      <c r="F874" t="s">
        <v>48</v>
      </c>
      <c r="G874" t="s">
        <v>48</v>
      </c>
      <c r="H874">
        <v>1</v>
      </c>
      <c r="I874">
        <v>0</v>
      </c>
      <c r="J874" t="s">
        <v>43</v>
      </c>
      <c r="K874" t="s">
        <v>42</v>
      </c>
      <c r="L874" t="s">
        <v>43</v>
      </c>
      <c r="M874" t="s">
        <v>42</v>
      </c>
      <c r="N874" t="s">
        <v>43</v>
      </c>
      <c r="O874">
        <v>4</v>
      </c>
      <c r="P874">
        <v>3</v>
      </c>
      <c r="Q874">
        <v>3</v>
      </c>
      <c r="R874" t="s">
        <v>63</v>
      </c>
      <c r="S874">
        <v>1</v>
      </c>
      <c r="T874" s="1">
        <v>11</v>
      </c>
      <c r="U874" t="s">
        <v>63</v>
      </c>
    </row>
    <row r="875" spans="1:21" x14ac:dyDescent="0.35">
      <c r="A875" t="s">
        <v>34</v>
      </c>
      <c r="B875">
        <v>16</v>
      </c>
      <c r="C875" t="s">
        <v>52</v>
      </c>
      <c r="D875" t="s">
        <v>36</v>
      </c>
      <c r="E875" t="s">
        <v>44</v>
      </c>
      <c r="F875" t="s">
        <v>38</v>
      </c>
      <c r="G875" t="s">
        <v>45</v>
      </c>
      <c r="H875">
        <v>2</v>
      </c>
      <c r="I875">
        <v>3</v>
      </c>
      <c r="J875" t="s">
        <v>42</v>
      </c>
      <c r="K875" t="s">
        <v>42</v>
      </c>
      <c r="L875" t="s">
        <v>43</v>
      </c>
      <c r="M875" t="s">
        <v>43</v>
      </c>
      <c r="N875" t="s">
        <v>43</v>
      </c>
      <c r="O875">
        <v>3</v>
      </c>
      <c r="P875">
        <v>4</v>
      </c>
      <c r="Q875">
        <v>3</v>
      </c>
      <c r="R875" t="s">
        <v>61</v>
      </c>
      <c r="S875">
        <v>0</v>
      </c>
      <c r="T875" s="1">
        <v>7.333333333333333</v>
      </c>
      <c r="U875" t="s">
        <v>61</v>
      </c>
    </row>
    <row r="876" spans="1:21" x14ac:dyDescent="0.35">
      <c r="A876" t="s">
        <v>34</v>
      </c>
      <c r="B876">
        <v>17</v>
      </c>
      <c r="C876" t="s">
        <v>35</v>
      </c>
      <c r="D876" t="s">
        <v>36</v>
      </c>
      <c r="E876" t="s">
        <v>44</v>
      </c>
      <c r="F876" t="s">
        <v>45</v>
      </c>
      <c r="G876" t="s">
        <v>38</v>
      </c>
      <c r="H876">
        <v>1</v>
      </c>
      <c r="I876">
        <v>0</v>
      </c>
      <c r="J876" t="s">
        <v>43</v>
      </c>
      <c r="K876" t="s">
        <v>42</v>
      </c>
      <c r="L876" t="s">
        <v>43</v>
      </c>
      <c r="M876" t="s">
        <v>42</v>
      </c>
      <c r="N876" t="s">
        <v>43</v>
      </c>
      <c r="O876">
        <v>4</v>
      </c>
      <c r="P876">
        <v>5</v>
      </c>
      <c r="Q876">
        <v>3</v>
      </c>
      <c r="R876" t="s">
        <v>61</v>
      </c>
      <c r="S876">
        <v>0</v>
      </c>
      <c r="T876" s="1">
        <v>9.3333333333333339</v>
      </c>
      <c r="U876" t="s">
        <v>61</v>
      </c>
    </row>
    <row r="877" spans="1:21" x14ac:dyDescent="0.35">
      <c r="A877" t="s">
        <v>34</v>
      </c>
      <c r="B877">
        <v>19</v>
      </c>
      <c r="C877" t="s">
        <v>35</v>
      </c>
      <c r="D877" t="s">
        <v>36</v>
      </c>
      <c r="E877" t="s">
        <v>44</v>
      </c>
      <c r="F877" t="s">
        <v>38</v>
      </c>
      <c r="G877" t="s">
        <v>48</v>
      </c>
      <c r="H877">
        <v>1</v>
      </c>
      <c r="I877">
        <v>1</v>
      </c>
      <c r="J877" t="s">
        <v>43</v>
      </c>
      <c r="K877" t="s">
        <v>43</v>
      </c>
      <c r="L877" t="s">
        <v>43</v>
      </c>
      <c r="M877" t="s">
        <v>43</v>
      </c>
      <c r="N877" t="s">
        <v>42</v>
      </c>
      <c r="O877">
        <v>4</v>
      </c>
      <c r="P877">
        <v>4</v>
      </c>
      <c r="Q877">
        <v>4</v>
      </c>
      <c r="R877" t="s">
        <v>61</v>
      </c>
      <c r="S877">
        <v>0</v>
      </c>
      <c r="T877" s="1">
        <v>9.3333333333333339</v>
      </c>
      <c r="U877" t="s">
        <v>61</v>
      </c>
    </row>
    <row r="878" spans="1:21" x14ac:dyDescent="0.35">
      <c r="A878" t="s">
        <v>34</v>
      </c>
      <c r="B878">
        <v>17</v>
      </c>
      <c r="C878" t="s">
        <v>52</v>
      </c>
      <c r="D878" t="s">
        <v>36</v>
      </c>
      <c r="E878" t="s">
        <v>44</v>
      </c>
      <c r="F878" t="s">
        <v>38</v>
      </c>
      <c r="G878" t="s">
        <v>45</v>
      </c>
      <c r="H878">
        <v>1</v>
      </c>
      <c r="I878">
        <v>0</v>
      </c>
      <c r="J878" t="s">
        <v>43</v>
      </c>
      <c r="K878" t="s">
        <v>42</v>
      </c>
      <c r="L878" t="s">
        <v>43</v>
      </c>
      <c r="M878" t="s">
        <v>42</v>
      </c>
      <c r="N878" t="s">
        <v>42</v>
      </c>
      <c r="O878">
        <v>5</v>
      </c>
      <c r="P878">
        <v>5</v>
      </c>
      <c r="Q878">
        <v>3</v>
      </c>
      <c r="R878" t="s">
        <v>61</v>
      </c>
      <c r="S878">
        <v>0</v>
      </c>
      <c r="T878" s="1">
        <v>10</v>
      </c>
      <c r="U878" t="s">
        <v>61</v>
      </c>
    </row>
    <row r="879" spans="1:21" x14ac:dyDescent="0.35">
      <c r="A879" t="s">
        <v>34</v>
      </c>
      <c r="B879">
        <v>15</v>
      </c>
      <c r="C879" t="s">
        <v>52</v>
      </c>
      <c r="D879" t="s">
        <v>47</v>
      </c>
      <c r="E879" t="s">
        <v>44</v>
      </c>
      <c r="F879" t="s">
        <v>38</v>
      </c>
      <c r="G879" t="s">
        <v>45</v>
      </c>
      <c r="H879">
        <v>1</v>
      </c>
      <c r="I879">
        <v>0</v>
      </c>
      <c r="J879" t="s">
        <v>43</v>
      </c>
      <c r="K879" t="s">
        <v>42</v>
      </c>
      <c r="L879" t="s">
        <v>43</v>
      </c>
      <c r="M879" t="s">
        <v>43</v>
      </c>
      <c r="N879" t="s">
        <v>42</v>
      </c>
      <c r="O879">
        <v>5</v>
      </c>
      <c r="P879">
        <v>2</v>
      </c>
      <c r="Q879">
        <v>1</v>
      </c>
      <c r="R879" t="s">
        <v>61</v>
      </c>
      <c r="S879">
        <v>1</v>
      </c>
      <c r="T879" s="1">
        <v>9.3333333333333339</v>
      </c>
      <c r="U879" t="s">
        <v>62</v>
      </c>
    </row>
    <row r="880" spans="1:21" x14ac:dyDescent="0.35">
      <c r="A880" t="s">
        <v>34</v>
      </c>
      <c r="B880">
        <v>16</v>
      </c>
      <c r="C880" t="s">
        <v>52</v>
      </c>
      <c r="D880" t="s">
        <v>36</v>
      </c>
      <c r="E880" t="s">
        <v>44</v>
      </c>
      <c r="F880" t="s">
        <v>45</v>
      </c>
      <c r="G880" t="s">
        <v>45</v>
      </c>
      <c r="H880">
        <v>2</v>
      </c>
      <c r="I880">
        <v>0</v>
      </c>
      <c r="J880" t="s">
        <v>43</v>
      </c>
      <c r="K880" t="s">
        <v>42</v>
      </c>
      <c r="L880" t="s">
        <v>43</v>
      </c>
      <c r="M880" t="s">
        <v>43</v>
      </c>
      <c r="N880" t="s">
        <v>43</v>
      </c>
      <c r="O880">
        <v>3</v>
      </c>
      <c r="P880">
        <v>4</v>
      </c>
      <c r="Q880">
        <v>5</v>
      </c>
      <c r="R880" t="s">
        <v>61</v>
      </c>
      <c r="S880">
        <v>0</v>
      </c>
      <c r="T880" s="1">
        <v>10</v>
      </c>
      <c r="U880" t="s">
        <v>62</v>
      </c>
    </row>
    <row r="881" spans="1:21" x14ac:dyDescent="0.35">
      <c r="A881" t="s">
        <v>34</v>
      </c>
      <c r="B881">
        <v>16</v>
      </c>
      <c r="C881" t="s">
        <v>35</v>
      </c>
      <c r="D881" t="s">
        <v>47</v>
      </c>
      <c r="E881" t="s">
        <v>37</v>
      </c>
      <c r="F881" t="s">
        <v>45</v>
      </c>
      <c r="G881" t="s">
        <v>45</v>
      </c>
      <c r="H881">
        <v>1</v>
      </c>
      <c r="I881">
        <v>0</v>
      </c>
      <c r="J881" t="s">
        <v>43</v>
      </c>
      <c r="K881" t="s">
        <v>42</v>
      </c>
      <c r="L881" t="s">
        <v>43</v>
      </c>
      <c r="M881" t="s">
        <v>43</v>
      </c>
      <c r="N881" t="s">
        <v>43</v>
      </c>
      <c r="O881">
        <v>4</v>
      </c>
      <c r="P881">
        <v>3</v>
      </c>
      <c r="Q881">
        <v>4</v>
      </c>
      <c r="R881" t="s">
        <v>62</v>
      </c>
      <c r="S881">
        <v>0</v>
      </c>
      <c r="T881" s="1">
        <v>7.333333333333333</v>
      </c>
      <c r="U881" t="s">
        <v>62</v>
      </c>
    </row>
    <row r="882" spans="1:21" x14ac:dyDescent="0.35">
      <c r="A882" t="s">
        <v>34</v>
      </c>
      <c r="B882">
        <v>17</v>
      </c>
      <c r="C882" t="s">
        <v>52</v>
      </c>
      <c r="D882" t="s">
        <v>36</v>
      </c>
      <c r="E882" t="s">
        <v>44</v>
      </c>
      <c r="F882" t="s">
        <v>38</v>
      </c>
      <c r="G882" t="s">
        <v>45</v>
      </c>
      <c r="H882">
        <v>2</v>
      </c>
      <c r="I882">
        <v>0</v>
      </c>
      <c r="J882" t="s">
        <v>43</v>
      </c>
      <c r="K882" t="s">
        <v>42</v>
      </c>
      <c r="L882" t="s">
        <v>43</v>
      </c>
      <c r="M882" t="s">
        <v>43</v>
      </c>
      <c r="N882" t="s">
        <v>43</v>
      </c>
      <c r="O882">
        <v>4</v>
      </c>
      <c r="P882">
        <v>3</v>
      </c>
      <c r="Q882">
        <v>5</v>
      </c>
      <c r="R882" t="s">
        <v>61</v>
      </c>
      <c r="S882">
        <v>1</v>
      </c>
      <c r="T882" s="1">
        <v>10.666666666666666</v>
      </c>
      <c r="U882" t="s">
        <v>62</v>
      </c>
    </row>
    <row r="883" spans="1:21" x14ac:dyDescent="0.35">
      <c r="A883" t="s">
        <v>34</v>
      </c>
      <c r="B883">
        <v>16</v>
      </c>
      <c r="C883" t="s">
        <v>35</v>
      </c>
      <c r="D883" t="s">
        <v>36</v>
      </c>
      <c r="E883" t="s">
        <v>44</v>
      </c>
      <c r="F883" t="s">
        <v>45</v>
      </c>
      <c r="G883" t="s">
        <v>48</v>
      </c>
      <c r="H883">
        <v>1</v>
      </c>
      <c r="I883">
        <v>1</v>
      </c>
      <c r="J883" t="s">
        <v>43</v>
      </c>
      <c r="K883" t="s">
        <v>42</v>
      </c>
      <c r="L883" t="s">
        <v>42</v>
      </c>
      <c r="M883" t="s">
        <v>42</v>
      </c>
      <c r="N883" t="s">
        <v>43</v>
      </c>
      <c r="O883">
        <v>4</v>
      </c>
      <c r="P883">
        <v>4</v>
      </c>
      <c r="Q883">
        <v>3</v>
      </c>
      <c r="R883" t="s">
        <v>61</v>
      </c>
      <c r="S883">
        <v>0</v>
      </c>
      <c r="T883" s="1">
        <v>9.6666666666666661</v>
      </c>
      <c r="U883" t="s">
        <v>63</v>
      </c>
    </row>
    <row r="884" spans="1:21" x14ac:dyDescent="0.35">
      <c r="A884" t="s">
        <v>34</v>
      </c>
      <c r="B884">
        <v>18</v>
      </c>
      <c r="C884" t="s">
        <v>52</v>
      </c>
      <c r="D884" t="s">
        <v>47</v>
      </c>
      <c r="E884" t="s">
        <v>37</v>
      </c>
      <c r="F884" t="s">
        <v>45</v>
      </c>
      <c r="G884" t="s">
        <v>45</v>
      </c>
      <c r="H884">
        <v>3</v>
      </c>
      <c r="I884">
        <v>2</v>
      </c>
      <c r="J884" t="s">
        <v>43</v>
      </c>
      <c r="K884" t="s">
        <v>42</v>
      </c>
      <c r="L884" t="s">
        <v>43</v>
      </c>
      <c r="M884" t="s">
        <v>43</v>
      </c>
      <c r="N884" t="s">
        <v>42</v>
      </c>
      <c r="O884">
        <v>3</v>
      </c>
      <c r="P884">
        <v>3</v>
      </c>
      <c r="Q884">
        <v>2</v>
      </c>
      <c r="R884" t="s">
        <v>62</v>
      </c>
      <c r="S884">
        <v>0</v>
      </c>
      <c r="T884" s="1">
        <v>8.6666666666666661</v>
      </c>
      <c r="U884" t="s">
        <v>61</v>
      </c>
    </row>
    <row r="885" spans="1:21" x14ac:dyDescent="0.35">
      <c r="A885" t="s">
        <v>34</v>
      </c>
      <c r="B885">
        <v>19</v>
      </c>
      <c r="C885" t="s">
        <v>35</v>
      </c>
      <c r="D885" t="s">
        <v>36</v>
      </c>
      <c r="E885" t="s">
        <v>44</v>
      </c>
      <c r="F885" t="s">
        <v>38</v>
      </c>
      <c r="G885" t="s">
        <v>48</v>
      </c>
      <c r="H885">
        <v>3</v>
      </c>
      <c r="I885">
        <v>1</v>
      </c>
      <c r="J885" t="s">
        <v>43</v>
      </c>
      <c r="K885" t="s">
        <v>43</v>
      </c>
      <c r="L885" t="s">
        <v>43</v>
      </c>
      <c r="M885" t="s">
        <v>42</v>
      </c>
      <c r="N885" t="s">
        <v>42</v>
      </c>
      <c r="O885">
        <v>5</v>
      </c>
      <c r="P885">
        <v>3</v>
      </c>
      <c r="Q885">
        <v>1</v>
      </c>
      <c r="R885" t="s">
        <v>62</v>
      </c>
      <c r="S885">
        <v>0</v>
      </c>
      <c r="T885" s="1">
        <v>8.3333333333333339</v>
      </c>
      <c r="U885" t="s">
        <v>61</v>
      </c>
    </row>
    <row r="886" spans="1:21" x14ac:dyDescent="0.35">
      <c r="A886" t="s">
        <v>50</v>
      </c>
      <c r="B886">
        <v>18</v>
      </c>
      <c r="C886" t="s">
        <v>52</v>
      </c>
      <c r="D886" t="s">
        <v>36</v>
      </c>
      <c r="E886" t="s">
        <v>44</v>
      </c>
      <c r="F886" t="s">
        <v>45</v>
      </c>
      <c r="G886" t="s">
        <v>45</v>
      </c>
      <c r="H886">
        <v>1</v>
      </c>
      <c r="I886">
        <v>1</v>
      </c>
      <c r="J886" t="s">
        <v>43</v>
      </c>
      <c r="K886" t="s">
        <v>43</v>
      </c>
      <c r="L886" t="s">
        <v>43</v>
      </c>
      <c r="M886" t="s">
        <v>42</v>
      </c>
      <c r="N886" t="s">
        <v>43</v>
      </c>
      <c r="O886">
        <v>4</v>
      </c>
      <c r="P886">
        <v>4</v>
      </c>
      <c r="Q886">
        <v>3</v>
      </c>
      <c r="R886" t="s">
        <v>61</v>
      </c>
      <c r="S886">
        <v>0</v>
      </c>
      <c r="T886" s="1">
        <v>9</v>
      </c>
      <c r="U886" t="s">
        <v>63</v>
      </c>
    </row>
    <row r="887" spans="1:21" x14ac:dyDescent="0.35">
      <c r="A887" t="s">
        <v>34</v>
      </c>
      <c r="B887">
        <v>18</v>
      </c>
      <c r="C887" t="s">
        <v>52</v>
      </c>
      <c r="D887" t="s">
        <v>36</v>
      </c>
      <c r="E887" t="s">
        <v>44</v>
      </c>
      <c r="F887" t="s">
        <v>38</v>
      </c>
      <c r="G887" t="s">
        <v>38</v>
      </c>
      <c r="H887">
        <v>1</v>
      </c>
      <c r="I887">
        <v>1</v>
      </c>
      <c r="J887" t="s">
        <v>43</v>
      </c>
      <c r="K887" t="s">
        <v>43</v>
      </c>
      <c r="L887" t="s">
        <v>43</v>
      </c>
      <c r="M887" t="s">
        <v>43</v>
      </c>
      <c r="N887" t="s">
        <v>42</v>
      </c>
      <c r="O887">
        <v>3</v>
      </c>
      <c r="P887">
        <v>2</v>
      </c>
      <c r="Q887">
        <v>3</v>
      </c>
      <c r="R887" t="s">
        <v>61</v>
      </c>
      <c r="S887">
        <v>1</v>
      </c>
      <c r="T887" s="1">
        <v>10</v>
      </c>
      <c r="U887" t="s">
        <v>61</v>
      </c>
    </row>
    <row r="888" spans="1:21" x14ac:dyDescent="0.35">
      <c r="A888" t="s">
        <v>34</v>
      </c>
      <c r="B888">
        <v>19</v>
      </c>
      <c r="C888" t="s">
        <v>35</v>
      </c>
      <c r="D888" t="s">
        <v>36</v>
      </c>
      <c r="E888" t="s">
        <v>44</v>
      </c>
      <c r="F888" t="s">
        <v>45</v>
      </c>
      <c r="G888" t="s">
        <v>45</v>
      </c>
      <c r="H888">
        <v>2</v>
      </c>
      <c r="I888">
        <v>1</v>
      </c>
      <c r="J888" t="s">
        <v>43</v>
      </c>
      <c r="K888" t="s">
        <v>42</v>
      </c>
      <c r="L888" t="s">
        <v>43</v>
      </c>
      <c r="M888" t="s">
        <v>43</v>
      </c>
      <c r="N888" t="s">
        <v>42</v>
      </c>
      <c r="O888">
        <v>1</v>
      </c>
      <c r="P888">
        <v>1</v>
      </c>
      <c r="Q888">
        <v>4</v>
      </c>
      <c r="R888" t="s">
        <v>63</v>
      </c>
      <c r="S888">
        <v>0</v>
      </c>
      <c r="T888" s="1">
        <v>8</v>
      </c>
      <c r="U888" t="s">
        <v>63</v>
      </c>
    </row>
    <row r="889" spans="1:21" x14ac:dyDescent="0.35">
      <c r="A889" t="s">
        <v>34</v>
      </c>
      <c r="B889">
        <v>16</v>
      </c>
      <c r="C889" t="s">
        <v>52</v>
      </c>
      <c r="D889" t="s">
        <v>36</v>
      </c>
      <c r="E889" t="s">
        <v>37</v>
      </c>
      <c r="F889" t="s">
        <v>28</v>
      </c>
      <c r="G889" t="s">
        <v>45</v>
      </c>
      <c r="H889">
        <v>2</v>
      </c>
      <c r="I889">
        <v>0</v>
      </c>
      <c r="J889" t="s">
        <v>43</v>
      </c>
      <c r="K889" t="s">
        <v>43</v>
      </c>
      <c r="L889" t="s">
        <v>43</v>
      </c>
      <c r="M889" t="s">
        <v>43</v>
      </c>
      <c r="N889" t="s">
        <v>42</v>
      </c>
      <c r="O889">
        <v>3</v>
      </c>
      <c r="P889">
        <v>3</v>
      </c>
      <c r="Q889">
        <v>2</v>
      </c>
      <c r="R889" t="s">
        <v>61</v>
      </c>
      <c r="S889">
        <v>0</v>
      </c>
      <c r="T889" s="1">
        <v>9.3333333333333339</v>
      </c>
      <c r="U889" t="s">
        <v>61</v>
      </c>
    </row>
    <row r="890" spans="1:21" x14ac:dyDescent="0.35">
      <c r="A890" t="s">
        <v>34</v>
      </c>
      <c r="B890">
        <v>17</v>
      </c>
      <c r="C890" t="s">
        <v>35</v>
      </c>
      <c r="D890" t="s">
        <v>36</v>
      </c>
      <c r="E890" t="s">
        <v>44</v>
      </c>
      <c r="F890" t="s">
        <v>45</v>
      </c>
      <c r="G890" t="s">
        <v>38</v>
      </c>
      <c r="H890">
        <v>1</v>
      </c>
      <c r="I890">
        <v>0</v>
      </c>
      <c r="J890" t="s">
        <v>43</v>
      </c>
      <c r="K890" t="s">
        <v>43</v>
      </c>
      <c r="L890" t="s">
        <v>43</v>
      </c>
      <c r="M890" t="s">
        <v>42</v>
      </c>
      <c r="N890" t="s">
        <v>43</v>
      </c>
      <c r="O890">
        <v>2</v>
      </c>
      <c r="P890">
        <v>4</v>
      </c>
      <c r="Q890">
        <v>4</v>
      </c>
      <c r="R890" t="s">
        <v>62</v>
      </c>
      <c r="S890">
        <v>0</v>
      </c>
      <c r="T890" s="1">
        <v>9.3333333333333339</v>
      </c>
      <c r="U890" t="s">
        <v>63</v>
      </c>
    </row>
    <row r="891" spans="1:21" x14ac:dyDescent="0.35">
      <c r="A891" t="s">
        <v>34</v>
      </c>
      <c r="B891">
        <v>16</v>
      </c>
      <c r="C891" t="s">
        <v>52</v>
      </c>
      <c r="D891" t="s">
        <v>47</v>
      </c>
      <c r="E891" t="s">
        <v>44</v>
      </c>
      <c r="F891" t="s">
        <v>38</v>
      </c>
      <c r="G891" t="s">
        <v>45</v>
      </c>
      <c r="H891">
        <v>2</v>
      </c>
      <c r="I891">
        <v>0</v>
      </c>
      <c r="J891" t="s">
        <v>43</v>
      </c>
      <c r="K891" t="s">
        <v>43</v>
      </c>
      <c r="L891" t="s">
        <v>43</v>
      </c>
      <c r="M891" t="s">
        <v>42</v>
      </c>
      <c r="N891" t="s">
        <v>43</v>
      </c>
      <c r="O891">
        <v>4</v>
      </c>
      <c r="P891">
        <v>4</v>
      </c>
      <c r="Q891">
        <v>5</v>
      </c>
      <c r="R891" t="s">
        <v>61</v>
      </c>
      <c r="S891">
        <v>0</v>
      </c>
      <c r="T891" s="1">
        <v>8.6666666666666661</v>
      </c>
      <c r="U891" t="s">
        <v>62</v>
      </c>
    </row>
    <row r="892" spans="1:21" x14ac:dyDescent="0.35">
      <c r="A892" t="s">
        <v>34</v>
      </c>
      <c r="B892">
        <v>16</v>
      </c>
      <c r="C892" t="s">
        <v>35</v>
      </c>
      <c r="D892" t="s">
        <v>36</v>
      </c>
      <c r="E892" t="s">
        <v>44</v>
      </c>
      <c r="F892" t="s">
        <v>45</v>
      </c>
      <c r="G892" t="s">
        <v>45</v>
      </c>
      <c r="H892">
        <v>1</v>
      </c>
      <c r="I892">
        <v>0</v>
      </c>
      <c r="J892" t="s">
        <v>43</v>
      </c>
      <c r="K892" t="s">
        <v>43</v>
      </c>
      <c r="L892" t="s">
        <v>43</v>
      </c>
      <c r="M892" t="s">
        <v>42</v>
      </c>
      <c r="N892" t="s">
        <v>42</v>
      </c>
      <c r="O892">
        <v>4</v>
      </c>
      <c r="P892">
        <v>5</v>
      </c>
      <c r="Q892">
        <v>4</v>
      </c>
      <c r="R892" t="s">
        <v>61</v>
      </c>
      <c r="S892">
        <v>1</v>
      </c>
      <c r="T892" s="1">
        <v>13.333333333333334</v>
      </c>
      <c r="U892" t="s">
        <v>61</v>
      </c>
    </row>
    <row r="893" spans="1:21" x14ac:dyDescent="0.35">
      <c r="A893" t="s">
        <v>34</v>
      </c>
      <c r="B893">
        <v>16</v>
      </c>
      <c r="C893" t="s">
        <v>52</v>
      </c>
      <c r="D893" t="s">
        <v>47</v>
      </c>
      <c r="E893" t="s">
        <v>44</v>
      </c>
      <c r="F893" t="s">
        <v>48</v>
      </c>
      <c r="G893" t="s">
        <v>48</v>
      </c>
      <c r="H893">
        <v>1</v>
      </c>
      <c r="I893">
        <v>0</v>
      </c>
      <c r="J893" t="s">
        <v>43</v>
      </c>
      <c r="K893" t="s">
        <v>42</v>
      </c>
      <c r="L893" t="s">
        <v>43</v>
      </c>
      <c r="M893" t="s">
        <v>42</v>
      </c>
      <c r="N893" t="s">
        <v>42</v>
      </c>
      <c r="O893">
        <v>4</v>
      </c>
      <c r="P893">
        <v>4</v>
      </c>
      <c r="Q893">
        <v>4</v>
      </c>
      <c r="R893" t="s">
        <v>61</v>
      </c>
      <c r="S893">
        <v>0</v>
      </c>
      <c r="T893" s="1">
        <v>14</v>
      </c>
      <c r="U893" t="s">
        <v>62</v>
      </c>
    </row>
    <row r="894" spans="1:21" x14ac:dyDescent="0.35">
      <c r="A894" t="s">
        <v>50</v>
      </c>
      <c r="B894">
        <v>17</v>
      </c>
      <c r="C894" t="s">
        <v>35</v>
      </c>
      <c r="D894" t="s">
        <v>36</v>
      </c>
      <c r="E894" t="s">
        <v>44</v>
      </c>
      <c r="F894" t="s">
        <v>48</v>
      </c>
      <c r="G894" t="s">
        <v>38</v>
      </c>
      <c r="H894">
        <v>4</v>
      </c>
      <c r="I894">
        <v>1</v>
      </c>
      <c r="J894" t="s">
        <v>43</v>
      </c>
      <c r="K894" t="s">
        <v>42</v>
      </c>
      <c r="L894" t="s">
        <v>42</v>
      </c>
      <c r="M894" t="s">
        <v>42</v>
      </c>
      <c r="N894" t="s">
        <v>43</v>
      </c>
      <c r="O894">
        <v>5</v>
      </c>
      <c r="P894">
        <v>4</v>
      </c>
      <c r="Q894">
        <v>5</v>
      </c>
      <c r="R894" t="s">
        <v>61</v>
      </c>
      <c r="S894">
        <v>1</v>
      </c>
      <c r="T894" s="1">
        <v>10.333333333333334</v>
      </c>
      <c r="U894" t="s">
        <v>63</v>
      </c>
    </row>
    <row r="895" spans="1:21" x14ac:dyDescent="0.35">
      <c r="A895" t="s">
        <v>34</v>
      </c>
      <c r="B895">
        <v>16</v>
      </c>
      <c r="C895" t="s">
        <v>35</v>
      </c>
      <c r="D895" t="s">
        <v>36</v>
      </c>
      <c r="E895" t="s">
        <v>44</v>
      </c>
      <c r="F895" t="s">
        <v>45</v>
      </c>
      <c r="G895" t="s">
        <v>48</v>
      </c>
      <c r="H895">
        <v>2</v>
      </c>
      <c r="I895">
        <v>0</v>
      </c>
      <c r="J895" t="s">
        <v>43</v>
      </c>
      <c r="K895" t="s">
        <v>42</v>
      </c>
      <c r="L895" t="s">
        <v>43</v>
      </c>
      <c r="M895" t="s">
        <v>42</v>
      </c>
      <c r="N895" t="s">
        <v>43</v>
      </c>
      <c r="O895">
        <v>5</v>
      </c>
      <c r="P895">
        <v>3</v>
      </c>
      <c r="Q895">
        <v>3</v>
      </c>
      <c r="R895" t="s">
        <v>61</v>
      </c>
      <c r="S895">
        <v>1</v>
      </c>
      <c r="T895" s="1">
        <v>13.666666666666666</v>
      </c>
      <c r="U895" t="s">
        <v>61</v>
      </c>
    </row>
    <row r="896" spans="1:21" x14ac:dyDescent="0.35">
      <c r="A896" t="s">
        <v>34</v>
      </c>
      <c r="B896">
        <v>16</v>
      </c>
      <c r="C896" t="s">
        <v>35</v>
      </c>
      <c r="D896" t="s">
        <v>36</v>
      </c>
      <c r="E896" t="s">
        <v>44</v>
      </c>
      <c r="F896" t="s">
        <v>48</v>
      </c>
      <c r="G896" t="s">
        <v>45</v>
      </c>
      <c r="H896">
        <v>1</v>
      </c>
      <c r="I896">
        <v>0</v>
      </c>
      <c r="J896" t="s">
        <v>43</v>
      </c>
      <c r="K896" t="s">
        <v>42</v>
      </c>
      <c r="L896" t="s">
        <v>42</v>
      </c>
      <c r="M896" t="s">
        <v>42</v>
      </c>
      <c r="N896" t="s">
        <v>42</v>
      </c>
      <c r="O896">
        <v>4</v>
      </c>
      <c r="P896">
        <v>2</v>
      </c>
      <c r="Q896">
        <v>5</v>
      </c>
      <c r="R896" t="s">
        <v>61</v>
      </c>
      <c r="S896">
        <v>1</v>
      </c>
      <c r="T896" s="1">
        <v>16.333333333333332</v>
      </c>
      <c r="U896" t="s">
        <v>62</v>
      </c>
    </row>
    <row r="897" spans="1:21" x14ac:dyDescent="0.35">
      <c r="A897" t="s">
        <v>50</v>
      </c>
      <c r="B897">
        <v>17</v>
      </c>
      <c r="C897" t="s">
        <v>35</v>
      </c>
      <c r="D897" t="s">
        <v>36</v>
      </c>
      <c r="E897" t="s">
        <v>44</v>
      </c>
      <c r="F897" t="s">
        <v>45</v>
      </c>
      <c r="G897" t="s">
        <v>45</v>
      </c>
      <c r="H897">
        <v>1</v>
      </c>
      <c r="I897">
        <v>1</v>
      </c>
      <c r="J897" t="s">
        <v>43</v>
      </c>
      <c r="K897" t="s">
        <v>42</v>
      </c>
      <c r="L897" t="s">
        <v>43</v>
      </c>
      <c r="M897" t="s">
        <v>42</v>
      </c>
      <c r="N897" t="s">
        <v>42</v>
      </c>
      <c r="O897">
        <v>5</v>
      </c>
      <c r="P897">
        <v>3</v>
      </c>
      <c r="Q897">
        <v>5</v>
      </c>
      <c r="R897" t="s">
        <v>63</v>
      </c>
      <c r="S897">
        <v>0</v>
      </c>
      <c r="T897" s="1">
        <v>6.666666666666667</v>
      </c>
      <c r="U897" t="s">
        <v>63</v>
      </c>
    </row>
    <row r="898" spans="1:21" x14ac:dyDescent="0.35">
      <c r="A898" t="s">
        <v>50</v>
      </c>
      <c r="B898">
        <v>16</v>
      </c>
      <c r="C898" t="s">
        <v>35</v>
      </c>
      <c r="D898" t="s">
        <v>47</v>
      </c>
      <c r="E898" t="s">
        <v>44</v>
      </c>
      <c r="F898" t="s">
        <v>45</v>
      </c>
      <c r="G898" t="s">
        <v>45</v>
      </c>
      <c r="H898">
        <v>1</v>
      </c>
      <c r="I898">
        <v>0</v>
      </c>
      <c r="J898" t="s">
        <v>43</v>
      </c>
      <c r="K898" t="s">
        <v>43</v>
      </c>
      <c r="L898" t="s">
        <v>43</v>
      </c>
      <c r="M898" t="s">
        <v>42</v>
      </c>
      <c r="N898" t="s">
        <v>43</v>
      </c>
      <c r="O898">
        <v>4</v>
      </c>
      <c r="P898">
        <v>2</v>
      </c>
      <c r="Q898">
        <v>5</v>
      </c>
      <c r="R898" t="s">
        <v>62</v>
      </c>
      <c r="S898">
        <v>1</v>
      </c>
      <c r="T898" s="1">
        <v>13</v>
      </c>
      <c r="U898" t="s">
        <v>63</v>
      </c>
    </row>
    <row r="899" spans="1:21" x14ac:dyDescent="0.35">
      <c r="A899" t="s">
        <v>50</v>
      </c>
      <c r="B899">
        <v>17</v>
      </c>
      <c r="C899" t="s">
        <v>52</v>
      </c>
      <c r="D899" t="s">
        <v>47</v>
      </c>
      <c r="E899" t="s">
        <v>44</v>
      </c>
      <c r="F899" t="s">
        <v>48</v>
      </c>
      <c r="G899" t="s">
        <v>48</v>
      </c>
      <c r="H899">
        <v>4</v>
      </c>
      <c r="I899">
        <v>1</v>
      </c>
      <c r="J899" t="s">
        <v>43</v>
      </c>
      <c r="K899" t="s">
        <v>42</v>
      </c>
      <c r="L899" t="s">
        <v>43</v>
      </c>
      <c r="M899" t="s">
        <v>43</v>
      </c>
      <c r="N899" t="s">
        <v>43</v>
      </c>
      <c r="O899">
        <v>1</v>
      </c>
      <c r="P899">
        <v>3</v>
      </c>
      <c r="Q899">
        <v>5</v>
      </c>
      <c r="R899" t="s">
        <v>61</v>
      </c>
      <c r="S899">
        <v>1</v>
      </c>
      <c r="T899" s="1">
        <v>9</v>
      </c>
      <c r="U899" t="s">
        <v>63</v>
      </c>
    </row>
    <row r="900" spans="1:21" x14ac:dyDescent="0.35">
      <c r="A900" t="s">
        <v>34</v>
      </c>
      <c r="B900">
        <v>16</v>
      </c>
      <c r="C900" t="s">
        <v>35</v>
      </c>
      <c r="D900" t="s">
        <v>36</v>
      </c>
      <c r="E900" t="s">
        <v>44</v>
      </c>
      <c r="F900" t="s">
        <v>45</v>
      </c>
      <c r="G900" t="s">
        <v>45</v>
      </c>
      <c r="H900">
        <v>4</v>
      </c>
      <c r="I900">
        <v>0</v>
      </c>
      <c r="J900" t="s">
        <v>42</v>
      </c>
      <c r="K900" t="s">
        <v>42</v>
      </c>
      <c r="L900" t="s">
        <v>43</v>
      </c>
      <c r="M900" t="s">
        <v>42</v>
      </c>
      <c r="N900" t="s">
        <v>43</v>
      </c>
      <c r="O900">
        <v>2</v>
      </c>
      <c r="P900">
        <v>2</v>
      </c>
      <c r="Q900">
        <v>1</v>
      </c>
      <c r="R900" t="s">
        <v>61</v>
      </c>
      <c r="S900">
        <v>0</v>
      </c>
      <c r="T900" s="1">
        <v>14</v>
      </c>
      <c r="U900" t="s">
        <v>61</v>
      </c>
    </row>
    <row r="901" spans="1:21" x14ac:dyDescent="0.35">
      <c r="A901" t="s">
        <v>34</v>
      </c>
      <c r="B901">
        <v>19</v>
      </c>
      <c r="C901" t="s">
        <v>35</v>
      </c>
      <c r="D901" t="s">
        <v>47</v>
      </c>
      <c r="E901" t="s">
        <v>44</v>
      </c>
      <c r="F901" t="s">
        <v>45</v>
      </c>
      <c r="G901" t="s">
        <v>45</v>
      </c>
      <c r="H901">
        <v>3</v>
      </c>
      <c r="I901">
        <v>0</v>
      </c>
      <c r="J901" t="s">
        <v>43</v>
      </c>
      <c r="K901" t="s">
        <v>43</v>
      </c>
      <c r="L901" t="s">
        <v>43</v>
      </c>
      <c r="M901" t="s">
        <v>43</v>
      </c>
      <c r="N901" t="s">
        <v>42</v>
      </c>
      <c r="O901">
        <v>5</v>
      </c>
      <c r="P901">
        <v>4</v>
      </c>
      <c r="Q901">
        <v>5</v>
      </c>
      <c r="R901" t="s">
        <v>61</v>
      </c>
      <c r="S901">
        <v>0</v>
      </c>
      <c r="T901" s="1">
        <v>12.666666666666666</v>
      </c>
      <c r="U901" t="s">
        <v>61</v>
      </c>
    </row>
    <row r="902" spans="1:21" x14ac:dyDescent="0.35">
      <c r="A902" t="s">
        <v>34</v>
      </c>
      <c r="B902">
        <v>17</v>
      </c>
      <c r="C902" t="s">
        <v>52</v>
      </c>
      <c r="D902" t="s">
        <v>36</v>
      </c>
      <c r="E902" t="s">
        <v>44</v>
      </c>
      <c r="F902" t="s">
        <v>38</v>
      </c>
      <c r="G902" t="s">
        <v>45</v>
      </c>
      <c r="H902">
        <v>1</v>
      </c>
      <c r="I902">
        <v>0</v>
      </c>
      <c r="J902" t="s">
        <v>43</v>
      </c>
      <c r="K902" t="s">
        <v>42</v>
      </c>
      <c r="L902" t="s">
        <v>43</v>
      </c>
      <c r="M902" t="s">
        <v>42</v>
      </c>
      <c r="N902" t="s">
        <v>42</v>
      </c>
      <c r="O902">
        <v>4</v>
      </c>
      <c r="P902">
        <v>4</v>
      </c>
      <c r="Q902">
        <v>5</v>
      </c>
      <c r="R902" t="s">
        <v>61</v>
      </c>
      <c r="S902">
        <v>0</v>
      </c>
      <c r="T902" s="1">
        <v>11</v>
      </c>
      <c r="U902" t="s">
        <v>62</v>
      </c>
    </row>
    <row r="903" spans="1:21" x14ac:dyDescent="0.35">
      <c r="A903" t="s">
        <v>34</v>
      </c>
      <c r="B903">
        <v>20</v>
      </c>
      <c r="C903" t="s">
        <v>35</v>
      </c>
      <c r="D903" t="s">
        <v>36</v>
      </c>
      <c r="E903" t="s">
        <v>44</v>
      </c>
      <c r="F903" t="s">
        <v>38</v>
      </c>
      <c r="G903" t="s">
        <v>48</v>
      </c>
      <c r="H903">
        <v>2</v>
      </c>
      <c r="I903">
        <v>1</v>
      </c>
      <c r="J903" t="s">
        <v>43</v>
      </c>
      <c r="K903" t="s">
        <v>43</v>
      </c>
      <c r="L903" t="s">
        <v>43</v>
      </c>
      <c r="M903" t="s">
        <v>42</v>
      </c>
      <c r="N903" t="s">
        <v>42</v>
      </c>
      <c r="O903">
        <v>3</v>
      </c>
      <c r="P903">
        <v>3</v>
      </c>
      <c r="Q903">
        <v>4</v>
      </c>
      <c r="R903" t="s">
        <v>62</v>
      </c>
      <c r="S903">
        <v>1</v>
      </c>
      <c r="T903" s="1">
        <v>10</v>
      </c>
      <c r="U903" t="s">
        <v>63</v>
      </c>
    </row>
    <row r="904" spans="1:21" x14ac:dyDescent="0.35">
      <c r="A904" t="s">
        <v>34</v>
      </c>
      <c r="B904">
        <v>17</v>
      </c>
      <c r="C904" t="s">
        <v>35</v>
      </c>
      <c r="D904" t="s">
        <v>47</v>
      </c>
      <c r="E904" t="s">
        <v>44</v>
      </c>
      <c r="F904" t="s">
        <v>45</v>
      </c>
      <c r="G904" t="s">
        <v>48</v>
      </c>
      <c r="H904">
        <v>3</v>
      </c>
      <c r="I904">
        <v>0</v>
      </c>
      <c r="J904" t="s">
        <v>43</v>
      </c>
      <c r="K904" t="s">
        <v>42</v>
      </c>
      <c r="L904" t="s">
        <v>43</v>
      </c>
      <c r="M904" t="s">
        <v>43</v>
      </c>
      <c r="N904" t="s">
        <v>42</v>
      </c>
      <c r="O904">
        <v>4</v>
      </c>
      <c r="P904">
        <v>3</v>
      </c>
      <c r="Q904">
        <v>3</v>
      </c>
      <c r="R904" t="s">
        <v>61</v>
      </c>
      <c r="S904">
        <v>1</v>
      </c>
      <c r="T904" s="1">
        <v>10.666666666666666</v>
      </c>
      <c r="U904" t="s">
        <v>61</v>
      </c>
    </row>
    <row r="905" spans="1:21" x14ac:dyDescent="0.35">
      <c r="A905" t="s">
        <v>50</v>
      </c>
      <c r="B905">
        <v>17</v>
      </c>
      <c r="C905" t="s">
        <v>52</v>
      </c>
      <c r="D905" t="s">
        <v>36</v>
      </c>
      <c r="E905" t="s">
        <v>44</v>
      </c>
      <c r="F905" t="s">
        <v>45</v>
      </c>
      <c r="G905" t="s">
        <v>45</v>
      </c>
      <c r="H905">
        <v>1</v>
      </c>
      <c r="I905">
        <v>1</v>
      </c>
      <c r="J905" t="s">
        <v>43</v>
      </c>
      <c r="K905" t="s">
        <v>42</v>
      </c>
      <c r="L905" t="s">
        <v>43</v>
      </c>
      <c r="M905" t="s">
        <v>43</v>
      </c>
      <c r="N905" t="s">
        <v>43</v>
      </c>
      <c r="O905">
        <v>4</v>
      </c>
      <c r="P905">
        <v>4</v>
      </c>
      <c r="Q905">
        <v>5</v>
      </c>
      <c r="R905" t="s">
        <v>61</v>
      </c>
      <c r="S905">
        <v>1</v>
      </c>
      <c r="T905" s="1">
        <v>9.3333333333333339</v>
      </c>
      <c r="U905" t="s">
        <v>62</v>
      </c>
    </row>
    <row r="906" spans="1:21" x14ac:dyDescent="0.35">
      <c r="A906" t="s">
        <v>34</v>
      </c>
      <c r="B906">
        <v>16</v>
      </c>
      <c r="C906" t="s">
        <v>52</v>
      </c>
      <c r="D906" t="s">
        <v>47</v>
      </c>
      <c r="E906" t="s">
        <v>44</v>
      </c>
      <c r="F906" t="s">
        <v>38</v>
      </c>
      <c r="G906" t="s">
        <v>45</v>
      </c>
      <c r="H906">
        <v>2</v>
      </c>
      <c r="I906">
        <v>0</v>
      </c>
      <c r="J906" t="s">
        <v>43</v>
      </c>
      <c r="K906" t="s">
        <v>42</v>
      </c>
      <c r="L906" t="s">
        <v>43</v>
      </c>
      <c r="M906" t="s">
        <v>43</v>
      </c>
      <c r="N906" t="s">
        <v>43</v>
      </c>
      <c r="O906">
        <v>5</v>
      </c>
      <c r="P906">
        <v>3</v>
      </c>
      <c r="Q906">
        <v>2</v>
      </c>
      <c r="R906" t="s">
        <v>61</v>
      </c>
      <c r="S906">
        <v>0</v>
      </c>
      <c r="T906" s="1">
        <v>17</v>
      </c>
      <c r="U906" t="s">
        <v>61</v>
      </c>
    </row>
    <row r="907" spans="1:21" x14ac:dyDescent="0.35">
      <c r="A907" t="s">
        <v>34</v>
      </c>
      <c r="B907">
        <v>17</v>
      </c>
      <c r="C907" t="s">
        <v>52</v>
      </c>
      <c r="D907" t="s">
        <v>36</v>
      </c>
      <c r="E907" t="s">
        <v>44</v>
      </c>
      <c r="F907" t="s">
        <v>45</v>
      </c>
      <c r="G907" t="s">
        <v>45</v>
      </c>
      <c r="H907">
        <v>2</v>
      </c>
      <c r="I907">
        <v>0</v>
      </c>
      <c r="J907" t="s">
        <v>43</v>
      </c>
      <c r="K907" t="s">
        <v>42</v>
      </c>
      <c r="L907" t="s">
        <v>43</v>
      </c>
      <c r="M907" t="s">
        <v>42</v>
      </c>
      <c r="N907" t="s">
        <v>43</v>
      </c>
      <c r="O907">
        <v>5</v>
      </c>
      <c r="P907">
        <v>3</v>
      </c>
      <c r="Q907">
        <v>2</v>
      </c>
      <c r="R907" t="s">
        <v>61</v>
      </c>
      <c r="S907">
        <v>0</v>
      </c>
      <c r="T907" s="1">
        <v>16.333333333333332</v>
      </c>
      <c r="U907" t="s">
        <v>61</v>
      </c>
    </row>
    <row r="908" spans="1:21" x14ac:dyDescent="0.35">
      <c r="A908" t="s">
        <v>34</v>
      </c>
      <c r="B908">
        <v>17</v>
      </c>
      <c r="C908" t="s">
        <v>35</v>
      </c>
      <c r="D908" t="s">
        <v>36</v>
      </c>
      <c r="E908" t="s">
        <v>37</v>
      </c>
      <c r="F908" t="s">
        <v>45</v>
      </c>
      <c r="G908" t="s">
        <v>45</v>
      </c>
      <c r="H908">
        <v>2</v>
      </c>
      <c r="I908">
        <v>0</v>
      </c>
      <c r="J908" t="s">
        <v>43</v>
      </c>
      <c r="K908" t="s">
        <v>43</v>
      </c>
      <c r="L908" t="s">
        <v>43</v>
      </c>
      <c r="M908" t="s">
        <v>43</v>
      </c>
      <c r="N908" t="s">
        <v>42</v>
      </c>
      <c r="O908">
        <v>4</v>
      </c>
      <c r="P908">
        <v>4</v>
      </c>
      <c r="Q908">
        <v>5</v>
      </c>
      <c r="R908" t="s">
        <v>61</v>
      </c>
      <c r="S908">
        <v>1</v>
      </c>
      <c r="T908" s="1">
        <v>10</v>
      </c>
      <c r="U908" t="s">
        <v>61</v>
      </c>
    </row>
    <row r="909" spans="1:21" x14ac:dyDescent="0.35">
      <c r="A909" t="s">
        <v>34</v>
      </c>
      <c r="B909">
        <v>18</v>
      </c>
      <c r="C909" t="s">
        <v>52</v>
      </c>
      <c r="D909" t="s">
        <v>36</v>
      </c>
      <c r="E909" t="s">
        <v>44</v>
      </c>
      <c r="F909" t="s">
        <v>38</v>
      </c>
      <c r="G909" t="s">
        <v>45</v>
      </c>
      <c r="H909">
        <v>2</v>
      </c>
      <c r="I909">
        <v>1</v>
      </c>
      <c r="J909" t="s">
        <v>43</v>
      </c>
      <c r="K909" t="s">
        <v>42</v>
      </c>
      <c r="L909" t="s">
        <v>43</v>
      </c>
      <c r="M909" t="s">
        <v>43</v>
      </c>
      <c r="N909" t="s">
        <v>42</v>
      </c>
      <c r="O909">
        <v>4</v>
      </c>
      <c r="P909">
        <v>3</v>
      </c>
      <c r="Q909">
        <v>2</v>
      </c>
      <c r="R909" t="s">
        <v>62</v>
      </c>
      <c r="S909">
        <v>0</v>
      </c>
      <c r="T909" s="1">
        <v>7</v>
      </c>
      <c r="U909" t="s">
        <v>61</v>
      </c>
    </row>
    <row r="910" spans="1:21" x14ac:dyDescent="0.35">
      <c r="A910" t="s">
        <v>34</v>
      </c>
      <c r="B910">
        <v>16</v>
      </c>
      <c r="C910" t="s">
        <v>35</v>
      </c>
      <c r="D910" t="s">
        <v>36</v>
      </c>
      <c r="E910" t="s">
        <v>44</v>
      </c>
      <c r="F910" t="s">
        <v>45</v>
      </c>
      <c r="G910" t="s">
        <v>45</v>
      </c>
      <c r="H910">
        <v>1</v>
      </c>
      <c r="I910">
        <v>0</v>
      </c>
      <c r="J910" t="s">
        <v>43</v>
      </c>
      <c r="K910" t="s">
        <v>43</v>
      </c>
      <c r="L910" t="s">
        <v>43</v>
      </c>
      <c r="M910" t="s">
        <v>42</v>
      </c>
      <c r="N910" t="s">
        <v>43</v>
      </c>
      <c r="O910">
        <v>3</v>
      </c>
      <c r="P910">
        <v>1</v>
      </c>
      <c r="Q910">
        <v>3</v>
      </c>
      <c r="R910" t="s">
        <v>61</v>
      </c>
      <c r="S910">
        <v>1</v>
      </c>
      <c r="T910" s="1">
        <v>7.333333333333333</v>
      </c>
      <c r="U910" t="s">
        <v>62</v>
      </c>
    </row>
    <row r="911" spans="1:21" x14ac:dyDescent="0.35">
      <c r="A911" t="s">
        <v>34</v>
      </c>
      <c r="B911">
        <v>16</v>
      </c>
      <c r="C911" t="s">
        <v>35</v>
      </c>
      <c r="D911" t="s">
        <v>36</v>
      </c>
      <c r="E911" t="s">
        <v>44</v>
      </c>
      <c r="F911" t="s">
        <v>48</v>
      </c>
      <c r="G911" t="s">
        <v>38</v>
      </c>
      <c r="H911">
        <v>1</v>
      </c>
      <c r="I911">
        <v>0</v>
      </c>
      <c r="J911" t="s">
        <v>43</v>
      </c>
      <c r="K911" t="s">
        <v>43</v>
      </c>
      <c r="L911" t="s">
        <v>43</v>
      </c>
      <c r="M911" t="s">
        <v>43</v>
      </c>
      <c r="N911" t="s">
        <v>43</v>
      </c>
      <c r="O911">
        <v>3</v>
      </c>
      <c r="P911">
        <v>1</v>
      </c>
      <c r="Q911">
        <v>3</v>
      </c>
      <c r="R911" t="s">
        <v>61</v>
      </c>
      <c r="S911">
        <v>1</v>
      </c>
      <c r="T911" s="1">
        <v>6.666666666666667</v>
      </c>
      <c r="U911" t="s">
        <v>63</v>
      </c>
    </row>
    <row r="912" spans="1:21" x14ac:dyDescent="0.35">
      <c r="A912" t="s">
        <v>34</v>
      </c>
      <c r="B912">
        <v>18</v>
      </c>
      <c r="C912" t="s">
        <v>35</v>
      </c>
      <c r="D912" t="s">
        <v>47</v>
      </c>
      <c r="E912" t="s">
        <v>44</v>
      </c>
      <c r="F912" t="s">
        <v>45</v>
      </c>
      <c r="G912" t="s">
        <v>38</v>
      </c>
      <c r="H912">
        <v>2</v>
      </c>
      <c r="I912">
        <v>0</v>
      </c>
      <c r="J912" t="s">
        <v>42</v>
      </c>
      <c r="K912" t="s">
        <v>43</v>
      </c>
      <c r="L912" t="s">
        <v>43</v>
      </c>
      <c r="M912" t="s">
        <v>43</v>
      </c>
      <c r="N912" t="s">
        <v>43</v>
      </c>
      <c r="O912">
        <v>2</v>
      </c>
      <c r="P912">
        <v>3</v>
      </c>
      <c r="Q912">
        <v>5</v>
      </c>
      <c r="R912" t="s">
        <v>62</v>
      </c>
      <c r="S912">
        <v>1</v>
      </c>
      <c r="T912" s="1">
        <v>9</v>
      </c>
      <c r="U912" t="s">
        <v>63</v>
      </c>
    </row>
    <row r="913" spans="1:21" x14ac:dyDescent="0.35">
      <c r="A913" t="s">
        <v>34</v>
      </c>
      <c r="B913">
        <v>16</v>
      </c>
      <c r="C913" t="s">
        <v>52</v>
      </c>
      <c r="D913" t="s">
        <v>36</v>
      </c>
      <c r="E913" t="s">
        <v>44</v>
      </c>
      <c r="F913" t="s">
        <v>28</v>
      </c>
      <c r="G913" t="s">
        <v>39</v>
      </c>
      <c r="H913">
        <v>2</v>
      </c>
      <c r="I913">
        <v>0</v>
      </c>
      <c r="J913" t="s">
        <v>43</v>
      </c>
      <c r="K913" t="s">
        <v>43</v>
      </c>
      <c r="L913" t="s">
        <v>43</v>
      </c>
      <c r="M913" t="s">
        <v>42</v>
      </c>
      <c r="N913" t="s">
        <v>42</v>
      </c>
      <c r="O913">
        <v>4</v>
      </c>
      <c r="P913">
        <v>3</v>
      </c>
      <c r="Q913">
        <v>3</v>
      </c>
      <c r="R913" t="s">
        <v>61</v>
      </c>
      <c r="S913">
        <v>0</v>
      </c>
      <c r="T913" s="1">
        <v>15.333333333333334</v>
      </c>
      <c r="U913" t="s">
        <v>63</v>
      </c>
    </row>
    <row r="914" spans="1:21" x14ac:dyDescent="0.35">
      <c r="A914" t="s">
        <v>34</v>
      </c>
      <c r="B914">
        <v>16</v>
      </c>
      <c r="C914" t="s">
        <v>52</v>
      </c>
      <c r="D914" t="s">
        <v>47</v>
      </c>
      <c r="E914" t="s">
        <v>44</v>
      </c>
      <c r="F914" t="s">
        <v>45</v>
      </c>
      <c r="G914" t="s">
        <v>45</v>
      </c>
      <c r="H914">
        <v>1</v>
      </c>
      <c r="I914">
        <v>0</v>
      </c>
      <c r="J914" t="s">
        <v>43</v>
      </c>
      <c r="K914" t="s">
        <v>43</v>
      </c>
      <c r="L914" t="s">
        <v>43</v>
      </c>
      <c r="M914" t="s">
        <v>42</v>
      </c>
      <c r="N914" t="s">
        <v>43</v>
      </c>
      <c r="O914">
        <v>5</v>
      </c>
      <c r="P914">
        <v>4</v>
      </c>
      <c r="Q914">
        <v>5</v>
      </c>
      <c r="R914" t="s">
        <v>61</v>
      </c>
      <c r="S914">
        <v>0</v>
      </c>
      <c r="T914" s="1">
        <v>14.333333333333334</v>
      </c>
      <c r="U914" t="s">
        <v>63</v>
      </c>
    </row>
    <row r="915" spans="1:21" x14ac:dyDescent="0.35">
      <c r="A915" t="s">
        <v>34</v>
      </c>
      <c r="B915">
        <v>18</v>
      </c>
      <c r="C915" t="s">
        <v>35</v>
      </c>
      <c r="D915" t="s">
        <v>36</v>
      </c>
      <c r="E915" t="s">
        <v>37</v>
      </c>
      <c r="F915" t="s">
        <v>45</v>
      </c>
      <c r="G915" t="s">
        <v>48</v>
      </c>
      <c r="H915">
        <v>2</v>
      </c>
      <c r="I915">
        <v>1</v>
      </c>
      <c r="J915" t="s">
        <v>43</v>
      </c>
      <c r="K915" t="s">
        <v>42</v>
      </c>
      <c r="L915" t="s">
        <v>43</v>
      </c>
      <c r="M915" t="s">
        <v>43</v>
      </c>
      <c r="N915" t="s">
        <v>43</v>
      </c>
      <c r="O915">
        <v>2</v>
      </c>
      <c r="P915">
        <v>3</v>
      </c>
      <c r="Q915">
        <v>2</v>
      </c>
      <c r="R915" t="s">
        <v>62</v>
      </c>
      <c r="S915">
        <v>1</v>
      </c>
      <c r="T915" s="1">
        <v>7</v>
      </c>
      <c r="U915" t="s">
        <v>62</v>
      </c>
    </row>
    <row r="916" spans="1:21" x14ac:dyDescent="0.35">
      <c r="A916" t="s">
        <v>50</v>
      </c>
      <c r="B916">
        <v>16</v>
      </c>
      <c r="C916" t="s">
        <v>52</v>
      </c>
      <c r="D916" t="s">
        <v>36</v>
      </c>
      <c r="E916" t="s">
        <v>44</v>
      </c>
      <c r="F916" t="s">
        <v>45</v>
      </c>
      <c r="G916" t="s">
        <v>48</v>
      </c>
      <c r="H916">
        <v>2</v>
      </c>
      <c r="I916">
        <v>0</v>
      </c>
      <c r="J916" t="s">
        <v>43</v>
      </c>
      <c r="K916" t="s">
        <v>43</v>
      </c>
      <c r="L916" t="s">
        <v>43</v>
      </c>
      <c r="M916" t="s">
        <v>42</v>
      </c>
      <c r="N916" t="s">
        <v>43</v>
      </c>
      <c r="O916">
        <v>5</v>
      </c>
      <c r="P916">
        <v>2</v>
      </c>
      <c r="Q916">
        <v>1</v>
      </c>
      <c r="R916" t="s">
        <v>61</v>
      </c>
      <c r="S916">
        <v>2</v>
      </c>
      <c r="T916" s="1">
        <v>5</v>
      </c>
      <c r="U916" t="s">
        <v>61</v>
      </c>
    </row>
    <row r="917" spans="1:21" x14ac:dyDescent="0.35">
      <c r="A917" t="s">
        <v>34</v>
      </c>
      <c r="B917">
        <v>16</v>
      </c>
      <c r="C917" t="s">
        <v>35</v>
      </c>
      <c r="D917" t="s">
        <v>47</v>
      </c>
      <c r="E917" t="s">
        <v>44</v>
      </c>
      <c r="F917" t="s">
        <v>38</v>
      </c>
      <c r="G917" t="s">
        <v>45</v>
      </c>
      <c r="H917">
        <v>2</v>
      </c>
      <c r="I917">
        <v>0</v>
      </c>
      <c r="J917" t="s">
        <v>43</v>
      </c>
      <c r="K917" t="s">
        <v>42</v>
      </c>
      <c r="L917" t="s">
        <v>43</v>
      </c>
      <c r="M917" t="s">
        <v>43</v>
      </c>
      <c r="N917" t="s">
        <v>43</v>
      </c>
      <c r="O917">
        <v>4</v>
      </c>
      <c r="P917">
        <v>3</v>
      </c>
      <c r="Q917">
        <v>2</v>
      </c>
      <c r="R917" t="s">
        <v>62</v>
      </c>
      <c r="S917">
        <v>0</v>
      </c>
      <c r="T917" s="1">
        <v>7.333333333333333</v>
      </c>
      <c r="U917" t="s">
        <v>62</v>
      </c>
    </row>
    <row r="918" spans="1:21" x14ac:dyDescent="0.35">
      <c r="A918" t="s">
        <v>34</v>
      </c>
      <c r="B918">
        <v>16</v>
      </c>
      <c r="C918" t="s">
        <v>52</v>
      </c>
      <c r="D918" t="s">
        <v>36</v>
      </c>
      <c r="E918" t="s">
        <v>44</v>
      </c>
      <c r="F918" t="s">
        <v>38</v>
      </c>
      <c r="G918" t="s">
        <v>48</v>
      </c>
      <c r="H918">
        <v>2</v>
      </c>
      <c r="I918">
        <v>0</v>
      </c>
      <c r="J918" t="s">
        <v>43</v>
      </c>
      <c r="K918" t="s">
        <v>42</v>
      </c>
      <c r="L918" t="s">
        <v>43</v>
      </c>
      <c r="M918" t="s">
        <v>42</v>
      </c>
      <c r="N918" t="s">
        <v>43</v>
      </c>
      <c r="O918">
        <v>3</v>
      </c>
      <c r="P918">
        <v>3</v>
      </c>
      <c r="Q918">
        <v>3</v>
      </c>
      <c r="R918" t="s">
        <v>61</v>
      </c>
      <c r="S918">
        <v>0</v>
      </c>
      <c r="T918" s="1">
        <v>9.3333333333333339</v>
      </c>
      <c r="U918" t="s">
        <v>61</v>
      </c>
    </row>
    <row r="919" spans="1:21" x14ac:dyDescent="0.35">
      <c r="A919" t="s">
        <v>34</v>
      </c>
      <c r="B919">
        <v>16</v>
      </c>
      <c r="C919" t="s">
        <v>35</v>
      </c>
      <c r="D919" t="s">
        <v>36</v>
      </c>
      <c r="E919" t="s">
        <v>44</v>
      </c>
      <c r="F919" t="s">
        <v>28</v>
      </c>
      <c r="G919" t="s">
        <v>28</v>
      </c>
      <c r="H919">
        <v>2</v>
      </c>
      <c r="I919">
        <v>0</v>
      </c>
      <c r="J919" t="s">
        <v>43</v>
      </c>
      <c r="K919" t="s">
        <v>42</v>
      </c>
      <c r="L919" t="s">
        <v>43</v>
      </c>
      <c r="M919" t="s">
        <v>43</v>
      </c>
      <c r="N919" t="s">
        <v>42</v>
      </c>
      <c r="O919">
        <v>4</v>
      </c>
      <c r="P919">
        <v>3</v>
      </c>
      <c r="Q919">
        <v>4</v>
      </c>
      <c r="R919" t="s">
        <v>61</v>
      </c>
      <c r="S919">
        <v>0</v>
      </c>
      <c r="T919" s="1">
        <v>8</v>
      </c>
      <c r="U919" t="s">
        <v>62</v>
      </c>
    </row>
    <row r="920" spans="1:21" x14ac:dyDescent="0.35">
      <c r="A920" t="s">
        <v>50</v>
      </c>
      <c r="B920">
        <v>18</v>
      </c>
      <c r="C920" t="s">
        <v>35</v>
      </c>
      <c r="D920" t="s">
        <v>47</v>
      </c>
      <c r="E920" t="s">
        <v>44</v>
      </c>
      <c r="F920" t="s">
        <v>38</v>
      </c>
      <c r="G920" t="s">
        <v>28</v>
      </c>
      <c r="H920">
        <v>4</v>
      </c>
      <c r="I920">
        <v>0</v>
      </c>
      <c r="J920" t="s">
        <v>43</v>
      </c>
      <c r="K920" t="s">
        <v>42</v>
      </c>
      <c r="L920" t="s">
        <v>43</v>
      </c>
      <c r="M920" t="s">
        <v>42</v>
      </c>
      <c r="N920" t="s">
        <v>42</v>
      </c>
      <c r="O920">
        <v>5</v>
      </c>
      <c r="P920">
        <v>5</v>
      </c>
      <c r="Q920">
        <v>5</v>
      </c>
      <c r="R920" t="s">
        <v>61</v>
      </c>
      <c r="S920">
        <v>0</v>
      </c>
      <c r="T920" s="1">
        <v>5.666666666666667</v>
      </c>
      <c r="U920" t="s">
        <v>63</v>
      </c>
    </row>
    <row r="921" spans="1:21" x14ac:dyDescent="0.35">
      <c r="A921" t="s">
        <v>34</v>
      </c>
      <c r="B921">
        <v>16</v>
      </c>
      <c r="C921" t="s">
        <v>52</v>
      </c>
      <c r="D921" t="s">
        <v>47</v>
      </c>
      <c r="E921" t="s">
        <v>44</v>
      </c>
      <c r="F921" t="s">
        <v>38</v>
      </c>
      <c r="G921" t="s">
        <v>45</v>
      </c>
      <c r="H921">
        <v>2</v>
      </c>
      <c r="I921">
        <v>0</v>
      </c>
      <c r="J921" t="s">
        <v>43</v>
      </c>
      <c r="K921" t="s">
        <v>42</v>
      </c>
      <c r="L921" t="s">
        <v>43</v>
      </c>
      <c r="M921" t="s">
        <v>43</v>
      </c>
      <c r="N921" t="s">
        <v>43</v>
      </c>
      <c r="O921">
        <v>4</v>
      </c>
      <c r="P921">
        <v>2</v>
      </c>
      <c r="Q921">
        <v>1</v>
      </c>
      <c r="R921" t="s">
        <v>61</v>
      </c>
      <c r="S921">
        <v>1</v>
      </c>
      <c r="T921" s="1">
        <v>8</v>
      </c>
      <c r="U921" t="s">
        <v>61</v>
      </c>
    </row>
    <row r="922" spans="1:21" x14ac:dyDescent="0.35">
      <c r="A922" t="s">
        <v>50</v>
      </c>
      <c r="B922">
        <v>17</v>
      </c>
      <c r="C922" t="s">
        <v>35</v>
      </c>
      <c r="D922" t="s">
        <v>47</v>
      </c>
      <c r="E922" t="s">
        <v>44</v>
      </c>
      <c r="F922" t="s">
        <v>45</v>
      </c>
      <c r="G922" t="s">
        <v>48</v>
      </c>
      <c r="H922">
        <v>3</v>
      </c>
      <c r="I922">
        <v>0</v>
      </c>
      <c r="J922" t="s">
        <v>43</v>
      </c>
      <c r="K922" t="s">
        <v>42</v>
      </c>
      <c r="L922" t="s">
        <v>43</v>
      </c>
      <c r="M922" t="s">
        <v>43</v>
      </c>
      <c r="N922" t="s">
        <v>43</v>
      </c>
      <c r="O922">
        <v>4</v>
      </c>
      <c r="P922">
        <v>4</v>
      </c>
      <c r="Q922">
        <v>3</v>
      </c>
      <c r="R922" t="s">
        <v>61</v>
      </c>
      <c r="S922">
        <v>1</v>
      </c>
      <c r="T922" s="1">
        <v>15</v>
      </c>
      <c r="U922" t="s">
        <v>62</v>
      </c>
    </row>
    <row r="923" spans="1:21" x14ac:dyDescent="0.35">
      <c r="A923" t="s">
        <v>34</v>
      </c>
      <c r="B923">
        <v>17</v>
      </c>
      <c r="C923" t="s">
        <v>52</v>
      </c>
      <c r="D923" t="s">
        <v>36</v>
      </c>
      <c r="E923" t="s">
        <v>44</v>
      </c>
      <c r="F923" t="s">
        <v>45</v>
      </c>
      <c r="G923" t="s">
        <v>45</v>
      </c>
      <c r="H923">
        <v>1</v>
      </c>
      <c r="I923">
        <v>0</v>
      </c>
      <c r="J923" t="s">
        <v>43</v>
      </c>
      <c r="K923" t="s">
        <v>43</v>
      </c>
      <c r="L923" t="s">
        <v>43</v>
      </c>
      <c r="M923" t="s">
        <v>43</v>
      </c>
      <c r="N923" t="s">
        <v>42</v>
      </c>
      <c r="O923">
        <v>4</v>
      </c>
      <c r="P923">
        <v>2</v>
      </c>
      <c r="Q923">
        <v>3</v>
      </c>
      <c r="R923" t="s">
        <v>61</v>
      </c>
      <c r="S923">
        <v>0</v>
      </c>
      <c r="T923" s="1">
        <v>13.666666666666666</v>
      </c>
      <c r="U923" t="s">
        <v>62</v>
      </c>
    </row>
    <row r="924" spans="1:21" x14ac:dyDescent="0.35">
      <c r="A924" t="s">
        <v>50</v>
      </c>
      <c r="B924">
        <v>16</v>
      </c>
      <c r="C924" t="s">
        <v>35</v>
      </c>
      <c r="D924" t="s">
        <v>47</v>
      </c>
      <c r="E924" t="s">
        <v>44</v>
      </c>
      <c r="F924" t="s">
        <v>48</v>
      </c>
      <c r="G924" t="s">
        <v>48</v>
      </c>
      <c r="H924">
        <v>3</v>
      </c>
      <c r="I924">
        <v>0</v>
      </c>
      <c r="J924" t="s">
        <v>43</v>
      </c>
      <c r="K924" t="s">
        <v>43</v>
      </c>
      <c r="L924" t="s">
        <v>43</v>
      </c>
      <c r="M924" t="s">
        <v>43</v>
      </c>
      <c r="N924" t="s">
        <v>43</v>
      </c>
      <c r="O924">
        <v>5</v>
      </c>
      <c r="P924">
        <v>1</v>
      </c>
      <c r="Q924">
        <v>3</v>
      </c>
      <c r="R924" t="s">
        <v>61</v>
      </c>
      <c r="S924">
        <v>1</v>
      </c>
      <c r="T924" s="1">
        <v>9.6666666666666661</v>
      </c>
      <c r="U924" t="s">
        <v>62</v>
      </c>
    </row>
    <row r="925" spans="1:21" x14ac:dyDescent="0.35">
      <c r="A925" t="s">
        <v>34</v>
      </c>
      <c r="B925">
        <v>17</v>
      </c>
      <c r="C925" t="s">
        <v>52</v>
      </c>
      <c r="D925" t="s">
        <v>36</v>
      </c>
      <c r="E925" t="s">
        <v>44</v>
      </c>
      <c r="F925" t="s">
        <v>38</v>
      </c>
      <c r="G925" t="s">
        <v>45</v>
      </c>
      <c r="H925">
        <v>1</v>
      </c>
      <c r="I925">
        <v>0</v>
      </c>
      <c r="J925" t="s">
        <v>43</v>
      </c>
      <c r="K925" t="s">
        <v>42</v>
      </c>
      <c r="L925" t="s">
        <v>42</v>
      </c>
      <c r="M925" t="s">
        <v>43</v>
      </c>
      <c r="N925" t="s">
        <v>43</v>
      </c>
      <c r="O925">
        <v>5</v>
      </c>
      <c r="P925">
        <v>1</v>
      </c>
      <c r="Q925">
        <v>3</v>
      </c>
      <c r="R925" t="s">
        <v>62</v>
      </c>
      <c r="S925">
        <v>0</v>
      </c>
      <c r="T925" s="1">
        <v>9</v>
      </c>
      <c r="U925" t="s">
        <v>62</v>
      </c>
    </row>
    <row r="926" spans="1:21" x14ac:dyDescent="0.35">
      <c r="A926" t="s">
        <v>34</v>
      </c>
      <c r="B926">
        <v>16</v>
      </c>
      <c r="C926" t="s">
        <v>35</v>
      </c>
      <c r="D926" t="s">
        <v>47</v>
      </c>
      <c r="E926" t="s">
        <v>44</v>
      </c>
      <c r="F926" t="s">
        <v>48</v>
      </c>
      <c r="G926" t="s">
        <v>48</v>
      </c>
      <c r="H926">
        <v>1</v>
      </c>
      <c r="I926">
        <v>0</v>
      </c>
      <c r="J926" t="s">
        <v>43</v>
      </c>
      <c r="K926" t="s">
        <v>42</v>
      </c>
      <c r="L926" t="s">
        <v>43</v>
      </c>
      <c r="M926" t="s">
        <v>43</v>
      </c>
      <c r="N926" t="s">
        <v>43</v>
      </c>
      <c r="O926">
        <v>5</v>
      </c>
      <c r="P926">
        <v>1</v>
      </c>
      <c r="Q926">
        <v>3</v>
      </c>
      <c r="R926" t="s">
        <v>61</v>
      </c>
      <c r="S926">
        <v>0</v>
      </c>
      <c r="T926" s="1">
        <v>11</v>
      </c>
      <c r="U926" t="s">
        <v>62</v>
      </c>
    </row>
    <row r="927" spans="1:21" x14ac:dyDescent="0.35">
      <c r="A927" t="s">
        <v>50</v>
      </c>
      <c r="B927">
        <v>17</v>
      </c>
      <c r="C927" t="s">
        <v>35</v>
      </c>
      <c r="D927" t="s">
        <v>36</v>
      </c>
      <c r="E927" t="s">
        <v>44</v>
      </c>
      <c r="F927" t="s">
        <v>48</v>
      </c>
      <c r="G927" t="s">
        <v>48</v>
      </c>
      <c r="H927">
        <v>1</v>
      </c>
      <c r="I927">
        <v>0</v>
      </c>
      <c r="J927" t="s">
        <v>43</v>
      </c>
      <c r="K927" t="s">
        <v>42</v>
      </c>
      <c r="L927" t="s">
        <v>43</v>
      </c>
      <c r="M927" t="s">
        <v>42</v>
      </c>
      <c r="N927" t="s">
        <v>43</v>
      </c>
      <c r="O927">
        <v>4</v>
      </c>
      <c r="P927">
        <v>1</v>
      </c>
      <c r="Q927">
        <v>4</v>
      </c>
      <c r="R927" t="s">
        <v>62</v>
      </c>
      <c r="S927">
        <v>1</v>
      </c>
      <c r="T927" s="1">
        <v>8.6666666666666661</v>
      </c>
      <c r="U927" t="s">
        <v>63</v>
      </c>
    </row>
    <row r="928" spans="1:21" x14ac:dyDescent="0.35">
      <c r="A928" t="s">
        <v>50</v>
      </c>
      <c r="B928">
        <v>17</v>
      </c>
      <c r="C928" t="s">
        <v>35</v>
      </c>
      <c r="D928" t="s">
        <v>36</v>
      </c>
      <c r="E928" t="s">
        <v>44</v>
      </c>
      <c r="F928" t="s">
        <v>38</v>
      </c>
      <c r="G928" t="s">
        <v>48</v>
      </c>
      <c r="H928">
        <v>2</v>
      </c>
      <c r="I928">
        <v>0</v>
      </c>
      <c r="J928" t="s">
        <v>43</v>
      </c>
      <c r="K928" t="s">
        <v>43</v>
      </c>
      <c r="L928" t="s">
        <v>43</v>
      </c>
      <c r="M928" t="s">
        <v>43</v>
      </c>
      <c r="N928" t="s">
        <v>42</v>
      </c>
      <c r="O928">
        <v>5</v>
      </c>
      <c r="P928">
        <v>1</v>
      </c>
      <c r="Q928">
        <v>3</v>
      </c>
      <c r="R928" t="s">
        <v>61</v>
      </c>
      <c r="S928">
        <v>0</v>
      </c>
      <c r="T928" s="1">
        <v>10</v>
      </c>
      <c r="U928" t="s">
        <v>63</v>
      </c>
    </row>
    <row r="929" spans="1:21" x14ac:dyDescent="0.35">
      <c r="A929" t="s">
        <v>50</v>
      </c>
      <c r="B929">
        <v>16</v>
      </c>
      <c r="C929" t="s">
        <v>35</v>
      </c>
      <c r="D929" t="s">
        <v>36</v>
      </c>
      <c r="E929" t="s">
        <v>44</v>
      </c>
      <c r="F929" t="s">
        <v>28</v>
      </c>
      <c r="G929" t="s">
        <v>48</v>
      </c>
      <c r="H929">
        <v>2</v>
      </c>
      <c r="I929">
        <v>0</v>
      </c>
      <c r="J929" t="s">
        <v>43</v>
      </c>
      <c r="K929" t="s">
        <v>43</v>
      </c>
      <c r="L929" t="s">
        <v>43</v>
      </c>
      <c r="M929" t="s">
        <v>43</v>
      </c>
      <c r="N929" t="s">
        <v>42</v>
      </c>
      <c r="O929">
        <v>4</v>
      </c>
      <c r="P929">
        <v>2</v>
      </c>
      <c r="Q929">
        <v>2</v>
      </c>
      <c r="R929" t="s">
        <v>61</v>
      </c>
      <c r="S929">
        <v>1</v>
      </c>
      <c r="T929" s="1">
        <v>8</v>
      </c>
      <c r="U929" t="s">
        <v>63</v>
      </c>
    </row>
    <row r="930" spans="1:21" x14ac:dyDescent="0.35">
      <c r="A930" t="s">
        <v>34</v>
      </c>
      <c r="B930">
        <v>16</v>
      </c>
      <c r="C930" t="s">
        <v>35</v>
      </c>
      <c r="D930" t="s">
        <v>47</v>
      </c>
      <c r="E930" t="s">
        <v>44</v>
      </c>
      <c r="F930" t="s">
        <v>45</v>
      </c>
      <c r="G930" t="s">
        <v>48</v>
      </c>
      <c r="H930">
        <v>2</v>
      </c>
      <c r="I930">
        <v>0</v>
      </c>
      <c r="J930" t="s">
        <v>43</v>
      </c>
      <c r="K930" t="s">
        <v>43</v>
      </c>
      <c r="L930" t="s">
        <v>43</v>
      </c>
      <c r="M930" t="s">
        <v>43</v>
      </c>
      <c r="N930" t="s">
        <v>42</v>
      </c>
      <c r="O930">
        <v>3</v>
      </c>
      <c r="P930">
        <v>2</v>
      </c>
      <c r="Q930">
        <v>2</v>
      </c>
      <c r="R930" t="s">
        <v>61</v>
      </c>
      <c r="S930">
        <v>0</v>
      </c>
      <c r="T930" s="1">
        <v>15</v>
      </c>
      <c r="U930" t="s">
        <v>61</v>
      </c>
    </row>
    <row r="931" spans="1:21" x14ac:dyDescent="0.35">
      <c r="A931" t="s">
        <v>50</v>
      </c>
      <c r="B931">
        <v>16</v>
      </c>
      <c r="C931" t="s">
        <v>35</v>
      </c>
      <c r="D931" t="s">
        <v>47</v>
      </c>
      <c r="E931" t="s">
        <v>44</v>
      </c>
      <c r="F931" t="s">
        <v>39</v>
      </c>
      <c r="G931" t="s">
        <v>28</v>
      </c>
      <c r="H931">
        <v>1</v>
      </c>
      <c r="I931">
        <v>0</v>
      </c>
      <c r="J931" t="s">
        <v>43</v>
      </c>
      <c r="K931" t="s">
        <v>42</v>
      </c>
      <c r="L931" t="s">
        <v>43</v>
      </c>
      <c r="M931" t="s">
        <v>43</v>
      </c>
      <c r="N931" t="s">
        <v>43</v>
      </c>
      <c r="O931">
        <v>4</v>
      </c>
      <c r="P931">
        <v>1</v>
      </c>
      <c r="Q931">
        <v>2</v>
      </c>
      <c r="R931" t="s">
        <v>61</v>
      </c>
      <c r="S931">
        <v>0</v>
      </c>
      <c r="T931" s="1">
        <v>11.666666666666666</v>
      </c>
      <c r="U931" t="s">
        <v>63</v>
      </c>
    </row>
    <row r="932" spans="1:21" x14ac:dyDescent="0.35">
      <c r="A932" t="s">
        <v>50</v>
      </c>
      <c r="B932">
        <v>15</v>
      </c>
      <c r="C932" t="s">
        <v>52</v>
      </c>
      <c r="D932" t="s">
        <v>36</v>
      </c>
      <c r="E932" t="s">
        <v>44</v>
      </c>
      <c r="F932" t="s">
        <v>45</v>
      </c>
      <c r="G932" t="s">
        <v>48</v>
      </c>
      <c r="H932">
        <v>2</v>
      </c>
      <c r="I932">
        <v>0</v>
      </c>
      <c r="J932" t="s">
        <v>43</v>
      </c>
      <c r="K932" t="s">
        <v>42</v>
      </c>
      <c r="L932" t="s">
        <v>43</v>
      </c>
      <c r="M932" t="s">
        <v>42</v>
      </c>
      <c r="N932" t="s">
        <v>43</v>
      </c>
      <c r="O932">
        <v>5</v>
      </c>
      <c r="P932">
        <v>5</v>
      </c>
      <c r="Q932">
        <v>5</v>
      </c>
      <c r="R932" t="s">
        <v>63</v>
      </c>
      <c r="S932">
        <v>1</v>
      </c>
      <c r="T932" s="1">
        <v>10</v>
      </c>
      <c r="U932" t="s">
        <v>62</v>
      </c>
    </row>
    <row r="933" spans="1:21" x14ac:dyDescent="0.35">
      <c r="A933" t="s">
        <v>50</v>
      </c>
      <c r="B933">
        <v>15</v>
      </c>
      <c r="C933" t="s">
        <v>35</v>
      </c>
      <c r="D933" t="s">
        <v>47</v>
      </c>
      <c r="E933" t="s">
        <v>37</v>
      </c>
      <c r="F933" t="s">
        <v>45</v>
      </c>
      <c r="G933" t="s">
        <v>45</v>
      </c>
      <c r="H933">
        <v>4</v>
      </c>
      <c r="I933">
        <v>0</v>
      </c>
      <c r="J933" t="s">
        <v>43</v>
      </c>
      <c r="K933" t="s">
        <v>42</v>
      </c>
      <c r="L933" t="s">
        <v>43</v>
      </c>
      <c r="M933" t="s">
        <v>42</v>
      </c>
      <c r="N933" t="s">
        <v>43</v>
      </c>
      <c r="O933">
        <v>5</v>
      </c>
      <c r="P933">
        <v>4</v>
      </c>
      <c r="Q933">
        <v>5</v>
      </c>
      <c r="R933" t="s">
        <v>62</v>
      </c>
      <c r="S933">
        <v>0</v>
      </c>
      <c r="T933" s="1">
        <v>13.666666666666666</v>
      </c>
      <c r="U933" t="s">
        <v>63</v>
      </c>
    </row>
    <row r="934" spans="1:21" x14ac:dyDescent="0.35">
      <c r="A934" t="s">
        <v>50</v>
      </c>
      <c r="B934">
        <v>15</v>
      </c>
      <c r="C934" t="s">
        <v>35</v>
      </c>
      <c r="D934" t="s">
        <v>47</v>
      </c>
      <c r="E934" t="s">
        <v>37</v>
      </c>
      <c r="F934" t="s">
        <v>48</v>
      </c>
      <c r="G934" t="s">
        <v>48</v>
      </c>
      <c r="H934">
        <v>1</v>
      </c>
      <c r="I934">
        <v>0</v>
      </c>
      <c r="J934" t="s">
        <v>43</v>
      </c>
      <c r="K934" t="s">
        <v>43</v>
      </c>
      <c r="L934" t="s">
        <v>43</v>
      </c>
      <c r="M934" t="s">
        <v>42</v>
      </c>
      <c r="N934" t="s">
        <v>43</v>
      </c>
      <c r="O934">
        <v>4</v>
      </c>
      <c r="P934">
        <v>3</v>
      </c>
      <c r="Q934">
        <v>3</v>
      </c>
      <c r="R934" t="s">
        <v>63</v>
      </c>
      <c r="S934">
        <v>1</v>
      </c>
      <c r="T934" s="1">
        <v>12.333333333333334</v>
      </c>
      <c r="U934" t="s">
        <v>62</v>
      </c>
    </row>
    <row r="935" spans="1:21" x14ac:dyDescent="0.35">
      <c r="A935" t="s">
        <v>34</v>
      </c>
      <c r="B935">
        <v>16</v>
      </c>
      <c r="C935" t="s">
        <v>52</v>
      </c>
      <c r="D935" t="s">
        <v>47</v>
      </c>
      <c r="E935" t="s">
        <v>44</v>
      </c>
      <c r="F935" t="s">
        <v>45</v>
      </c>
      <c r="G935" t="s">
        <v>45</v>
      </c>
      <c r="H935">
        <v>3</v>
      </c>
      <c r="I935">
        <v>0</v>
      </c>
      <c r="J935" t="s">
        <v>43</v>
      </c>
      <c r="K935" t="s">
        <v>42</v>
      </c>
      <c r="L935" t="s">
        <v>43</v>
      </c>
      <c r="M935" t="s">
        <v>43</v>
      </c>
      <c r="N935" t="s">
        <v>42</v>
      </c>
      <c r="O935">
        <v>4</v>
      </c>
      <c r="P935">
        <v>3</v>
      </c>
      <c r="Q935">
        <v>3</v>
      </c>
      <c r="R935" t="s">
        <v>61</v>
      </c>
      <c r="S935">
        <v>0</v>
      </c>
      <c r="T935" s="1">
        <v>11</v>
      </c>
      <c r="U935" t="s">
        <v>62</v>
      </c>
    </row>
    <row r="936" spans="1:21" x14ac:dyDescent="0.35">
      <c r="A936" t="s">
        <v>34</v>
      </c>
      <c r="B936">
        <v>16</v>
      </c>
      <c r="C936" t="s">
        <v>35</v>
      </c>
      <c r="D936" t="s">
        <v>47</v>
      </c>
      <c r="E936" t="s">
        <v>44</v>
      </c>
      <c r="F936" t="s">
        <v>45</v>
      </c>
      <c r="G936" t="s">
        <v>45</v>
      </c>
      <c r="H936">
        <v>2</v>
      </c>
      <c r="I936">
        <v>0</v>
      </c>
      <c r="J936" t="s">
        <v>43</v>
      </c>
      <c r="K936" t="s">
        <v>42</v>
      </c>
      <c r="L936" t="s">
        <v>43</v>
      </c>
      <c r="M936" t="s">
        <v>42</v>
      </c>
      <c r="N936" t="s">
        <v>43</v>
      </c>
      <c r="O936">
        <v>1</v>
      </c>
      <c r="P936">
        <v>2</v>
      </c>
      <c r="Q936">
        <v>4</v>
      </c>
      <c r="R936" t="s">
        <v>62</v>
      </c>
      <c r="S936">
        <v>0</v>
      </c>
      <c r="T936" s="1">
        <v>9.6666666666666661</v>
      </c>
      <c r="U936" t="s">
        <v>62</v>
      </c>
    </row>
    <row r="937" spans="1:21" x14ac:dyDescent="0.35">
      <c r="A937" t="s">
        <v>34</v>
      </c>
      <c r="B937">
        <v>17</v>
      </c>
      <c r="C937" t="s">
        <v>35</v>
      </c>
      <c r="D937" t="s">
        <v>36</v>
      </c>
      <c r="E937" t="s">
        <v>44</v>
      </c>
      <c r="F937" t="s">
        <v>38</v>
      </c>
      <c r="G937" t="s">
        <v>45</v>
      </c>
      <c r="H937">
        <v>1</v>
      </c>
      <c r="I937">
        <v>0</v>
      </c>
      <c r="J937" t="s">
        <v>43</v>
      </c>
      <c r="K937" t="s">
        <v>43</v>
      </c>
      <c r="L937" t="s">
        <v>43</v>
      </c>
      <c r="M937" t="s">
        <v>43</v>
      </c>
      <c r="N937" t="s">
        <v>42</v>
      </c>
      <c r="O937">
        <v>4</v>
      </c>
      <c r="P937">
        <v>3</v>
      </c>
      <c r="Q937">
        <v>3</v>
      </c>
      <c r="R937" t="s">
        <v>62</v>
      </c>
      <c r="S937">
        <v>0</v>
      </c>
      <c r="T937" s="1">
        <v>10.333333333333334</v>
      </c>
      <c r="U937" t="s">
        <v>62</v>
      </c>
    </row>
    <row r="938" spans="1:21" x14ac:dyDescent="0.35">
      <c r="A938" t="s">
        <v>34</v>
      </c>
      <c r="B938">
        <v>17</v>
      </c>
      <c r="C938" t="s">
        <v>52</v>
      </c>
      <c r="D938" t="s">
        <v>36</v>
      </c>
      <c r="E938" t="s">
        <v>44</v>
      </c>
      <c r="F938" t="s">
        <v>45</v>
      </c>
      <c r="G938" t="s">
        <v>45</v>
      </c>
      <c r="H938">
        <v>2</v>
      </c>
      <c r="I938">
        <v>0</v>
      </c>
      <c r="J938" t="s">
        <v>42</v>
      </c>
      <c r="K938" t="s">
        <v>43</v>
      </c>
      <c r="L938" t="s">
        <v>42</v>
      </c>
      <c r="M938" t="s">
        <v>43</v>
      </c>
      <c r="N938" t="s">
        <v>43</v>
      </c>
      <c r="O938">
        <v>5</v>
      </c>
      <c r="P938">
        <v>1</v>
      </c>
      <c r="Q938">
        <v>3</v>
      </c>
      <c r="R938" t="s">
        <v>61</v>
      </c>
      <c r="S938">
        <v>1</v>
      </c>
      <c r="T938" s="1">
        <v>10.333333333333334</v>
      </c>
      <c r="U938" t="s">
        <v>61</v>
      </c>
    </row>
    <row r="939" spans="1:21" x14ac:dyDescent="0.35">
      <c r="A939" t="s">
        <v>34</v>
      </c>
      <c r="B939">
        <v>16</v>
      </c>
      <c r="C939" t="s">
        <v>35</v>
      </c>
      <c r="D939" t="s">
        <v>36</v>
      </c>
      <c r="E939" t="s">
        <v>44</v>
      </c>
      <c r="F939" t="s">
        <v>39</v>
      </c>
      <c r="G939" t="s">
        <v>48</v>
      </c>
      <c r="H939">
        <v>3</v>
      </c>
      <c r="I939">
        <v>0</v>
      </c>
      <c r="J939" t="s">
        <v>43</v>
      </c>
      <c r="K939" t="s">
        <v>42</v>
      </c>
      <c r="L939" t="s">
        <v>43</v>
      </c>
      <c r="M939" t="s">
        <v>43</v>
      </c>
      <c r="N939" t="s">
        <v>42</v>
      </c>
      <c r="O939">
        <v>5</v>
      </c>
      <c r="P939">
        <v>3</v>
      </c>
      <c r="Q939">
        <v>5</v>
      </c>
      <c r="R939" t="s">
        <v>61</v>
      </c>
      <c r="S939">
        <v>0</v>
      </c>
      <c r="T939" s="1">
        <v>11</v>
      </c>
      <c r="U939" t="s">
        <v>63</v>
      </c>
    </row>
    <row r="940" spans="1:21" x14ac:dyDescent="0.35">
      <c r="A940" t="s">
        <v>50</v>
      </c>
      <c r="B940">
        <v>17</v>
      </c>
      <c r="C940" t="s">
        <v>52</v>
      </c>
      <c r="D940" t="s">
        <v>36</v>
      </c>
      <c r="E940" t="s">
        <v>44</v>
      </c>
      <c r="F940" t="s">
        <v>28</v>
      </c>
      <c r="G940" t="s">
        <v>45</v>
      </c>
      <c r="H940">
        <v>1</v>
      </c>
      <c r="I940">
        <v>3</v>
      </c>
      <c r="J940" t="s">
        <v>43</v>
      </c>
      <c r="K940" t="s">
        <v>43</v>
      </c>
      <c r="L940" t="s">
        <v>43</v>
      </c>
      <c r="M940" t="s">
        <v>42</v>
      </c>
      <c r="N940" t="s">
        <v>42</v>
      </c>
      <c r="O940">
        <v>3</v>
      </c>
      <c r="P940">
        <v>3</v>
      </c>
      <c r="Q940">
        <v>3</v>
      </c>
      <c r="R940" t="s">
        <v>61</v>
      </c>
      <c r="S940">
        <v>1</v>
      </c>
      <c r="T940" s="1">
        <v>8.6666666666666661</v>
      </c>
      <c r="U940" t="s">
        <v>62</v>
      </c>
    </row>
    <row r="941" spans="1:21" x14ac:dyDescent="0.35">
      <c r="A941" t="s">
        <v>50</v>
      </c>
      <c r="B941">
        <v>17</v>
      </c>
      <c r="C941" t="s">
        <v>52</v>
      </c>
      <c r="D941" t="s">
        <v>47</v>
      </c>
      <c r="E941" t="s">
        <v>44</v>
      </c>
      <c r="F941" t="s">
        <v>45</v>
      </c>
      <c r="G941" t="s">
        <v>45</v>
      </c>
      <c r="H941">
        <v>1</v>
      </c>
      <c r="I941">
        <v>0</v>
      </c>
      <c r="J941" t="s">
        <v>43</v>
      </c>
      <c r="K941" t="s">
        <v>43</v>
      </c>
      <c r="L941" t="s">
        <v>43</v>
      </c>
      <c r="M941" t="s">
        <v>42</v>
      </c>
      <c r="N941" t="s">
        <v>42</v>
      </c>
      <c r="O941">
        <v>5</v>
      </c>
      <c r="P941">
        <v>1</v>
      </c>
      <c r="Q941">
        <v>2</v>
      </c>
      <c r="R941" t="s">
        <v>61</v>
      </c>
      <c r="S941">
        <v>1</v>
      </c>
      <c r="T941" s="1">
        <v>11.666666666666666</v>
      </c>
      <c r="U941" t="s">
        <v>63</v>
      </c>
    </row>
    <row r="942" spans="1:21" x14ac:dyDescent="0.35">
      <c r="A942" t="s">
        <v>50</v>
      </c>
      <c r="B942">
        <v>17</v>
      </c>
      <c r="C942" t="s">
        <v>35</v>
      </c>
      <c r="D942" t="s">
        <v>36</v>
      </c>
      <c r="E942" t="s">
        <v>44</v>
      </c>
      <c r="F942" t="s">
        <v>48</v>
      </c>
      <c r="G942" t="s">
        <v>45</v>
      </c>
      <c r="H942">
        <v>2</v>
      </c>
      <c r="I942">
        <v>1</v>
      </c>
      <c r="J942" t="s">
        <v>43</v>
      </c>
      <c r="K942" t="s">
        <v>42</v>
      </c>
      <c r="L942" t="s">
        <v>43</v>
      </c>
      <c r="M942" t="s">
        <v>42</v>
      </c>
      <c r="N942" t="s">
        <v>42</v>
      </c>
      <c r="O942">
        <v>5</v>
      </c>
      <c r="P942">
        <v>4</v>
      </c>
      <c r="Q942">
        <v>4</v>
      </c>
      <c r="R942" t="s">
        <v>62</v>
      </c>
      <c r="S942">
        <v>1</v>
      </c>
      <c r="T942" s="1">
        <v>8.3333333333333339</v>
      </c>
      <c r="U942" t="s">
        <v>63</v>
      </c>
    </row>
    <row r="943" spans="1:21" x14ac:dyDescent="0.35">
      <c r="A943" t="s">
        <v>34</v>
      </c>
      <c r="B943">
        <v>17</v>
      </c>
      <c r="C943" t="s">
        <v>35</v>
      </c>
      <c r="D943" t="s">
        <v>36</v>
      </c>
      <c r="E943" t="s">
        <v>44</v>
      </c>
      <c r="F943" t="s">
        <v>28</v>
      </c>
      <c r="G943" t="s">
        <v>28</v>
      </c>
      <c r="H943">
        <v>2</v>
      </c>
      <c r="I943">
        <v>0</v>
      </c>
      <c r="J943" t="s">
        <v>43</v>
      </c>
      <c r="K943" t="s">
        <v>42</v>
      </c>
      <c r="L943" t="s">
        <v>43</v>
      </c>
      <c r="M943" t="s">
        <v>43</v>
      </c>
      <c r="N943" t="s">
        <v>43</v>
      </c>
      <c r="O943">
        <v>5</v>
      </c>
      <c r="P943">
        <v>2</v>
      </c>
      <c r="Q943">
        <v>5</v>
      </c>
      <c r="R943" t="s">
        <v>61</v>
      </c>
      <c r="S943">
        <v>0</v>
      </c>
      <c r="T943" s="1">
        <v>14.666666666666666</v>
      </c>
      <c r="U943" t="s">
        <v>61</v>
      </c>
    </row>
    <row r="944" spans="1:21" x14ac:dyDescent="0.35">
      <c r="A944" t="s">
        <v>50</v>
      </c>
      <c r="B944">
        <v>16</v>
      </c>
      <c r="C944" t="s">
        <v>52</v>
      </c>
      <c r="D944" t="s">
        <v>47</v>
      </c>
      <c r="E944" t="s">
        <v>44</v>
      </c>
      <c r="F944" t="s">
        <v>45</v>
      </c>
      <c r="G944" t="s">
        <v>38</v>
      </c>
      <c r="H944">
        <v>1</v>
      </c>
      <c r="I944">
        <v>0</v>
      </c>
      <c r="J944" t="s">
        <v>43</v>
      </c>
      <c r="K944" t="s">
        <v>43</v>
      </c>
      <c r="L944" t="s">
        <v>43</v>
      </c>
      <c r="M944" t="s">
        <v>43</v>
      </c>
      <c r="N944" t="s">
        <v>43</v>
      </c>
      <c r="O944">
        <v>4</v>
      </c>
      <c r="P944">
        <v>1</v>
      </c>
      <c r="Q944">
        <v>2</v>
      </c>
      <c r="R944" t="s">
        <v>61</v>
      </c>
      <c r="S944">
        <v>0</v>
      </c>
      <c r="T944" s="1">
        <v>10.666666666666666</v>
      </c>
      <c r="U944" t="s">
        <v>62</v>
      </c>
    </row>
    <row r="945" spans="1:21" x14ac:dyDescent="0.35">
      <c r="A945" t="s">
        <v>34</v>
      </c>
      <c r="B945">
        <v>17</v>
      </c>
      <c r="C945" t="s">
        <v>35</v>
      </c>
      <c r="D945" t="s">
        <v>36</v>
      </c>
      <c r="E945" t="s">
        <v>37</v>
      </c>
      <c r="F945" t="s">
        <v>38</v>
      </c>
      <c r="G945" t="s">
        <v>38</v>
      </c>
      <c r="H945">
        <v>2</v>
      </c>
      <c r="I945">
        <v>0</v>
      </c>
      <c r="J945" t="s">
        <v>43</v>
      </c>
      <c r="K945" t="s">
        <v>43</v>
      </c>
      <c r="L945" t="s">
        <v>43</v>
      </c>
      <c r="M945" t="s">
        <v>42</v>
      </c>
      <c r="N945" t="s">
        <v>42</v>
      </c>
      <c r="O945">
        <v>4</v>
      </c>
      <c r="P945">
        <v>5</v>
      </c>
      <c r="Q945">
        <v>5</v>
      </c>
      <c r="R945" t="s">
        <v>61</v>
      </c>
      <c r="S945">
        <v>1</v>
      </c>
      <c r="T945" s="1">
        <v>10.666666666666666</v>
      </c>
      <c r="U945" t="s">
        <v>62</v>
      </c>
    </row>
    <row r="946" spans="1:21" x14ac:dyDescent="0.35">
      <c r="A946" t="s">
        <v>34</v>
      </c>
      <c r="B946">
        <v>17</v>
      </c>
      <c r="C946" t="s">
        <v>52</v>
      </c>
      <c r="D946" t="s">
        <v>36</v>
      </c>
      <c r="E946" t="s">
        <v>44</v>
      </c>
      <c r="F946" t="s">
        <v>45</v>
      </c>
      <c r="G946" t="s">
        <v>45</v>
      </c>
      <c r="H946">
        <v>2</v>
      </c>
      <c r="I946">
        <v>0</v>
      </c>
      <c r="J946" t="s">
        <v>42</v>
      </c>
      <c r="K946" t="s">
        <v>42</v>
      </c>
      <c r="L946" t="s">
        <v>43</v>
      </c>
      <c r="M946" t="s">
        <v>43</v>
      </c>
      <c r="N946" t="s">
        <v>43</v>
      </c>
      <c r="O946">
        <v>4</v>
      </c>
      <c r="P946">
        <v>3</v>
      </c>
      <c r="Q946">
        <v>3</v>
      </c>
      <c r="R946" t="s">
        <v>61</v>
      </c>
      <c r="S946">
        <v>0</v>
      </c>
      <c r="T946" s="1">
        <v>17.666666666666668</v>
      </c>
      <c r="U946" t="s">
        <v>63</v>
      </c>
    </row>
    <row r="947" spans="1:21" x14ac:dyDescent="0.35">
      <c r="A947" t="s">
        <v>50</v>
      </c>
      <c r="B947">
        <v>16</v>
      </c>
      <c r="C947" t="s">
        <v>35</v>
      </c>
      <c r="D947" t="s">
        <v>47</v>
      </c>
      <c r="E947" t="s">
        <v>37</v>
      </c>
      <c r="F947" t="s">
        <v>45</v>
      </c>
      <c r="G947" t="s">
        <v>48</v>
      </c>
      <c r="H947">
        <v>2</v>
      </c>
      <c r="I947">
        <v>0</v>
      </c>
      <c r="J947" t="s">
        <v>43</v>
      </c>
      <c r="K947" t="s">
        <v>42</v>
      </c>
      <c r="L947" t="s">
        <v>43</v>
      </c>
      <c r="M947" t="s">
        <v>43</v>
      </c>
      <c r="N947" t="s">
        <v>42</v>
      </c>
      <c r="O947">
        <v>4</v>
      </c>
      <c r="P947">
        <v>1</v>
      </c>
      <c r="Q947">
        <v>2</v>
      </c>
      <c r="R947" t="s">
        <v>61</v>
      </c>
      <c r="S947">
        <v>0</v>
      </c>
      <c r="T947" s="1">
        <v>12.666666666666666</v>
      </c>
      <c r="U947" t="s">
        <v>62</v>
      </c>
    </row>
    <row r="948" spans="1:21" x14ac:dyDescent="0.35">
      <c r="A948" t="s">
        <v>50</v>
      </c>
      <c r="B948">
        <v>17</v>
      </c>
      <c r="C948" t="s">
        <v>35</v>
      </c>
      <c r="D948" t="s">
        <v>36</v>
      </c>
      <c r="E948" t="s">
        <v>44</v>
      </c>
      <c r="F948" t="s">
        <v>45</v>
      </c>
      <c r="G948" t="s">
        <v>45</v>
      </c>
      <c r="H948">
        <v>2</v>
      </c>
      <c r="I948">
        <v>0</v>
      </c>
      <c r="J948" t="s">
        <v>43</v>
      </c>
      <c r="K948" t="s">
        <v>42</v>
      </c>
      <c r="L948" t="s">
        <v>42</v>
      </c>
      <c r="M948" t="s">
        <v>43</v>
      </c>
      <c r="N948" t="s">
        <v>43</v>
      </c>
      <c r="O948">
        <v>4</v>
      </c>
      <c r="P948">
        <v>1</v>
      </c>
      <c r="Q948">
        <v>2</v>
      </c>
      <c r="R948" t="s">
        <v>61</v>
      </c>
      <c r="S948">
        <v>1</v>
      </c>
      <c r="T948" s="1">
        <v>13.333333333333334</v>
      </c>
      <c r="U948" t="s">
        <v>62</v>
      </c>
    </row>
    <row r="949" spans="1:21" x14ac:dyDescent="0.35">
      <c r="A949" t="s">
        <v>50</v>
      </c>
      <c r="B949">
        <v>19</v>
      </c>
      <c r="C949" t="s">
        <v>35</v>
      </c>
      <c r="D949" t="s">
        <v>36</v>
      </c>
      <c r="E949" t="s">
        <v>44</v>
      </c>
      <c r="F949" t="s">
        <v>45</v>
      </c>
      <c r="G949" t="s">
        <v>45</v>
      </c>
      <c r="H949">
        <v>2</v>
      </c>
      <c r="I949">
        <v>2</v>
      </c>
      <c r="J949" t="s">
        <v>43</v>
      </c>
      <c r="K949" t="s">
        <v>42</v>
      </c>
      <c r="L949" t="s">
        <v>43</v>
      </c>
      <c r="M949" t="s">
        <v>42</v>
      </c>
      <c r="N949" t="s">
        <v>43</v>
      </c>
      <c r="O949">
        <v>4</v>
      </c>
      <c r="P949">
        <v>4</v>
      </c>
      <c r="Q949">
        <v>3</v>
      </c>
      <c r="R949" t="s">
        <v>61</v>
      </c>
      <c r="S949">
        <v>0</v>
      </c>
      <c r="T949" s="1">
        <v>9.3333333333333339</v>
      </c>
      <c r="U949" t="s">
        <v>63</v>
      </c>
    </row>
    <row r="950" spans="1:21" x14ac:dyDescent="0.35">
      <c r="A950" t="s">
        <v>50</v>
      </c>
      <c r="B950">
        <v>17</v>
      </c>
      <c r="C950" t="s">
        <v>35</v>
      </c>
      <c r="D950" t="s">
        <v>47</v>
      </c>
      <c r="E950" t="s">
        <v>37</v>
      </c>
      <c r="F950" t="s">
        <v>45</v>
      </c>
      <c r="G950" t="s">
        <v>45</v>
      </c>
      <c r="H950">
        <v>1</v>
      </c>
      <c r="I950">
        <v>0</v>
      </c>
      <c r="J950" t="s">
        <v>43</v>
      </c>
      <c r="K950" t="s">
        <v>43</v>
      </c>
      <c r="L950" t="s">
        <v>43</v>
      </c>
      <c r="M950" t="s">
        <v>43</v>
      </c>
      <c r="N950" t="s">
        <v>42</v>
      </c>
      <c r="O950">
        <v>4</v>
      </c>
      <c r="P950">
        <v>1</v>
      </c>
      <c r="Q950">
        <v>2</v>
      </c>
      <c r="R950" t="s">
        <v>61</v>
      </c>
      <c r="S950">
        <v>0</v>
      </c>
      <c r="T950" s="1">
        <v>11.333333333333334</v>
      </c>
      <c r="U950" t="s">
        <v>61</v>
      </c>
    </row>
    <row r="951" spans="1:21" x14ac:dyDescent="0.35">
      <c r="A951" t="s">
        <v>34</v>
      </c>
      <c r="B951">
        <v>17</v>
      </c>
      <c r="C951" t="s">
        <v>52</v>
      </c>
      <c r="D951" t="s">
        <v>36</v>
      </c>
      <c r="E951" t="s">
        <v>44</v>
      </c>
      <c r="F951" t="s">
        <v>38</v>
      </c>
      <c r="G951" t="s">
        <v>38</v>
      </c>
      <c r="H951">
        <v>1</v>
      </c>
      <c r="I951">
        <v>0</v>
      </c>
      <c r="J951" t="s">
        <v>43</v>
      </c>
      <c r="K951" t="s">
        <v>42</v>
      </c>
      <c r="L951" t="s">
        <v>43</v>
      </c>
      <c r="M951" t="s">
        <v>42</v>
      </c>
      <c r="N951" t="s">
        <v>42</v>
      </c>
      <c r="O951">
        <v>3</v>
      </c>
      <c r="P951">
        <v>5</v>
      </c>
      <c r="Q951">
        <v>5</v>
      </c>
      <c r="R951" t="s">
        <v>61</v>
      </c>
      <c r="S951">
        <v>1</v>
      </c>
      <c r="T951" s="1">
        <v>10.333333333333334</v>
      </c>
      <c r="U951" t="s">
        <v>62</v>
      </c>
    </row>
    <row r="952" spans="1:21" x14ac:dyDescent="0.35">
      <c r="A952" t="s">
        <v>34</v>
      </c>
      <c r="B952">
        <v>16</v>
      </c>
      <c r="C952" t="s">
        <v>52</v>
      </c>
      <c r="D952" t="s">
        <v>36</v>
      </c>
      <c r="E952" t="s">
        <v>44</v>
      </c>
      <c r="F952" t="s">
        <v>45</v>
      </c>
      <c r="G952" t="s">
        <v>45</v>
      </c>
      <c r="H952">
        <v>3</v>
      </c>
      <c r="I952">
        <v>0</v>
      </c>
      <c r="J952" t="s">
        <v>42</v>
      </c>
      <c r="K952" t="s">
        <v>42</v>
      </c>
      <c r="L952" t="s">
        <v>43</v>
      </c>
      <c r="M952" t="s">
        <v>43</v>
      </c>
      <c r="N952" t="s">
        <v>42</v>
      </c>
      <c r="O952">
        <v>4</v>
      </c>
      <c r="P952">
        <v>3</v>
      </c>
      <c r="Q952">
        <v>4</v>
      </c>
      <c r="R952" t="s">
        <v>62</v>
      </c>
      <c r="S952">
        <v>1</v>
      </c>
      <c r="T952" s="1">
        <v>13.333333333333334</v>
      </c>
      <c r="U952" t="s">
        <v>61</v>
      </c>
    </row>
    <row r="953" spans="1:21" x14ac:dyDescent="0.35">
      <c r="A953" t="s">
        <v>50</v>
      </c>
      <c r="B953">
        <v>16</v>
      </c>
      <c r="C953" t="s">
        <v>52</v>
      </c>
      <c r="D953" t="s">
        <v>47</v>
      </c>
      <c r="E953" t="s">
        <v>44</v>
      </c>
      <c r="F953" t="s">
        <v>45</v>
      </c>
      <c r="G953" t="s">
        <v>38</v>
      </c>
      <c r="H953">
        <v>1</v>
      </c>
      <c r="I953">
        <v>0</v>
      </c>
      <c r="J953" t="s">
        <v>43</v>
      </c>
      <c r="K953" t="s">
        <v>43</v>
      </c>
      <c r="L953" t="s">
        <v>43</v>
      </c>
      <c r="M953" t="s">
        <v>43</v>
      </c>
      <c r="N953" t="s">
        <v>43</v>
      </c>
      <c r="O953">
        <v>4</v>
      </c>
      <c r="P953">
        <v>4</v>
      </c>
      <c r="Q953">
        <v>4</v>
      </c>
      <c r="R953" t="s">
        <v>61</v>
      </c>
      <c r="S953">
        <v>0</v>
      </c>
      <c r="T953" s="1">
        <v>10</v>
      </c>
      <c r="U953" t="s">
        <v>63</v>
      </c>
    </row>
    <row r="954" spans="1:21" x14ac:dyDescent="0.35">
      <c r="A954" t="s">
        <v>34</v>
      </c>
      <c r="B954">
        <v>17</v>
      </c>
      <c r="C954" t="s">
        <v>52</v>
      </c>
      <c r="D954" t="s">
        <v>36</v>
      </c>
      <c r="E954" t="s">
        <v>44</v>
      </c>
      <c r="F954" t="s">
        <v>45</v>
      </c>
      <c r="G954" t="s">
        <v>45</v>
      </c>
      <c r="H954">
        <v>2</v>
      </c>
      <c r="I954">
        <v>3</v>
      </c>
      <c r="J954" t="s">
        <v>43</v>
      </c>
      <c r="K954" t="s">
        <v>42</v>
      </c>
      <c r="L954" t="s">
        <v>43</v>
      </c>
      <c r="M954" t="s">
        <v>42</v>
      </c>
      <c r="N954" t="s">
        <v>42</v>
      </c>
      <c r="O954">
        <v>5</v>
      </c>
      <c r="P954">
        <v>4</v>
      </c>
      <c r="Q954">
        <v>4</v>
      </c>
      <c r="R954" t="s">
        <v>61</v>
      </c>
      <c r="S954">
        <v>0</v>
      </c>
      <c r="T954" s="1">
        <v>8.6666666666666661</v>
      </c>
      <c r="U954" t="s">
        <v>61</v>
      </c>
    </row>
    <row r="955" spans="1:21" x14ac:dyDescent="0.35">
      <c r="A955" t="s">
        <v>50</v>
      </c>
      <c r="B955">
        <v>17</v>
      </c>
      <c r="C955" t="s">
        <v>52</v>
      </c>
      <c r="D955" t="s">
        <v>36</v>
      </c>
      <c r="E955" t="s">
        <v>44</v>
      </c>
      <c r="F955" t="s">
        <v>45</v>
      </c>
      <c r="G955" t="s">
        <v>45</v>
      </c>
      <c r="H955">
        <v>1</v>
      </c>
      <c r="I955">
        <v>0</v>
      </c>
      <c r="J955" t="s">
        <v>43</v>
      </c>
      <c r="K955" t="s">
        <v>43</v>
      </c>
      <c r="L955" t="s">
        <v>43</v>
      </c>
      <c r="M955" t="s">
        <v>42</v>
      </c>
      <c r="N955" t="s">
        <v>42</v>
      </c>
      <c r="O955">
        <v>5</v>
      </c>
      <c r="P955">
        <v>5</v>
      </c>
      <c r="Q955">
        <v>5</v>
      </c>
      <c r="R955" t="s">
        <v>61</v>
      </c>
      <c r="S955">
        <v>1</v>
      </c>
      <c r="T955" s="1">
        <v>10.333333333333334</v>
      </c>
      <c r="U955" t="s">
        <v>63</v>
      </c>
    </row>
    <row r="956" spans="1:21" x14ac:dyDescent="0.35">
      <c r="A956" t="s">
        <v>50</v>
      </c>
      <c r="B956">
        <v>18</v>
      </c>
      <c r="C956" t="s">
        <v>52</v>
      </c>
      <c r="D956" t="s">
        <v>36</v>
      </c>
      <c r="E956" t="s">
        <v>44</v>
      </c>
      <c r="F956" t="s">
        <v>38</v>
      </c>
      <c r="G956" t="s">
        <v>38</v>
      </c>
      <c r="H956">
        <v>1</v>
      </c>
      <c r="I956">
        <v>1</v>
      </c>
      <c r="J956" t="s">
        <v>42</v>
      </c>
      <c r="K956" t="s">
        <v>42</v>
      </c>
      <c r="L956" t="s">
        <v>43</v>
      </c>
      <c r="M956" t="s">
        <v>43</v>
      </c>
      <c r="N956" t="s">
        <v>43</v>
      </c>
      <c r="O956">
        <v>4</v>
      </c>
      <c r="P956">
        <v>3</v>
      </c>
      <c r="Q956">
        <v>2</v>
      </c>
      <c r="R956" t="s">
        <v>61</v>
      </c>
      <c r="S956">
        <v>0</v>
      </c>
      <c r="T956" s="1">
        <v>12.333333333333334</v>
      </c>
      <c r="U956" t="s">
        <v>61</v>
      </c>
    </row>
    <row r="957" spans="1:21" x14ac:dyDescent="0.35">
      <c r="A957" t="s">
        <v>50</v>
      </c>
      <c r="B957">
        <v>17</v>
      </c>
      <c r="C957" t="s">
        <v>52</v>
      </c>
      <c r="D957" t="s">
        <v>36</v>
      </c>
      <c r="E957" t="s">
        <v>44</v>
      </c>
      <c r="F957" t="s">
        <v>45</v>
      </c>
      <c r="G957" t="s">
        <v>48</v>
      </c>
      <c r="H957">
        <v>1</v>
      </c>
      <c r="I957">
        <v>0</v>
      </c>
      <c r="J957" t="s">
        <v>43</v>
      </c>
      <c r="K957" t="s">
        <v>42</v>
      </c>
      <c r="L957" t="s">
        <v>43</v>
      </c>
      <c r="M957" t="s">
        <v>42</v>
      </c>
      <c r="N957" t="s">
        <v>42</v>
      </c>
      <c r="O957">
        <v>4</v>
      </c>
      <c r="P957">
        <v>5</v>
      </c>
      <c r="Q957">
        <v>5</v>
      </c>
      <c r="R957" t="s">
        <v>61</v>
      </c>
      <c r="S957">
        <v>1</v>
      </c>
      <c r="T957" s="1">
        <v>9.6666666666666661</v>
      </c>
      <c r="U957" t="s">
        <v>62</v>
      </c>
    </row>
    <row r="958" spans="1:21" x14ac:dyDescent="0.35">
      <c r="A958" t="s">
        <v>50</v>
      </c>
      <c r="B958">
        <v>18</v>
      </c>
      <c r="C958" t="s">
        <v>35</v>
      </c>
      <c r="D958" t="s">
        <v>47</v>
      </c>
      <c r="E958" t="s">
        <v>44</v>
      </c>
      <c r="F958" t="s">
        <v>38</v>
      </c>
      <c r="G958" t="s">
        <v>38</v>
      </c>
      <c r="H958">
        <v>2</v>
      </c>
      <c r="I958">
        <v>0</v>
      </c>
      <c r="J958" t="s">
        <v>43</v>
      </c>
      <c r="K958" t="s">
        <v>42</v>
      </c>
      <c r="L958" t="s">
        <v>43</v>
      </c>
      <c r="M958" t="s">
        <v>42</v>
      </c>
      <c r="N958" t="s">
        <v>43</v>
      </c>
      <c r="O958">
        <v>4</v>
      </c>
      <c r="P958">
        <v>3</v>
      </c>
      <c r="Q958">
        <v>3</v>
      </c>
      <c r="R958" t="s">
        <v>62</v>
      </c>
      <c r="S958">
        <v>1</v>
      </c>
      <c r="T958" s="1">
        <v>9.6666666666666661</v>
      </c>
      <c r="U958" t="s">
        <v>63</v>
      </c>
    </row>
    <row r="959" spans="1:21" x14ac:dyDescent="0.35">
      <c r="A959" t="s">
        <v>34</v>
      </c>
      <c r="B959">
        <v>16</v>
      </c>
      <c r="C959" t="s">
        <v>52</v>
      </c>
      <c r="D959" t="s">
        <v>47</v>
      </c>
      <c r="E959" t="s">
        <v>44</v>
      </c>
      <c r="F959" t="s">
        <v>45</v>
      </c>
      <c r="G959" t="s">
        <v>48</v>
      </c>
      <c r="H959">
        <v>2</v>
      </c>
      <c r="I959">
        <v>0</v>
      </c>
      <c r="J959" t="s">
        <v>43</v>
      </c>
      <c r="K959" t="s">
        <v>43</v>
      </c>
      <c r="L959" t="s">
        <v>43</v>
      </c>
      <c r="M959" t="s">
        <v>42</v>
      </c>
      <c r="N959" t="s">
        <v>42</v>
      </c>
      <c r="O959">
        <v>5</v>
      </c>
      <c r="P959">
        <v>4</v>
      </c>
      <c r="Q959">
        <v>3</v>
      </c>
      <c r="R959" t="s">
        <v>61</v>
      </c>
      <c r="S959">
        <v>1</v>
      </c>
      <c r="T959" s="1">
        <v>12</v>
      </c>
      <c r="U959" t="s">
        <v>61</v>
      </c>
    </row>
    <row r="960" spans="1:21" x14ac:dyDescent="0.35">
      <c r="A960" t="s">
        <v>50</v>
      </c>
      <c r="B960">
        <v>17</v>
      </c>
      <c r="C960" t="s">
        <v>35</v>
      </c>
      <c r="D960" t="s">
        <v>36</v>
      </c>
      <c r="E960" t="s">
        <v>44</v>
      </c>
      <c r="F960" t="s">
        <v>45</v>
      </c>
      <c r="G960" t="s">
        <v>45</v>
      </c>
      <c r="H960">
        <v>1</v>
      </c>
      <c r="I960">
        <v>1</v>
      </c>
      <c r="J960" t="s">
        <v>43</v>
      </c>
      <c r="K960" t="s">
        <v>43</v>
      </c>
      <c r="L960" t="s">
        <v>43</v>
      </c>
      <c r="M960" t="s">
        <v>42</v>
      </c>
      <c r="N960" t="s">
        <v>42</v>
      </c>
      <c r="O960">
        <v>1</v>
      </c>
      <c r="P960">
        <v>2</v>
      </c>
      <c r="Q960">
        <v>1</v>
      </c>
      <c r="R960" t="s">
        <v>61</v>
      </c>
      <c r="S960">
        <v>1</v>
      </c>
      <c r="T960" s="1">
        <v>2.3333333333333335</v>
      </c>
      <c r="U960" t="s">
        <v>63</v>
      </c>
    </row>
    <row r="961" spans="1:21" x14ac:dyDescent="0.35">
      <c r="A961" t="s">
        <v>50</v>
      </c>
      <c r="B961">
        <v>16</v>
      </c>
      <c r="C961" t="s">
        <v>52</v>
      </c>
      <c r="D961" t="s">
        <v>36</v>
      </c>
      <c r="E961" t="s">
        <v>44</v>
      </c>
      <c r="F961" t="s">
        <v>48</v>
      </c>
      <c r="G961" t="s">
        <v>45</v>
      </c>
      <c r="H961">
        <v>1</v>
      </c>
      <c r="I961">
        <v>0</v>
      </c>
      <c r="J961" t="s">
        <v>43</v>
      </c>
      <c r="K961" t="s">
        <v>43</v>
      </c>
      <c r="L961" t="s">
        <v>43</v>
      </c>
      <c r="M961" t="s">
        <v>43</v>
      </c>
      <c r="N961" t="s">
        <v>43</v>
      </c>
      <c r="O961">
        <v>4</v>
      </c>
      <c r="P961">
        <v>5</v>
      </c>
      <c r="Q961">
        <v>5</v>
      </c>
      <c r="R961" t="s">
        <v>61</v>
      </c>
      <c r="S961">
        <v>1</v>
      </c>
      <c r="T961" s="1">
        <v>10</v>
      </c>
      <c r="U961" t="s">
        <v>63</v>
      </c>
    </row>
    <row r="962" spans="1:21" x14ac:dyDescent="0.35">
      <c r="A962" t="s">
        <v>50</v>
      </c>
      <c r="B962">
        <v>16</v>
      </c>
      <c r="C962" t="s">
        <v>52</v>
      </c>
      <c r="D962" t="s">
        <v>47</v>
      </c>
      <c r="E962" t="s">
        <v>44</v>
      </c>
      <c r="F962" t="s">
        <v>38</v>
      </c>
      <c r="G962" t="s">
        <v>45</v>
      </c>
      <c r="H962">
        <v>1</v>
      </c>
      <c r="I962">
        <v>0</v>
      </c>
      <c r="J962" t="s">
        <v>43</v>
      </c>
      <c r="K962" t="s">
        <v>43</v>
      </c>
      <c r="L962" t="s">
        <v>43</v>
      </c>
      <c r="M962" t="s">
        <v>42</v>
      </c>
      <c r="N962" t="s">
        <v>43</v>
      </c>
      <c r="O962">
        <v>4</v>
      </c>
      <c r="P962">
        <v>5</v>
      </c>
      <c r="Q962">
        <v>5</v>
      </c>
      <c r="R962" t="s">
        <v>61</v>
      </c>
      <c r="S962">
        <v>1</v>
      </c>
      <c r="T962" s="1">
        <v>9.6666666666666661</v>
      </c>
      <c r="U962" t="s">
        <v>63</v>
      </c>
    </row>
    <row r="963" spans="1:21" x14ac:dyDescent="0.35">
      <c r="A963" t="s">
        <v>50</v>
      </c>
      <c r="B963">
        <v>18</v>
      </c>
      <c r="C963" t="s">
        <v>52</v>
      </c>
      <c r="D963" t="s">
        <v>36</v>
      </c>
      <c r="E963" t="s">
        <v>44</v>
      </c>
      <c r="F963" t="s">
        <v>48</v>
      </c>
      <c r="G963" t="s">
        <v>45</v>
      </c>
      <c r="H963">
        <v>1</v>
      </c>
      <c r="I963">
        <v>1</v>
      </c>
      <c r="J963" t="s">
        <v>43</v>
      </c>
      <c r="K963" t="s">
        <v>42</v>
      </c>
      <c r="L963" t="s">
        <v>43</v>
      </c>
      <c r="M963" t="s">
        <v>43</v>
      </c>
      <c r="N963" t="s">
        <v>42</v>
      </c>
      <c r="O963">
        <v>5</v>
      </c>
      <c r="P963">
        <v>3</v>
      </c>
      <c r="Q963">
        <v>3</v>
      </c>
      <c r="R963" t="s">
        <v>61</v>
      </c>
      <c r="S963">
        <v>1</v>
      </c>
      <c r="T963" s="1">
        <v>8.3333333333333339</v>
      </c>
      <c r="U963" t="s">
        <v>63</v>
      </c>
    </row>
    <row r="964" spans="1:21" x14ac:dyDescent="0.35">
      <c r="A964" t="s">
        <v>50</v>
      </c>
      <c r="B964">
        <v>18</v>
      </c>
      <c r="C964" t="s">
        <v>52</v>
      </c>
      <c r="D964" t="s">
        <v>36</v>
      </c>
      <c r="E964" t="s">
        <v>44</v>
      </c>
      <c r="F964" t="s">
        <v>48</v>
      </c>
      <c r="G964" t="s">
        <v>45</v>
      </c>
      <c r="H964">
        <v>1</v>
      </c>
      <c r="I964">
        <v>1</v>
      </c>
      <c r="J964" t="s">
        <v>43</v>
      </c>
      <c r="K964" t="s">
        <v>43</v>
      </c>
      <c r="L964" t="s">
        <v>43</v>
      </c>
      <c r="M964" t="s">
        <v>43</v>
      </c>
      <c r="N964" t="s">
        <v>43</v>
      </c>
      <c r="O964">
        <v>2</v>
      </c>
      <c r="P964">
        <v>3</v>
      </c>
      <c r="Q964">
        <v>1</v>
      </c>
      <c r="R964" t="s">
        <v>61</v>
      </c>
      <c r="S964">
        <v>1</v>
      </c>
      <c r="T964" s="1">
        <v>1.3333333333333333</v>
      </c>
      <c r="U964" t="s">
        <v>62</v>
      </c>
    </row>
    <row r="965" spans="1:21" x14ac:dyDescent="0.35">
      <c r="A965" t="s">
        <v>50</v>
      </c>
      <c r="B965">
        <v>19</v>
      </c>
      <c r="C965" t="s">
        <v>35</v>
      </c>
      <c r="D965" t="s">
        <v>36</v>
      </c>
      <c r="E965" t="s">
        <v>44</v>
      </c>
      <c r="F965" t="s">
        <v>38</v>
      </c>
      <c r="G965" t="s">
        <v>48</v>
      </c>
      <c r="H965">
        <v>1</v>
      </c>
      <c r="I965">
        <v>3</v>
      </c>
      <c r="J965" t="s">
        <v>43</v>
      </c>
      <c r="K965" t="s">
        <v>43</v>
      </c>
      <c r="L965" t="s">
        <v>43</v>
      </c>
      <c r="M965" t="s">
        <v>42</v>
      </c>
      <c r="N965" t="s">
        <v>43</v>
      </c>
      <c r="O965">
        <v>3</v>
      </c>
      <c r="P965">
        <v>2</v>
      </c>
      <c r="Q965">
        <v>1</v>
      </c>
      <c r="R965" t="s">
        <v>61</v>
      </c>
      <c r="S965">
        <v>1</v>
      </c>
      <c r="T965" s="1">
        <v>8.6666666666666661</v>
      </c>
      <c r="U965" t="s">
        <v>61</v>
      </c>
    </row>
    <row r="966" spans="1:21" x14ac:dyDescent="0.35">
      <c r="A966" t="s">
        <v>50</v>
      </c>
      <c r="B966">
        <v>18</v>
      </c>
      <c r="C966" t="s">
        <v>35</v>
      </c>
      <c r="D966" t="s">
        <v>36</v>
      </c>
      <c r="E966" t="s">
        <v>44</v>
      </c>
      <c r="F966" t="s">
        <v>38</v>
      </c>
      <c r="G966" t="s">
        <v>38</v>
      </c>
      <c r="H966">
        <v>2</v>
      </c>
      <c r="I966">
        <v>2</v>
      </c>
      <c r="J966" t="s">
        <v>43</v>
      </c>
      <c r="K966" t="s">
        <v>42</v>
      </c>
      <c r="L966" t="s">
        <v>43</v>
      </c>
      <c r="M966" t="s">
        <v>42</v>
      </c>
      <c r="N966" t="s">
        <v>43</v>
      </c>
      <c r="O966">
        <v>4</v>
      </c>
      <c r="P966">
        <v>4</v>
      </c>
      <c r="Q966">
        <v>5</v>
      </c>
      <c r="R966" t="s">
        <v>62</v>
      </c>
      <c r="S966">
        <v>0</v>
      </c>
      <c r="T966" s="1">
        <v>6.666666666666667</v>
      </c>
      <c r="U966" t="s">
        <v>62</v>
      </c>
    </row>
    <row r="967" spans="1:21" x14ac:dyDescent="0.35">
      <c r="A967" t="s">
        <v>50</v>
      </c>
      <c r="B967">
        <v>16</v>
      </c>
      <c r="C967" t="s">
        <v>52</v>
      </c>
      <c r="D967" t="s">
        <v>36</v>
      </c>
      <c r="E967" t="s">
        <v>44</v>
      </c>
      <c r="F967" t="s">
        <v>48</v>
      </c>
      <c r="G967" t="s">
        <v>48</v>
      </c>
      <c r="H967">
        <v>1</v>
      </c>
      <c r="I967">
        <v>0</v>
      </c>
      <c r="J967" t="s">
        <v>43</v>
      </c>
      <c r="K967" t="s">
        <v>42</v>
      </c>
      <c r="L967" t="s">
        <v>43</v>
      </c>
      <c r="M967" t="s">
        <v>42</v>
      </c>
      <c r="N967" t="s">
        <v>42</v>
      </c>
      <c r="O967">
        <v>5</v>
      </c>
      <c r="P967">
        <v>4</v>
      </c>
      <c r="Q967">
        <v>3</v>
      </c>
      <c r="R967" t="s">
        <v>62</v>
      </c>
      <c r="S967">
        <v>0</v>
      </c>
      <c r="T967" s="1">
        <v>7.666666666666667</v>
      </c>
      <c r="U967" t="s">
        <v>63</v>
      </c>
    </row>
    <row r="968" spans="1:21" x14ac:dyDescent="0.35">
      <c r="A968" t="s">
        <v>50</v>
      </c>
      <c r="B968">
        <v>19</v>
      </c>
      <c r="C968" t="s">
        <v>35</v>
      </c>
      <c r="D968" t="s">
        <v>36</v>
      </c>
      <c r="E968" t="s">
        <v>44</v>
      </c>
      <c r="F968" t="s">
        <v>38</v>
      </c>
      <c r="G968" t="s">
        <v>45</v>
      </c>
      <c r="H968">
        <v>1</v>
      </c>
      <c r="I968">
        <v>3</v>
      </c>
      <c r="J968" t="s">
        <v>43</v>
      </c>
      <c r="K968" t="s">
        <v>43</v>
      </c>
      <c r="L968" t="s">
        <v>43</v>
      </c>
      <c r="M968" t="s">
        <v>42</v>
      </c>
      <c r="N968" t="s">
        <v>42</v>
      </c>
      <c r="O968">
        <v>4</v>
      </c>
      <c r="P968">
        <v>4</v>
      </c>
      <c r="Q968">
        <v>3</v>
      </c>
      <c r="R968" t="s">
        <v>61</v>
      </c>
      <c r="S968">
        <v>0</v>
      </c>
      <c r="T968" s="1">
        <v>8.6666666666666661</v>
      </c>
      <c r="U968" t="s">
        <v>62</v>
      </c>
    </row>
    <row r="969" spans="1:21" x14ac:dyDescent="0.35">
      <c r="A969" t="s">
        <v>34</v>
      </c>
      <c r="B969">
        <v>16</v>
      </c>
      <c r="C969" t="s">
        <v>35</v>
      </c>
      <c r="D969" t="s">
        <v>36</v>
      </c>
      <c r="E969" t="s">
        <v>37</v>
      </c>
      <c r="F969" t="s">
        <v>48</v>
      </c>
      <c r="G969" t="s">
        <v>38</v>
      </c>
      <c r="H969">
        <v>2</v>
      </c>
      <c r="I969">
        <v>2</v>
      </c>
      <c r="J969" t="s">
        <v>43</v>
      </c>
      <c r="K969" t="s">
        <v>42</v>
      </c>
      <c r="L969" t="s">
        <v>43</v>
      </c>
      <c r="M969" t="s">
        <v>42</v>
      </c>
      <c r="N969" t="s">
        <v>42</v>
      </c>
      <c r="O969">
        <v>2</v>
      </c>
      <c r="P969">
        <v>5</v>
      </c>
      <c r="Q969">
        <v>5</v>
      </c>
      <c r="R969" t="s">
        <v>62</v>
      </c>
      <c r="S969">
        <v>0</v>
      </c>
      <c r="T969" s="1">
        <v>5.666666666666667</v>
      </c>
      <c r="U969" t="s">
        <v>61</v>
      </c>
    </row>
    <row r="970" spans="1:21" x14ac:dyDescent="0.35">
      <c r="A970" t="s">
        <v>34</v>
      </c>
      <c r="B970">
        <v>17</v>
      </c>
      <c r="C970" t="s">
        <v>35</v>
      </c>
      <c r="D970" t="s">
        <v>36</v>
      </c>
      <c r="E970" t="s">
        <v>44</v>
      </c>
      <c r="F970" t="s">
        <v>45</v>
      </c>
      <c r="G970" t="s">
        <v>38</v>
      </c>
      <c r="H970">
        <v>1</v>
      </c>
      <c r="I970">
        <v>0</v>
      </c>
      <c r="J970" t="s">
        <v>43</v>
      </c>
      <c r="K970" t="s">
        <v>42</v>
      </c>
      <c r="L970" t="s">
        <v>43</v>
      </c>
      <c r="M970" t="s">
        <v>42</v>
      </c>
      <c r="N970" t="s">
        <v>43</v>
      </c>
      <c r="O970">
        <v>4</v>
      </c>
      <c r="P970">
        <v>3</v>
      </c>
      <c r="Q970">
        <v>2</v>
      </c>
      <c r="R970" t="s">
        <v>62</v>
      </c>
      <c r="S970">
        <v>0</v>
      </c>
      <c r="T970" s="1">
        <v>8.6666666666666661</v>
      </c>
      <c r="U970" t="s">
        <v>62</v>
      </c>
    </row>
    <row r="971" spans="1:21" x14ac:dyDescent="0.35">
      <c r="A971" t="s">
        <v>50</v>
      </c>
      <c r="B971">
        <v>20</v>
      </c>
      <c r="C971" t="s">
        <v>52</v>
      </c>
      <c r="D971" t="s">
        <v>36</v>
      </c>
      <c r="E971" t="s">
        <v>44</v>
      </c>
      <c r="F971" t="s">
        <v>45</v>
      </c>
      <c r="G971" t="s">
        <v>45</v>
      </c>
      <c r="H971">
        <v>1</v>
      </c>
      <c r="I971">
        <v>1</v>
      </c>
      <c r="J971" t="s">
        <v>43</v>
      </c>
      <c r="K971" t="s">
        <v>42</v>
      </c>
      <c r="L971" t="s">
        <v>43</v>
      </c>
      <c r="M971" t="s">
        <v>43</v>
      </c>
      <c r="N971" t="s">
        <v>42</v>
      </c>
      <c r="O971">
        <v>4</v>
      </c>
      <c r="P971">
        <v>4</v>
      </c>
      <c r="Q971">
        <v>3</v>
      </c>
      <c r="R971" t="s">
        <v>63</v>
      </c>
      <c r="S971">
        <v>1</v>
      </c>
      <c r="T971" s="1">
        <v>9.6666666666666661</v>
      </c>
      <c r="U971" t="s">
        <v>63</v>
      </c>
    </row>
    <row r="972" spans="1:21" x14ac:dyDescent="0.35">
      <c r="A972" t="s">
        <v>34</v>
      </c>
      <c r="B972">
        <v>18</v>
      </c>
      <c r="C972" t="s">
        <v>52</v>
      </c>
      <c r="D972" t="s">
        <v>36</v>
      </c>
      <c r="E972" t="s">
        <v>37</v>
      </c>
      <c r="F972" t="s">
        <v>48</v>
      </c>
      <c r="G972" t="s">
        <v>48</v>
      </c>
      <c r="H972">
        <v>1</v>
      </c>
      <c r="I972">
        <v>0</v>
      </c>
      <c r="J972" t="s">
        <v>43</v>
      </c>
      <c r="K972" t="s">
        <v>42</v>
      </c>
      <c r="L972" t="s">
        <v>43</v>
      </c>
      <c r="M972" t="s">
        <v>43</v>
      </c>
      <c r="N972" t="s">
        <v>43</v>
      </c>
      <c r="O972">
        <v>5</v>
      </c>
      <c r="P972">
        <v>4</v>
      </c>
      <c r="Q972">
        <v>4</v>
      </c>
      <c r="R972" t="s">
        <v>62</v>
      </c>
      <c r="S972">
        <v>1</v>
      </c>
      <c r="T972" s="1">
        <v>10.333333333333334</v>
      </c>
      <c r="U972" t="s">
        <v>63</v>
      </c>
    </row>
    <row r="973" spans="1:21" x14ac:dyDescent="0.35">
      <c r="A973" t="s">
        <v>50</v>
      </c>
      <c r="B973">
        <v>18</v>
      </c>
      <c r="C973" t="s">
        <v>52</v>
      </c>
      <c r="D973" t="s">
        <v>36</v>
      </c>
      <c r="E973" t="s">
        <v>44</v>
      </c>
      <c r="F973" t="s">
        <v>45</v>
      </c>
      <c r="G973" t="s">
        <v>45</v>
      </c>
      <c r="H973">
        <v>1</v>
      </c>
      <c r="I973">
        <v>0</v>
      </c>
      <c r="J973" t="s">
        <v>43</v>
      </c>
      <c r="K973" t="s">
        <v>42</v>
      </c>
      <c r="L973" t="s">
        <v>43</v>
      </c>
      <c r="M973" t="s">
        <v>43</v>
      </c>
      <c r="N973" t="s">
        <v>43</v>
      </c>
      <c r="O973">
        <v>2</v>
      </c>
      <c r="P973">
        <v>5</v>
      </c>
      <c r="Q973">
        <v>5</v>
      </c>
      <c r="R973" t="s">
        <v>62</v>
      </c>
      <c r="S973">
        <v>0</v>
      </c>
      <c r="T973" s="1">
        <v>10</v>
      </c>
      <c r="U973" t="s">
        <v>63</v>
      </c>
    </row>
    <row r="974" spans="1:21" x14ac:dyDescent="0.35">
      <c r="A974" t="s">
        <v>50</v>
      </c>
      <c r="B974">
        <v>19</v>
      </c>
      <c r="C974" t="s">
        <v>52</v>
      </c>
      <c r="D974" t="s">
        <v>36</v>
      </c>
      <c r="E974" t="s">
        <v>44</v>
      </c>
      <c r="F974" t="s">
        <v>45</v>
      </c>
      <c r="G974" t="s">
        <v>48</v>
      </c>
      <c r="H974">
        <v>2</v>
      </c>
      <c r="I974">
        <v>1</v>
      </c>
      <c r="J974" t="s">
        <v>43</v>
      </c>
      <c r="K974" t="s">
        <v>43</v>
      </c>
      <c r="L974" t="s">
        <v>43</v>
      </c>
      <c r="M974" t="s">
        <v>43</v>
      </c>
      <c r="N974" t="s">
        <v>43</v>
      </c>
      <c r="O974">
        <v>5</v>
      </c>
      <c r="P974">
        <v>4</v>
      </c>
      <c r="Q974">
        <v>4</v>
      </c>
      <c r="R974" t="s">
        <v>62</v>
      </c>
      <c r="S974">
        <v>1</v>
      </c>
      <c r="T974" s="1">
        <v>10</v>
      </c>
      <c r="U974" t="s">
        <v>63</v>
      </c>
    </row>
    <row r="975" spans="1:21" x14ac:dyDescent="0.35">
      <c r="A975" t="s">
        <v>50</v>
      </c>
      <c r="B975">
        <v>17</v>
      </c>
      <c r="C975" t="s">
        <v>35</v>
      </c>
      <c r="D975" t="s">
        <v>36</v>
      </c>
      <c r="E975" t="s">
        <v>44</v>
      </c>
      <c r="F975" t="s">
        <v>28</v>
      </c>
      <c r="G975" t="s">
        <v>45</v>
      </c>
      <c r="H975">
        <v>2</v>
      </c>
      <c r="I975">
        <v>1</v>
      </c>
      <c r="J975" t="s">
        <v>43</v>
      </c>
      <c r="K975" t="s">
        <v>42</v>
      </c>
      <c r="L975" t="s">
        <v>43</v>
      </c>
      <c r="M975" t="s">
        <v>43</v>
      </c>
      <c r="N975" t="s">
        <v>43</v>
      </c>
      <c r="O975">
        <v>4</v>
      </c>
      <c r="P975">
        <v>5</v>
      </c>
      <c r="Q975">
        <v>4</v>
      </c>
      <c r="R975" t="s">
        <v>61</v>
      </c>
      <c r="S975">
        <v>0</v>
      </c>
      <c r="T975" s="1">
        <v>9</v>
      </c>
      <c r="U975" t="s">
        <v>63</v>
      </c>
    </row>
    <row r="976" spans="1:21" x14ac:dyDescent="0.35">
      <c r="A976" t="s">
        <v>50</v>
      </c>
      <c r="B976">
        <v>18</v>
      </c>
      <c r="C976" t="s">
        <v>35</v>
      </c>
      <c r="D976" t="s">
        <v>47</v>
      </c>
      <c r="E976" t="s">
        <v>44</v>
      </c>
      <c r="F976" t="s">
        <v>38</v>
      </c>
      <c r="G976" t="s">
        <v>48</v>
      </c>
      <c r="H976">
        <v>1</v>
      </c>
      <c r="I976">
        <v>0</v>
      </c>
      <c r="J976" t="s">
        <v>43</v>
      </c>
      <c r="K976" t="s">
        <v>43</v>
      </c>
      <c r="L976" t="s">
        <v>43</v>
      </c>
      <c r="M976" t="s">
        <v>43</v>
      </c>
      <c r="N976" t="s">
        <v>42</v>
      </c>
      <c r="O976">
        <v>4</v>
      </c>
      <c r="P976">
        <v>3</v>
      </c>
      <c r="Q976">
        <v>3</v>
      </c>
      <c r="R976" t="s">
        <v>61</v>
      </c>
      <c r="S976">
        <v>1</v>
      </c>
      <c r="T976" s="1">
        <v>9.3333333333333339</v>
      </c>
      <c r="U976" t="s">
        <v>63</v>
      </c>
    </row>
    <row r="977" spans="1:21" x14ac:dyDescent="0.35">
      <c r="A977" t="s">
        <v>50</v>
      </c>
      <c r="B977">
        <v>19</v>
      </c>
      <c r="C977" t="s">
        <v>52</v>
      </c>
      <c r="D977" t="s">
        <v>36</v>
      </c>
      <c r="E977" t="s">
        <v>44</v>
      </c>
      <c r="F977" t="s">
        <v>45</v>
      </c>
      <c r="G977" t="s">
        <v>45</v>
      </c>
      <c r="H977">
        <v>1</v>
      </c>
      <c r="I977">
        <v>1</v>
      </c>
      <c r="J977" t="s">
        <v>43</v>
      </c>
      <c r="K977" t="s">
        <v>42</v>
      </c>
      <c r="L977" t="s">
        <v>43</v>
      </c>
      <c r="M977" t="s">
        <v>43</v>
      </c>
      <c r="N977" t="s">
        <v>43</v>
      </c>
      <c r="O977">
        <v>4</v>
      </c>
      <c r="P977">
        <v>4</v>
      </c>
      <c r="Q977">
        <v>4</v>
      </c>
      <c r="R977" t="s">
        <v>61</v>
      </c>
      <c r="S977">
        <v>0</v>
      </c>
      <c r="T977" s="1">
        <v>9</v>
      </c>
      <c r="U977" t="s">
        <v>63</v>
      </c>
    </row>
    <row r="978" spans="1:21" x14ac:dyDescent="0.35">
      <c r="A978" t="s">
        <v>34</v>
      </c>
      <c r="B978">
        <v>18</v>
      </c>
      <c r="C978" t="s">
        <v>35</v>
      </c>
      <c r="D978" t="s">
        <v>36</v>
      </c>
      <c r="E978" t="s">
        <v>37</v>
      </c>
      <c r="F978" t="s">
        <v>38</v>
      </c>
      <c r="G978" t="s">
        <v>45</v>
      </c>
      <c r="H978">
        <v>2</v>
      </c>
      <c r="I978">
        <v>2</v>
      </c>
      <c r="J978" t="s">
        <v>43</v>
      </c>
      <c r="K978" t="s">
        <v>42</v>
      </c>
      <c r="L978" t="s">
        <v>43</v>
      </c>
      <c r="M978" t="s">
        <v>43</v>
      </c>
      <c r="N978" t="s">
        <v>43</v>
      </c>
      <c r="O978">
        <v>4</v>
      </c>
      <c r="P978">
        <v>3</v>
      </c>
      <c r="Q978">
        <v>3</v>
      </c>
      <c r="R978" t="s">
        <v>61</v>
      </c>
      <c r="S978">
        <v>0</v>
      </c>
      <c r="T978" s="1">
        <v>7.333333333333333</v>
      </c>
      <c r="U978" t="s">
        <v>61</v>
      </c>
    </row>
    <row r="979" spans="1:21" x14ac:dyDescent="0.35">
      <c r="A979" t="s">
        <v>34</v>
      </c>
      <c r="B979">
        <v>19</v>
      </c>
      <c r="C979" t="s">
        <v>35</v>
      </c>
      <c r="D979" t="s">
        <v>47</v>
      </c>
      <c r="E979" t="s">
        <v>37</v>
      </c>
      <c r="F979" t="s">
        <v>38</v>
      </c>
      <c r="G979" t="s">
        <v>45</v>
      </c>
      <c r="H979">
        <v>1</v>
      </c>
      <c r="I979">
        <v>0</v>
      </c>
      <c r="J979" t="s">
        <v>43</v>
      </c>
      <c r="K979" t="s">
        <v>42</v>
      </c>
      <c r="L979" t="s">
        <v>43</v>
      </c>
      <c r="M979" t="s">
        <v>43</v>
      </c>
      <c r="N979" t="s">
        <v>43</v>
      </c>
      <c r="O979">
        <v>1</v>
      </c>
      <c r="P979">
        <v>4</v>
      </c>
      <c r="Q979">
        <v>4</v>
      </c>
      <c r="R979" t="s">
        <v>61</v>
      </c>
      <c r="S979">
        <v>1</v>
      </c>
      <c r="T979" s="1">
        <v>7</v>
      </c>
      <c r="U979" t="s">
        <v>61</v>
      </c>
    </row>
    <row r="980" spans="1:21" x14ac:dyDescent="0.35">
      <c r="A980" t="s">
        <v>34</v>
      </c>
      <c r="B980">
        <v>18</v>
      </c>
      <c r="C980" t="s">
        <v>52</v>
      </c>
      <c r="D980" t="s">
        <v>36</v>
      </c>
      <c r="E980" t="s">
        <v>44</v>
      </c>
      <c r="F980" t="s">
        <v>45</v>
      </c>
      <c r="G980" t="s">
        <v>45</v>
      </c>
      <c r="H980">
        <v>1</v>
      </c>
      <c r="I980">
        <v>1</v>
      </c>
      <c r="J980" t="s">
        <v>43</v>
      </c>
      <c r="K980" t="s">
        <v>43</v>
      </c>
      <c r="L980" t="s">
        <v>43</v>
      </c>
      <c r="M980" t="s">
        <v>43</v>
      </c>
      <c r="N980" t="s">
        <v>42</v>
      </c>
      <c r="O980">
        <v>5</v>
      </c>
      <c r="P980">
        <v>5</v>
      </c>
      <c r="Q980">
        <v>5</v>
      </c>
      <c r="R980" t="s">
        <v>61</v>
      </c>
      <c r="S980">
        <v>2</v>
      </c>
      <c r="T980" s="1">
        <v>4.666666666666667</v>
      </c>
      <c r="U980" t="s">
        <v>61</v>
      </c>
    </row>
    <row r="981" spans="1:21" x14ac:dyDescent="0.35">
      <c r="A981" t="s">
        <v>34</v>
      </c>
      <c r="B981">
        <v>17</v>
      </c>
      <c r="C981" t="s">
        <v>52</v>
      </c>
      <c r="D981" t="s">
        <v>36</v>
      </c>
      <c r="E981" t="s">
        <v>44</v>
      </c>
      <c r="F981" t="s">
        <v>38</v>
      </c>
      <c r="G981" t="s">
        <v>45</v>
      </c>
      <c r="H981">
        <v>1</v>
      </c>
      <c r="I981">
        <v>0</v>
      </c>
      <c r="J981" t="s">
        <v>43</v>
      </c>
      <c r="K981" t="s">
        <v>42</v>
      </c>
      <c r="L981" t="s">
        <v>43</v>
      </c>
      <c r="M981" t="s">
        <v>43</v>
      </c>
      <c r="N981" t="s">
        <v>43</v>
      </c>
      <c r="O981">
        <v>4</v>
      </c>
      <c r="P981">
        <v>4</v>
      </c>
      <c r="Q981">
        <v>3</v>
      </c>
      <c r="R981" t="s">
        <v>61</v>
      </c>
      <c r="S981">
        <v>0</v>
      </c>
      <c r="T981" s="1">
        <v>10.666666666666666</v>
      </c>
      <c r="U981" t="s">
        <v>61</v>
      </c>
    </row>
    <row r="982" spans="1:21" x14ac:dyDescent="0.35">
      <c r="A982" t="s">
        <v>34</v>
      </c>
      <c r="B982">
        <v>17</v>
      </c>
      <c r="C982" t="s">
        <v>52</v>
      </c>
      <c r="D982" t="s">
        <v>47</v>
      </c>
      <c r="E982" t="s">
        <v>37</v>
      </c>
      <c r="F982" t="s">
        <v>45</v>
      </c>
      <c r="G982" t="s">
        <v>38</v>
      </c>
      <c r="H982">
        <v>3</v>
      </c>
      <c r="I982">
        <v>0</v>
      </c>
      <c r="J982" t="s">
        <v>43</v>
      </c>
      <c r="K982" t="s">
        <v>42</v>
      </c>
      <c r="L982" t="s">
        <v>42</v>
      </c>
      <c r="M982" t="s">
        <v>43</v>
      </c>
      <c r="N982" t="s">
        <v>43</v>
      </c>
      <c r="O982">
        <v>4</v>
      </c>
      <c r="P982">
        <v>2</v>
      </c>
      <c r="Q982">
        <v>3</v>
      </c>
      <c r="R982" t="s">
        <v>62</v>
      </c>
      <c r="S982">
        <v>1</v>
      </c>
      <c r="T982" s="1">
        <v>7.666666666666667</v>
      </c>
      <c r="U982" t="s">
        <v>62</v>
      </c>
    </row>
    <row r="983" spans="1:21" x14ac:dyDescent="0.35">
      <c r="A983" t="s">
        <v>34</v>
      </c>
      <c r="B983">
        <v>17</v>
      </c>
      <c r="C983" t="s">
        <v>35</v>
      </c>
      <c r="D983" t="s">
        <v>36</v>
      </c>
      <c r="E983" t="s">
        <v>44</v>
      </c>
      <c r="F983" t="s">
        <v>39</v>
      </c>
      <c r="G983" t="s">
        <v>48</v>
      </c>
      <c r="H983">
        <v>2</v>
      </c>
      <c r="I983">
        <v>0</v>
      </c>
      <c r="J983" t="s">
        <v>42</v>
      </c>
      <c r="K983" t="s">
        <v>42</v>
      </c>
      <c r="L983" t="s">
        <v>43</v>
      </c>
      <c r="M983" t="s">
        <v>42</v>
      </c>
      <c r="N983" t="s">
        <v>43</v>
      </c>
      <c r="O983">
        <v>5</v>
      </c>
      <c r="P983">
        <v>5</v>
      </c>
      <c r="Q983">
        <v>5</v>
      </c>
      <c r="R983" t="s">
        <v>61</v>
      </c>
      <c r="S983">
        <v>1</v>
      </c>
      <c r="T983" s="1">
        <v>5.333333333333333</v>
      </c>
      <c r="U983" t="s">
        <v>62</v>
      </c>
    </row>
    <row r="984" spans="1:21" x14ac:dyDescent="0.35">
      <c r="A984" t="s">
        <v>34</v>
      </c>
      <c r="B984">
        <v>18</v>
      </c>
      <c r="C984" t="s">
        <v>52</v>
      </c>
      <c r="D984" t="s">
        <v>47</v>
      </c>
      <c r="E984" t="s">
        <v>44</v>
      </c>
      <c r="F984" t="s">
        <v>48</v>
      </c>
      <c r="G984" t="s">
        <v>48</v>
      </c>
      <c r="H984">
        <v>2</v>
      </c>
      <c r="I984">
        <v>1</v>
      </c>
      <c r="J984" t="s">
        <v>43</v>
      </c>
      <c r="K984" t="s">
        <v>42</v>
      </c>
      <c r="L984" t="s">
        <v>43</v>
      </c>
      <c r="M984" t="s">
        <v>42</v>
      </c>
      <c r="N984" t="s">
        <v>43</v>
      </c>
      <c r="O984">
        <v>2</v>
      </c>
      <c r="P984">
        <v>3</v>
      </c>
      <c r="Q984">
        <v>3</v>
      </c>
      <c r="R984" t="s">
        <v>61</v>
      </c>
      <c r="S984">
        <v>1</v>
      </c>
      <c r="T984" s="1">
        <v>7</v>
      </c>
      <c r="U984" t="s">
        <v>62</v>
      </c>
    </row>
    <row r="985" spans="1:21" x14ac:dyDescent="0.35">
      <c r="A985" t="s">
        <v>34</v>
      </c>
      <c r="B985">
        <v>17</v>
      </c>
      <c r="C985" t="s">
        <v>35</v>
      </c>
      <c r="D985" t="s">
        <v>36</v>
      </c>
      <c r="E985" t="s">
        <v>44</v>
      </c>
      <c r="F985" t="s">
        <v>28</v>
      </c>
      <c r="G985" t="s">
        <v>38</v>
      </c>
      <c r="H985">
        <v>1</v>
      </c>
      <c r="I985">
        <v>0</v>
      </c>
      <c r="J985" t="s">
        <v>43</v>
      </c>
      <c r="K985" t="s">
        <v>42</v>
      </c>
      <c r="L985" t="s">
        <v>43</v>
      </c>
      <c r="M985" t="s">
        <v>43</v>
      </c>
      <c r="N985" t="s">
        <v>42</v>
      </c>
      <c r="O985">
        <v>3</v>
      </c>
      <c r="P985">
        <v>2</v>
      </c>
      <c r="Q985">
        <v>2</v>
      </c>
      <c r="R985" t="s">
        <v>61</v>
      </c>
      <c r="S985">
        <v>1</v>
      </c>
      <c r="T985" s="1">
        <v>9</v>
      </c>
      <c r="U985" t="s">
        <v>61</v>
      </c>
    </row>
    <row r="986" spans="1:21" x14ac:dyDescent="0.35">
      <c r="A986" t="s">
        <v>34</v>
      </c>
      <c r="B986">
        <v>17</v>
      </c>
      <c r="C986" t="s">
        <v>35</v>
      </c>
      <c r="D986" t="s">
        <v>47</v>
      </c>
      <c r="E986" t="s">
        <v>44</v>
      </c>
      <c r="F986" t="s">
        <v>38</v>
      </c>
      <c r="G986" t="s">
        <v>45</v>
      </c>
      <c r="H986">
        <v>1</v>
      </c>
      <c r="I986">
        <v>0</v>
      </c>
      <c r="J986" t="s">
        <v>43</v>
      </c>
      <c r="K986" t="s">
        <v>43</v>
      </c>
      <c r="L986" t="s">
        <v>43</v>
      </c>
      <c r="M986" t="s">
        <v>43</v>
      </c>
      <c r="N986" t="s">
        <v>43</v>
      </c>
      <c r="O986">
        <v>5</v>
      </c>
      <c r="P986">
        <v>5</v>
      </c>
      <c r="Q986">
        <v>1</v>
      </c>
      <c r="R986" t="s">
        <v>61</v>
      </c>
      <c r="S986">
        <v>0</v>
      </c>
      <c r="T986" s="1">
        <v>9</v>
      </c>
      <c r="U986" t="s">
        <v>61</v>
      </c>
    </row>
    <row r="987" spans="1:21" x14ac:dyDescent="0.35">
      <c r="A987" t="s">
        <v>34</v>
      </c>
      <c r="B987">
        <v>18</v>
      </c>
      <c r="C987" t="s">
        <v>35</v>
      </c>
      <c r="D987" t="s">
        <v>36</v>
      </c>
      <c r="E987" t="s">
        <v>44</v>
      </c>
      <c r="F987" t="s">
        <v>45</v>
      </c>
      <c r="G987" t="s">
        <v>45</v>
      </c>
      <c r="H987">
        <v>2</v>
      </c>
      <c r="I987">
        <v>2</v>
      </c>
      <c r="J987" t="s">
        <v>43</v>
      </c>
      <c r="K987" t="s">
        <v>43</v>
      </c>
      <c r="L987" t="s">
        <v>43</v>
      </c>
      <c r="M987" t="s">
        <v>42</v>
      </c>
      <c r="N987" t="s">
        <v>42</v>
      </c>
      <c r="O987">
        <v>3</v>
      </c>
      <c r="P987">
        <v>4</v>
      </c>
      <c r="Q987">
        <v>4</v>
      </c>
      <c r="R987" t="s">
        <v>61</v>
      </c>
      <c r="S987">
        <v>1</v>
      </c>
      <c r="T987" s="1">
        <v>7.333333333333333</v>
      </c>
      <c r="U987" t="s">
        <v>62</v>
      </c>
    </row>
    <row r="988" spans="1:21" x14ac:dyDescent="0.35">
      <c r="A988" t="s">
        <v>34</v>
      </c>
      <c r="B988">
        <v>18</v>
      </c>
      <c r="C988" t="s">
        <v>35</v>
      </c>
      <c r="D988" t="s">
        <v>36</v>
      </c>
      <c r="E988" t="s">
        <v>44</v>
      </c>
      <c r="F988" t="s">
        <v>48</v>
      </c>
      <c r="G988" t="s">
        <v>38</v>
      </c>
      <c r="H988">
        <v>2</v>
      </c>
      <c r="I988">
        <v>0</v>
      </c>
      <c r="J988" t="s">
        <v>43</v>
      </c>
      <c r="K988" t="s">
        <v>43</v>
      </c>
      <c r="L988" t="s">
        <v>43</v>
      </c>
      <c r="M988" t="s">
        <v>42</v>
      </c>
      <c r="N988" t="s">
        <v>43</v>
      </c>
      <c r="O988">
        <v>4</v>
      </c>
      <c r="P988">
        <v>3</v>
      </c>
      <c r="Q988">
        <v>5</v>
      </c>
      <c r="R988" t="s">
        <v>61</v>
      </c>
      <c r="S988">
        <v>0</v>
      </c>
      <c r="T988" s="1">
        <v>13</v>
      </c>
      <c r="U988" t="s">
        <v>61</v>
      </c>
    </row>
    <row r="989" spans="1:21" x14ac:dyDescent="0.35">
      <c r="A989" t="s">
        <v>34</v>
      </c>
      <c r="B989">
        <v>17</v>
      </c>
      <c r="C989" t="s">
        <v>35</v>
      </c>
      <c r="D989" t="s">
        <v>36</v>
      </c>
      <c r="E989" t="s">
        <v>44</v>
      </c>
      <c r="F989" t="s">
        <v>48</v>
      </c>
      <c r="G989" t="s">
        <v>48</v>
      </c>
      <c r="H989">
        <v>1</v>
      </c>
      <c r="I989">
        <v>0</v>
      </c>
      <c r="J989" t="s">
        <v>43</v>
      </c>
      <c r="K989" t="s">
        <v>42</v>
      </c>
      <c r="L989" t="s">
        <v>43</v>
      </c>
      <c r="M989" t="s">
        <v>43</v>
      </c>
      <c r="N989" t="s">
        <v>43</v>
      </c>
      <c r="O989">
        <v>4</v>
      </c>
      <c r="P989">
        <v>4</v>
      </c>
      <c r="Q989">
        <v>3</v>
      </c>
      <c r="R989" t="s">
        <v>61</v>
      </c>
      <c r="S989">
        <v>0</v>
      </c>
      <c r="T989" s="1">
        <v>12</v>
      </c>
      <c r="U989" t="s">
        <v>61</v>
      </c>
    </row>
    <row r="990" spans="1:21" x14ac:dyDescent="0.35">
      <c r="A990" t="s">
        <v>34</v>
      </c>
      <c r="B990">
        <v>18</v>
      </c>
      <c r="C990" t="s">
        <v>35</v>
      </c>
      <c r="D990" t="s">
        <v>47</v>
      </c>
      <c r="E990" t="s">
        <v>37</v>
      </c>
      <c r="F990" t="s">
        <v>38</v>
      </c>
      <c r="G990" t="s">
        <v>45</v>
      </c>
      <c r="H990">
        <v>2</v>
      </c>
      <c r="I990">
        <v>0</v>
      </c>
      <c r="J990" t="s">
        <v>43</v>
      </c>
      <c r="K990" t="s">
        <v>43</v>
      </c>
      <c r="L990" t="s">
        <v>43</v>
      </c>
      <c r="M990" t="s">
        <v>43</v>
      </c>
      <c r="N990" t="s">
        <v>43</v>
      </c>
      <c r="O990">
        <v>4</v>
      </c>
      <c r="P990">
        <v>4</v>
      </c>
      <c r="Q990">
        <v>3</v>
      </c>
      <c r="R990" t="s">
        <v>61</v>
      </c>
      <c r="S990">
        <v>0</v>
      </c>
      <c r="T990" s="1">
        <v>13</v>
      </c>
      <c r="U990" t="s">
        <v>62</v>
      </c>
    </row>
    <row r="991" spans="1:21" x14ac:dyDescent="0.35">
      <c r="A991" t="s">
        <v>34</v>
      </c>
      <c r="B991">
        <v>18</v>
      </c>
      <c r="C991" t="s">
        <v>35</v>
      </c>
      <c r="D991" t="s">
        <v>36</v>
      </c>
      <c r="E991" t="s">
        <v>44</v>
      </c>
      <c r="F991" t="s">
        <v>39</v>
      </c>
      <c r="G991" t="s">
        <v>39</v>
      </c>
      <c r="H991">
        <v>2</v>
      </c>
      <c r="I991">
        <v>0</v>
      </c>
      <c r="J991" t="s">
        <v>43</v>
      </c>
      <c r="K991" t="s">
        <v>43</v>
      </c>
      <c r="L991" t="s">
        <v>43</v>
      </c>
      <c r="M991" t="s">
        <v>42</v>
      </c>
      <c r="N991" t="s">
        <v>43</v>
      </c>
      <c r="O991">
        <v>4</v>
      </c>
      <c r="P991">
        <v>3</v>
      </c>
      <c r="Q991">
        <v>5</v>
      </c>
      <c r="R991" t="s">
        <v>61</v>
      </c>
      <c r="S991">
        <v>0</v>
      </c>
      <c r="T991" s="1">
        <v>18</v>
      </c>
      <c r="U991" t="s">
        <v>62</v>
      </c>
    </row>
    <row r="992" spans="1:21" x14ac:dyDescent="0.35">
      <c r="A992" t="s">
        <v>50</v>
      </c>
      <c r="B992">
        <v>18</v>
      </c>
      <c r="C992" t="s">
        <v>35</v>
      </c>
      <c r="D992" t="s">
        <v>47</v>
      </c>
      <c r="E992" t="s">
        <v>44</v>
      </c>
      <c r="F992" t="s">
        <v>48</v>
      </c>
      <c r="G992" t="s">
        <v>45</v>
      </c>
      <c r="H992">
        <v>1</v>
      </c>
      <c r="I992">
        <v>0</v>
      </c>
      <c r="J992" t="s">
        <v>43</v>
      </c>
      <c r="K992" t="s">
        <v>42</v>
      </c>
      <c r="L992" t="s">
        <v>43</v>
      </c>
      <c r="M992" t="s">
        <v>42</v>
      </c>
      <c r="N992" t="s">
        <v>43</v>
      </c>
      <c r="O992">
        <v>5</v>
      </c>
      <c r="P992">
        <v>4</v>
      </c>
      <c r="Q992">
        <v>5</v>
      </c>
      <c r="R992" t="s">
        <v>61</v>
      </c>
      <c r="S992">
        <v>0</v>
      </c>
      <c r="T992" s="1">
        <v>17</v>
      </c>
      <c r="U992" t="s">
        <v>61</v>
      </c>
    </row>
    <row r="993" spans="1:21" x14ac:dyDescent="0.35">
      <c r="A993" t="s">
        <v>34</v>
      </c>
      <c r="B993">
        <v>17</v>
      </c>
      <c r="C993" t="s">
        <v>35</v>
      </c>
      <c r="D993" t="s">
        <v>36</v>
      </c>
      <c r="E993" t="s">
        <v>44</v>
      </c>
      <c r="F993" t="s">
        <v>45</v>
      </c>
      <c r="G993" t="s">
        <v>45</v>
      </c>
      <c r="H993">
        <v>2</v>
      </c>
      <c r="I993">
        <v>0</v>
      </c>
      <c r="J993" t="s">
        <v>43</v>
      </c>
      <c r="K993" t="s">
        <v>42</v>
      </c>
      <c r="L993" t="s">
        <v>43</v>
      </c>
      <c r="M993" t="s">
        <v>43</v>
      </c>
      <c r="N993" t="s">
        <v>43</v>
      </c>
      <c r="O993">
        <v>4</v>
      </c>
      <c r="P993">
        <v>3</v>
      </c>
      <c r="Q993">
        <v>3</v>
      </c>
      <c r="R993" t="s">
        <v>61</v>
      </c>
      <c r="S993">
        <v>0</v>
      </c>
      <c r="T993" s="1">
        <v>17.666666666666668</v>
      </c>
      <c r="U993" t="s">
        <v>62</v>
      </c>
    </row>
    <row r="994" spans="1:21" x14ac:dyDescent="0.35">
      <c r="A994" t="s">
        <v>34</v>
      </c>
      <c r="B994">
        <v>18</v>
      </c>
      <c r="C994" t="s">
        <v>52</v>
      </c>
      <c r="D994" t="s">
        <v>36</v>
      </c>
      <c r="E994" t="s">
        <v>44</v>
      </c>
      <c r="F994" t="s">
        <v>38</v>
      </c>
      <c r="G994" t="s">
        <v>45</v>
      </c>
      <c r="H994">
        <v>2</v>
      </c>
      <c r="I994">
        <v>1</v>
      </c>
      <c r="J994" t="s">
        <v>43</v>
      </c>
      <c r="K994" t="s">
        <v>43</v>
      </c>
      <c r="L994" t="s">
        <v>43</v>
      </c>
      <c r="M994" t="s">
        <v>42</v>
      </c>
      <c r="N994" t="s">
        <v>42</v>
      </c>
      <c r="O994">
        <v>4</v>
      </c>
      <c r="P994">
        <v>3</v>
      </c>
      <c r="Q994">
        <v>3</v>
      </c>
      <c r="R994" t="s">
        <v>61</v>
      </c>
      <c r="S994">
        <v>1</v>
      </c>
      <c r="T994" s="1">
        <v>3</v>
      </c>
      <c r="U994" t="s">
        <v>61</v>
      </c>
    </row>
    <row r="995" spans="1:21" x14ac:dyDescent="0.35">
      <c r="A995" t="s">
        <v>50</v>
      </c>
      <c r="B995">
        <v>18</v>
      </c>
      <c r="C995" t="s">
        <v>35</v>
      </c>
      <c r="D995" t="s">
        <v>47</v>
      </c>
      <c r="E995" t="s">
        <v>44</v>
      </c>
      <c r="F995" t="s">
        <v>38</v>
      </c>
      <c r="G995" t="s">
        <v>48</v>
      </c>
      <c r="H995">
        <v>1</v>
      </c>
      <c r="I995">
        <v>0</v>
      </c>
      <c r="J995" t="s">
        <v>43</v>
      </c>
      <c r="K995" t="s">
        <v>42</v>
      </c>
      <c r="L995" t="s">
        <v>43</v>
      </c>
      <c r="M995" t="s">
        <v>43</v>
      </c>
      <c r="N995" t="s">
        <v>43</v>
      </c>
      <c r="O995">
        <v>4</v>
      </c>
      <c r="P995">
        <v>1</v>
      </c>
      <c r="Q995">
        <v>4</v>
      </c>
      <c r="R995" t="s">
        <v>62</v>
      </c>
      <c r="S995">
        <v>0</v>
      </c>
      <c r="T995" s="1">
        <v>10.666666666666666</v>
      </c>
      <c r="U995" t="s">
        <v>63</v>
      </c>
    </row>
    <row r="996" spans="1:21" x14ac:dyDescent="0.35">
      <c r="A996" t="s">
        <v>50</v>
      </c>
      <c r="B996">
        <v>18</v>
      </c>
      <c r="C996" t="s">
        <v>52</v>
      </c>
      <c r="D996" t="s">
        <v>36</v>
      </c>
      <c r="E996" t="s">
        <v>44</v>
      </c>
      <c r="F996" t="s">
        <v>38</v>
      </c>
      <c r="G996" t="s">
        <v>48</v>
      </c>
      <c r="H996">
        <v>1</v>
      </c>
      <c r="I996">
        <v>0</v>
      </c>
      <c r="J996" t="s">
        <v>43</v>
      </c>
      <c r="K996" t="s">
        <v>42</v>
      </c>
      <c r="L996" t="s">
        <v>42</v>
      </c>
      <c r="M996" t="s">
        <v>42</v>
      </c>
      <c r="N996" t="s">
        <v>42</v>
      </c>
      <c r="O996">
        <v>2</v>
      </c>
      <c r="P996">
        <v>5</v>
      </c>
      <c r="Q996">
        <v>5</v>
      </c>
      <c r="R996" t="s">
        <v>62</v>
      </c>
      <c r="S996">
        <v>0</v>
      </c>
      <c r="T996" s="1">
        <v>13</v>
      </c>
      <c r="U996" t="s">
        <v>61</v>
      </c>
    </row>
    <row r="997" spans="1:21" x14ac:dyDescent="0.35">
      <c r="A997" t="s">
        <v>50</v>
      </c>
      <c r="B997">
        <v>17</v>
      </c>
      <c r="C997" t="s">
        <v>52</v>
      </c>
      <c r="D997" t="s">
        <v>36</v>
      </c>
      <c r="E997" t="s">
        <v>44</v>
      </c>
      <c r="F997" t="s">
        <v>45</v>
      </c>
      <c r="G997" t="s">
        <v>48</v>
      </c>
      <c r="H997">
        <v>1</v>
      </c>
      <c r="I997">
        <v>0</v>
      </c>
      <c r="J997" t="s">
        <v>43</v>
      </c>
      <c r="K997" t="s">
        <v>43</v>
      </c>
      <c r="L997" t="s">
        <v>43</v>
      </c>
      <c r="M997" t="s">
        <v>43</v>
      </c>
      <c r="N997" t="s">
        <v>43</v>
      </c>
      <c r="O997">
        <v>4</v>
      </c>
      <c r="P997">
        <v>2</v>
      </c>
      <c r="Q997">
        <v>3</v>
      </c>
      <c r="R997" t="s">
        <v>61</v>
      </c>
      <c r="S997">
        <v>0</v>
      </c>
      <c r="T997" s="1">
        <v>13</v>
      </c>
      <c r="U997" t="s">
        <v>63</v>
      </c>
    </row>
    <row r="998" spans="1:21" x14ac:dyDescent="0.35">
      <c r="A998" t="s">
        <v>34</v>
      </c>
      <c r="B998">
        <v>18</v>
      </c>
      <c r="C998" t="s">
        <v>35</v>
      </c>
      <c r="D998" t="s">
        <v>36</v>
      </c>
      <c r="E998" t="s">
        <v>44</v>
      </c>
      <c r="F998" t="s">
        <v>45</v>
      </c>
      <c r="G998" t="s">
        <v>45</v>
      </c>
      <c r="H998">
        <v>2</v>
      </c>
      <c r="I998">
        <v>0</v>
      </c>
      <c r="J998" t="s">
        <v>43</v>
      </c>
      <c r="K998" t="s">
        <v>42</v>
      </c>
      <c r="L998" t="s">
        <v>43</v>
      </c>
      <c r="M998" t="s">
        <v>43</v>
      </c>
      <c r="N998" t="s">
        <v>42</v>
      </c>
      <c r="O998">
        <v>1</v>
      </c>
      <c r="P998">
        <v>3</v>
      </c>
      <c r="Q998">
        <v>1</v>
      </c>
      <c r="R998" t="s">
        <v>61</v>
      </c>
      <c r="S998">
        <v>0</v>
      </c>
      <c r="T998" s="1">
        <v>8.6666666666666661</v>
      </c>
      <c r="U998" t="s">
        <v>61</v>
      </c>
    </row>
    <row r="999" spans="1:21" x14ac:dyDescent="0.35">
      <c r="A999" t="s">
        <v>34</v>
      </c>
      <c r="B999">
        <v>18</v>
      </c>
      <c r="C999" t="s">
        <v>35</v>
      </c>
      <c r="D999" t="s">
        <v>47</v>
      </c>
      <c r="E999" t="s">
        <v>44</v>
      </c>
      <c r="F999" t="s">
        <v>48</v>
      </c>
      <c r="G999" t="s">
        <v>48</v>
      </c>
      <c r="H999">
        <v>3</v>
      </c>
      <c r="I999">
        <v>0</v>
      </c>
      <c r="J999" t="s">
        <v>43</v>
      </c>
      <c r="K999" t="s">
        <v>43</v>
      </c>
      <c r="L999" t="s">
        <v>43</v>
      </c>
      <c r="M999" t="s">
        <v>43</v>
      </c>
      <c r="N999" t="s">
        <v>42</v>
      </c>
      <c r="O999">
        <v>5</v>
      </c>
      <c r="P999">
        <v>4</v>
      </c>
      <c r="Q999">
        <v>5</v>
      </c>
      <c r="R999" t="s">
        <v>61</v>
      </c>
      <c r="S999">
        <v>0</v>
      </c>
      <c r="T999" s="1">
        <v>12</v>
      </c>
      <c r="U999" t="s">
        <v>63</v>
      </c>
    </row>
    <row r="1000" spans="1:21" x14ac:dyDescent="0.35">
      <c r="A1000" t="s">
        <v>34</v>
      </c>
      <c r="B1000">
        <v>18</v>
      </c>
      <c r="C1000" t="s">
        <v>52</v>
      </c>
      <c r="D1000" t="s">
        <v>47</v>
      </c>
      <c r="E1000" t="s">
        <v>37</v>
      </c>
      <c r="F1000" t="s">
        <v>39</v>
      </c>
      <c r="G1000" t="s">
        <v>45</v>
      </c>
      <c r="H1000">
        <v>2</v>
      </c>
      <c r="I1000">
        <v>0</v>
      </c>
      <c r="J1000" t="s">
        <v>43</v>
      </c>
      <c r="K1000" t="s">
        <v>43</v>
      </c>
      <c r="L1000" t="s">
        <v>43</v>
      </c>
      <c r="M1000" t="s">
        <v>42</v>
      </c>
      <c r="N1000" t="s">
        <v>42</v>
      </c>
      <c r="O1000">
        <v>5</v>
      </c>
      <c r="P1000">
        <v>3</v>
      </c>
      <c r="Q1000">
        <v>1</v>
      </c>
      <c r="R1000" t="s">
        <v>61</v>
      </c>
      <c r="S1000">
        <v>1</v>
      </c>
      <c r="T1000" s="1">
        <v>1.6666666666666667</v>
      </c>
      <c r="U1000" t="s">
        <v>61</v>
      </c>
    </row>
    <row r="1001" spans="1:21" x14ac:dyDescent="0.35">
      <c r="A1001" t="s">
        <v>34</v>
      </c>
      <c r="B1001">
        <v>18</v>
      </c>
      <c r="C1001" t="s">
        <v>35</v>
      </c>
      <c r="D1001" t="s">
        <v>36</v>
      </c>
      <c r="E1001" t="s">
        <v>44</v>
      </c>
      <c r="F1001" t="s">
        <v>38</v>
      </c>
      <c r="G1001" t="s">
        <v>48</v>
      </c>
      <c r="H1001">
        <v>2</v>
      </c>
      <c r="I1001">
        <v>1</v>
      </c>
      <c r="J1001" t="s">
        <v>43</v>
      </c>
      <c r="K1001" t="s">
        <v>43</v>
      </c>
      <c r="L1001" t="s">
        <v>43</v>
      </c>
      <c r="M1001" t="s">
        <v>43</v>
      </c>
      <c r="N1001" t="s">
        <v>43</v>
      </c>
      <c r="O1001">
        <v>4</v>
      </c>
      <c r="P1001">
        <v>4</v>
      </c>
      <c r="Q1001">
        <v>2</v>
      </c>
      <c r="R1001" t="s">
        <v>61</v>
      </c>
      <c r="S1001">
        <v>0</v>
      </c>
      <c r="T1001" s="1">
        <v>9.6666666666666661</v>
      </c>
      <c r="U1001" t="s">
        <v>62</v>
      </c>
    </row>
    <row r="1002" spans="1:21" x14ac:dyDescent="0.35">
      <c r="A1002" t="s">
        <v>34</v>
      </c>
      <c r="B1002">
        <v>19</v>
      </c>
      <c r="C1002" t="s">
        <v>35</v>
      </c>
      <c r="D1002" t="s">
        <v>36</v>
      </c>
      <c r="E1002" t="s">
        <v>44</v>
      </c>
      <c r="F1002" t="s">
        <v>38</v>
      </c>
      <c r="G1002" t="s">
        <v>48</v>
      </c>
      <c r="H1002">
        <v>1</v>
      </c>
      <c r="I1002">
        <v>1</v>
      </c>
      <c r="J1002" t="s">
        <v>43</v>
      </c>
      <c r="K1002" t="s">
        <v>43</v>
      </c>
      <c r="L1002" t="s">
        <v>43</v>
      </c>
      <c r="M1002" t="s">
        <v>43</v>
      </c>
      <c r="N1002" t="s">
        <v>43</v>
      </c>
      <c r="O1002">
        <v>5</v>
      </c>
      <c r="P1002">
        <v>5</v>
      </c>
      <c r="Q1002">
        <v>5</v>
      </c>
      <c r="R1002" t="s">
        <v>61</v>
      </c>
      <c r="S1002">
        <v>1</v>
      </c>
      <c r="T1002" s="1">
        <v>1.6666666666666667</v>
      </c>
      <c r="U1002" t="s">
        <v>63</v>
      </c>
    </row>
    <row r="1003" spans="1:21" x14ac:dyDescent="0.35">
      <c r="A1003" t="s">
        <v>34</v>
      </c>
      <c r="B1003">
        <v>17</v>
      </c>
      <c r="C1003" t="s">
        <v>35</v>
      </c>
      <c r="D1003" t="s">
        <v>36</v>
      </c>
      <c r="E1003" t="s">
        <v>44</v>
      </c>
      <c r="F1003" t="s">
        <v>39</v>
      </c>
      <c r="G1003" t="s">
        <v>45</v>
      </c>
      <c r="H1003">
        <v>4</v>
      </c>
      <c r="I1003">
        <v>0</v>
      </c>
      <c r="J1003" t="s">
        <v>43</v>
      </c>
      <c r="K1003" t="s">
        <v>43</v>
      </c>
      <c r="L1003" t="s">
        <v>43</v>
      </c>
      <c r="M1003" t="s">
        <v>43</v>
      </c>
      <c r="N1003" t="s">
        <v>42</v>
      </c>
      <c r="O1003">
        <v>4</v>
      </c>
      <c r="P1003">
        <v>2</v>
      </c>
      <c r="Q1003">
        <v>3</v>
      </c>
      <c r="R1003" t="s">
        <v>61</v>
      </c>
      <c r="S1003">
        <v>0</v>
      </c>
      <c r="T1003" s="1">
        <v>18</v>
      </c>
      <c r="U1003" t="s">
        <v>62</v>
      </c>
    </row>
    <row r="1004" spans="1:21" x14ac:dyDescent="0.35">
      <c r="A1004" t="s">
        <v>34</v>
      </c>
      <c r="B1004">
        <v>17</v>
      </c>
      <c r="C1004" t="s">
        <v>52</v>
      </c>
      <c r="D1004" t="s">
        <v>47</v>
      </c>
      <c r="E1004" t="s">
        <v>37</v>
      </c>
      <c r="F1004" t="s">
        <v>48</v>
      </c>
      <c r="G1004" t="s">
        <v>45</v>
      </c>
      <c r="H1004">
        <v>2</v>
      </c>
      <c r="I1004">
        <v>0</v>
      </c>
      <c r="J1004" t="s">
        <v>43</v>
      </c>
      <c r="K1004" t="s">
        <v>43</v>
      </c>
      <c r="L1004" t="s">
        <v>43</v>
      </c>
      <c r="M1004" t="s">
        <v>42</v>
      </c>
      <c r="N1004" t="s">
        <v>42</v>
      </c>
      <c r="O1004">
        <v>5</v>
      </c>
      <c r="P1004">
        <v>3</v>
      </c>
      <c r="Q1004">
        <v>3</v>
      </c>
      <c r="R1004" t="s">
        <v>62</v>
      </c>
      <c r="S1004">
        <v>0</v>
      </c>
      <c r="T1004" s="1">
        <v>11.333333333333334</v>
      </c>
      <c r="U1004" t="s">
        <v>62</v>
      </c>
    </row>
    <row r="1005" spans="1:21" x14ac:dyDescent="0.35">
      <c r="A1005" t="s">
        <v>34</v>
      </c>
      <c r="B1005">
        <v>18</v>
      </c>
      <c r="C1005" t="s">
        <v>35</v>
      </c>
      <c r="D1005" t="s">
        <v>47</v>
      </c>
      <c r="E1005" t="s">
        <v>37</v>
      </c>
      <c r="F1005" t="s">
        <v>38</v>
      </c>
      <c r="G1005" t="s">
        <v>48</v>
      </c>
      <c r="H1005">
        <v>2</v>
      </c>
      <c r="I1005">
        <v>0</v>
      </c>
      <c r="J1005" t="s">
        <v>43</v>
      </c>
      <c r="K1005" t="s">
        <v>43</v>
      </c>
      <c r="L1005" t="s">
        <v>43</v>
      </c>
      <c r="M1005" t="s">
        <v>43</v>
      </c>
      <c r="N1005" t="s">
        <v>42</v>
      </c>
      <c r="O1005">
        <v>5</v>
      </c>
      <c r="P1005">
        <v>2</v>
      </c>
      <c r="Q1005">
        <v>3</v>
      </c>
      <c r="R1005" t="s">
        <v>61</v>
      </c>
      <c r="S1005">
        <v>0</v>
      </c>
      <c r="T1005" s="1">
        <v>9.6666666666666661</v>
      </c>
      <c r="U1005" t="s">
        <v>62</v>
      </c>
    </row>
    <row r="1006" spans="1:21" x14ac:dyDescent="0.35">
      <c r="A1006" t="s">
        <v>34</v>
      </c>
      <c r="B1006">
        <v>18</v>
      </c>
      <c r="C1006" t="s">
        <v>35</v>
      </c>
      <c r="D1006" t="s">
        <v>36</v>
      </c>
      <c r="E1006" t="s">
        <v>44</v>
      </c>
      <c r="F1006" t="s">
        <v>38</v>
      </c>
      <c r="G1006" t="s">
        <v>38</v>
      </c>
      <c r="H1006">
        <v>2</v>
      </c>
      <c r="I1006">
        <v>0</v>
      </c>
      <c r="J1006" t="s">
        <v>43</v>
      </c>
      <c r="K1006" t="s">
        <v>42</v>
      </c>
      <c r="L1006" t="s">
        <v>43</v>
      </c>
      <c r="M1006" t="s">
        <v>43</v>
      </c>
      <c r="N1006" t="s">
        <v>43</v>
      </c>
      <c r="O1006">
        <v>4</v>
      </c>
      <c r="P1006">
        <v>1</v>
      </c>
      <c r="Q1006">
        <v>1</v>
      </c>
      <c r="R1006" t="s">
        <v>61</v>
      </c>
      <c r="S1006">
        <v>0</v>
      </c>
      <c r="T1006" s="1">
        <v>11.333333333333334</v>
      </c>
      <c r="U1006" t="s">
        <v>61</v>
      </c>
    </row>
    <row r="1007" spans="1:21" x14ac:dyDescent="0.35">
      <c r="A1007" t="s">
        <v>34</v>
      </c>
      <c r="B1007">
        <v>19</v>
      </c>
      <c r="C1007" t="s">
        <v>52</v>
      </c>
      <c r="D1007" t="s">
        <v>36</v>
      </c>
      <c r="E1007" t="s">
        <v>37</v>
      </c>
      <c r="F1007" t="s">
        <v>38</v>
      </c>
      <c r="G1007" t="s">
        <v>38</v>
      </c>
      <c r="H1007">
        <v>2</v>
      </c>
      <c r="I1007">
        <v>3</v>
      </c>
      <c r="J1007" t="s">
        <v>43</v>
      </c>
      <c r="K1007" t="s">
        <v>42</v>
      </c>
      <c r="L1007" t="s">
        <v>43</v>
      </c>
      <c r="M1007" t="s">
        <v>42</v>
      </c>
      <c r="N1007" t="s">
        <v>42</v>
      </c>
      <c r="O1007">
        <v>3</v>
      </c>
      <c r="P1007">
        <v>5</v>
      </c>
      <c r="Q1007">
        <v>4</v>
      </c>
      <c r="R1007" t="s">
        <v>61</v>
      </c>
      <c r="S1007">
        <v>1</v>
      </c>
      <c r="T1007" s="1">
        <v>2.6666666666666665</v>
      </c>
      <c r="U1007" t="s">
        <v>63</v>
      </c>
    </row>
    <row r="1008" spans="1:21" x14ac:dyDescent="0.35">
      <c r="A1008" t="s">
        <v>34</v>
      </c>
      <c r="B1008">
        <v>18</v>
      </c>
      <c r="C1008" t="s">
        <v>52</v>
      </c>
      <c r="D1008" t="s">
        <v>36</v>
      </c>
      <c r="E1008" t="s">
        <v>44</v>
      </c>
      <c r="F1008" t="s">
        <v>48</v>
      </c>
      <c r="G1008" t="s">
        <v>45</v>
      </c>
      <c r="H1008">
        <v>3</v>
      </c>
      <c r="I1008">
        <v>0</v>
      </c>
      <c r="J1008" t="s">
        <v>43</v>
      </c>
      <c r="K1008" t="s">
        <v>43</v>
      </c>
      <c r="L1008" t="s">
        <v>43</v>
      </c>
      <c r="M1008" t="s">
        <v>43</v>
      </c>
      <c r="N1008" t="s">
        <v>42</v>
      </c>
      <c r="O1008">
        <v>4</v>
      </c>
      <c r="P1008">
        <v>2</v>
      </c>
      <c r="Q1008">
        <v>1</v>
      </c>
      <c r="R1008" t="s">
        <v>62</v>
      </c>
      <c r="S1008">
        <v>0</v>
      </c>
      <c r="T1008" s="1">
        <v>14.333333333333334</v>
      </c>
      <c r="U1008" t="s">
        <v>61</v>
      </c>
    </row>
    <row r="1009" spans="1:21" x14ac:dyDescent="0.35">
      <c r="A1009" t="s">
        <v>50</v>
      </c>
      <c r="B1009">
        <v>17</v>
      </c>
      <c r="C1009" t="s">
        <v>52</v>
      </c>
      <c r="D1009" t="s">
        <v>36</v>
      </c>
      <c r="E1009" t="s">
        <v>44</v>
      </c>
      <c r="F1009" t="s">
        <v>48</v>
      </c>
      <c r="G1009" t="s">
        <v>45</v>
      </c>
      <c r="H1009">
        <v>2</v>
      </c>
      <c r="I1009">
        <v>1</v>
      </c>
      <c r="J1009" t="s">
        <v>43</v>
      </c>
      <c r="K1009" t="s">
        <v>42</v>
      </c>
      <c r="L1009" t="s">
        <v>42</v>
      </c>
      <c r="M1009" t="s">
        <v>42</v>
      </c>
      <c r="N1009" t="s">
        <v>42</v>
      </c>
      <c r="O1009">
        <v>4</v>
      </c>
      <c r="P1009">
        <v>5</v>
      </c>
      <c r="Q1009">
        <v>5</v>
      </c>
      <c r="R1009" t="s">
        <v>61</v>
      </c>
      <c r="S1009">
        <v>0</v>
      </c>
      <c r="T1009" s="1">
        <v>10.666666666666666</v>
      </c>
      <c r="U1009" t="s">
        <v>62</v>
      </c>
    </row>
    <row r="1010" spans="1:21" x14ac:dyDescent="0.35">
      <c r="A1010" t="s">
        <v>34</v>
      </c>
      <c r="B1010">
        <v>18</v>
      </c>
      <c r="C1010" t="s">
        <v>35</v>
      </c>
      <c r="D1010" t="s">
        <v>36</v>
      </c>
      <c r="E1010" t="s">
        <v>44</v>
      </c>
      <c r="F1010" t="s">
        <v>48</v>
      </c>
      <c r="G1010" t="s">
        <v>48</v>
      </c>
      <c r="H1010">
        <v>2</v>
      </c>
      <c r="I1010">
        <v>0</v>
      </c>
      <c r="J1010" t="s">
        <v>43</v>
      </c>
      <c r="K1010" t="s">
        <v>42</v>
      </c>
      <c r="L1010" t="s">
        <v>43</v>
      </c>
      <c r="M1010" t="s">
        <v>43</v>
      </c>
      <c r="N1010" t="s">
        <v>42</v>
      </c>
      <c r="O1010">
        <v>5</v>
      </c>
      <c r="P1010">
        <v>3</v>
      </c>
      <c r="Q1010">
        <v>4</v>
      </c>
      <c r="R1010" t="s">
        <v>61</v>
      </c>
      <c r="S1010">
        <v>0</v>
      </c>
      <c r="T1010" s="1">
        <v>10</v>
      </c>
      <c r="U1010" t="s">
        <v>61</v>
      </c>
    </row>
    <row r="1011" spans="1:21" x14ac:dyDescent="0.35">
      <c r="A1011" t="s">
        <v>34</v>
      </c>
      <c r="B1011">
        <v>17</v>
      </c>
      <c r="C1011" t="s">
        <v>52</v>
      </c>
      <c r="D1011" t="s">
        <v>36</v>
      </c>
      <c r="E1011" t="s">
        <v>44</v>
      </c>
      <c r="F1011" t="s">
        <v>39</v>
      </c>
      <c r="G1011" t="s">
        <v>48</v>
      </c>
      <c r="H1011">
        <v>2</v>
      </c>
      <c r="I1011">
        <v>0</v>
      </c>
      <c r="J1011" t="s">
        <v>43</v>
      </c>
      <c r="K1011" t="s">
        <v>42</v>
      </c>
      <c r="L1011" t="s">
        <v>42</v>
      </c>
      <c r="M1011" t="s">
        <v>42</v>
      </c>
      <c r="N1011" t="s">
        <v>43</v>
      </c>
      <c r="O1011">
        <v>4</v>
      </c>
      <c r="P1011">
        <v>3</v>
      </c>
      <c r="Q1011">
        <v>3</v>
      </c>
      <c r="R1011" t="s">
        <v>61</v>
      </c>
      <c r="S1011">
        <v>0</v>
      </c>
      <c r="T1011" s="1">
        <v>12</v>
      </c>
      <c r="U1011" t="s">
        <v>62</v>
      </c>
    </row>
    <row r="1012" spans="1:21" x14ac:dyDescent="0.35">
      <c r="A1012" t="s">
        <v>34</v>
      </c>
      <c r="B1012">
        <v>17</v>
      </c>
      <c r="C1012" t="s">
        <v>35</v>
      </c>
      <c r="D1012" t="s">
        <v>47</v>
      </c>
      <c r="E1012" t="s">
        <v>37</v>
      </c>
      <c r="F1012" t="s">
        <v>48</v>
      </c>
      <c r="G1012" t="s">
        <v>45</v>
      </c>
      <c r="H1012">
        <v>2</v>
      </c>
      <c r="I1012">
        <v>0</v>
      </c>
      <c r="J1012" t="s">
        <v>43</v>
      </c>
      <c r="K1012" t="s">
        <v>43</v>
      </c>
      <c r="L1012" t="s">
        <v>43</v>
      </c>
      <c r="M1012" t="s">
        <v>43</v>
      </c>
      <c r="N1012" t="s">
        <v>42</v>
      </c>
      <c r="O1012">
        <v>1</v>
      </c>
      <c r="P1012">
        <v>2</v>
      </c>
      <c r="Q1012">
        <v>3</v>
      </c>
      <c r="R1012" t="s">
        <v>61</v>
      </c>
      <c r="S1012">
        <v>1</v>
      </c>
      <c r="T1012" s="1">
        <v>14.666666666666666</v>
      </c>
      <c r="U1012" t="s">
        <v>62</v>
      </c>
    </row>
    <row r="1013" spans="1:21" x14ac:dyDescent="0.35">
      <c r="A1013" t="s">
        <v>50</v>
      </c>
      <c r="B1013">
        <v>18</v>
      </c>
      <c r="C1013" t="s">
        <v>35</v>
      </c>
      <c r="D1013" t="s">
        <v>47</v>
      </c>
      <c r="E1013" t="s">
        <v>44</v>
      </c>
      <c r="F1013" t="s">
        <v>45</v>
      </c>
      <c r="G1013" t="s">
        <v>48</v>
      </c>
      <c r="H1013">
        <v>1</v>
      </c>
      <c r="I1013">
        <v>0</v>
      </c>
      <c r="J1013" t="s">
        <v>43</v>
      </c>
      <c r="K1013" t="s">
        <v>43</v>
      </c>
      <c r="L1013" t="s">
        <v>43</v>
      </c>
      <c r="M1013" t="s">
        <v>43</v>
      </c>
      <c r="N1013" t="s">
        <v>42</v>
      </c>
      <c r="O1013">
        <v>3</v>
      </c>
      <c r="P1013">
        <v>3</v>
      </c>
      <c r="Q1013">
        <v>2</v>
      </c>
      <c r="R1013" t="s">
        <v>61</v>
      </c>
      <c r="S1013">
        <v>1</v>
      </c>
      <c r="T1013" s="1">
        <v>13.666666666666666</v>
      </c>
      <c r="U1013" t="s">
        <v>62</v>
      </c>
    </row>
    <row r="1014" spans="1:21" x14ac:dyDescent="0.35">
      <c r="A1014" t="s">
        <v>34</v>
      </c>
      <c r="B1014">
        <v>18</v>
      </c>
      <c r="C1014" t="s">
        <v>35</v>
      </c>
      <c r="D1014" t="s">
        <v>47</v>
      </c>
      <c r="E1014" t="s">
        <v>44</v>
      </c>
      <c r="F1014" t="s">
        <v>38</v>
      </c>
      <c r="G1014" t="s">
        <v>48</v>
      </c>
      <c r="H1014">
        <v>3</v>
      </c>
      <c r="I1014">
        <v>0</v>
      </c>
      <c r="J1014" t="s">
        <v>43</v>
      </c>
      <c r="K1014" t="s">
        <v>43</v>
      </c>
      <c r="L1014" t="s">
        <v>43</v>
      </c>
      <c r="M1014" t="s">
        <v>43</v>
      </c>
      <c r="N1014" t="s">
        <v>43</v>
      </c>
      <c r="O1014">
        <v>5</v>
      </c>
      <c r="P1014">
        <v>3</v>
      </c>
      <c r="Q1014">
        <v>2</v>
      </c>
      <c r="R1014" t="s">
        <v>61</v>
      </c>
      <c r="S1014">
        <v>1</v>
      </c>
      <c r="T1014" s="1">
        <v>18</v>
      </c>
      <c r="U1014" t="s">
        <v>61</v>
      </c>
    </row>
    <row r="1015" spans="1:21" x14ac:dyDescent="0.35">
      <c r="A1015" t="s">
        <v>34</v>
      </c>
      <c r="B1015">
        <v>18</v>
      </c>
      <c r="C1015" t="s">
        <v>52</v>
      </c>
      <c r="D1015" t="s">
        <v>47</v>
      </c>
      <c r="E1015" t="s">
        <v>37</v>
      </c>
      <c r="F1015" t="s">
        <v>38</v>
      </c>
      <c r="G1015" t="s">
        <v>45</v>
      </c>
      <c r="H1015">
        <v>2</v>
      </c>
      <c r="I1015">
        <v>0</v>
      </c>
      <c r="J1015" t="s">
        <v>43</v>
      </c>
      <c r="K1015" t="s">
        <v>43</v>
      </c>
      <c r="L1015" t="s">
        <v>43</v>
      </c>
      <c r="M1015" t="s">
        <v>43</v>
      </c>
      <c r="N1015" t="s">
        <v>42</v>
      </c>
      <c r="O1015">
        <v>4</v>
      </c>
      <c r="P1015">
        <v>3</v>
      </c>
      <c r="Q1015">
        <v>4</v>
      </c>
      <c r="R1015" t="s">
        <v>61</v>
      </c>
      <c r="S1015">
        <v>1</v>
      </c>
      <c r="T1015" s="1">
        <v>15.333333333333334</v>
      </c>
      <c r="U1015" t="s">
        <v>63</v>
      </c>
    </row>
    <row r="1016" spans="1:21" x14ac:dyDescent="0.35">
      <c r="A1016" t="s">
        <v>34</v>
      </c>
      <c r="B1016">
        <v>18</v>
      </c>
      <c r="C1016" t="s">
        <v>35</v>
      </c>
      <c r="D1016" t="s">
        <v>36</v>
      </c>
      <c r="E1016" t="s">
        <v>44</v>
      </c>
      <c r="F1016" t="s">
        <v>48</v>
      </c>
      <c r="G1016" t="s">
        <v>48</v>
      </c>
      <c r="H1016">
        <v>2</v>
      </c>
      <c r="I1016">
        <v>0</v>
      </c>
      <c r="J1016" t="s">
        <v>43</v>
      </c>
      <c r="K1016" t="s">
        <v>42</v>
      </c>
      <c r="L1016" t="s">
        <v>43</v>
      </c>
      <c r="M1016" t="s">
        <v>43</v>
      </c>
      <c r="N1016" t="s">
        <v>42</v>
      </c>
      <c r="O1016">
        <v>4</v>
      </c>
      <c r="P1016">
        <v>3</v>
      </c>
      <c r="Q1016">
        <v>2</v>
      </c>
      <c r="R1016" t="s">
        <v>62</v>
      </c>
      <c r="S1016">
        <v>1</v>
      </c>
      <c r="T1016" s="1">
        <v>12.666666666666666</v>
      </c>
      <c r="U1016" t="s">
        <v>62</v>
      </c>
    </row>
    <row r="1017" spans="1:21" x14ac:dyDescent="0.35">
      <c r="A1017" t="s">
        <v>34</v>
      </c>
      <c r="B1017">
        <v>17</v>
      </c>
      <c r="C1017" t="s">
        <v>35</v>
      </c>
      <c r="D1017" t="s">
        <v>47</v>
      </c>
      <c r="E1017" t="s">
        <v>44</v>
      </c>
      <c r="F1017" t="s">
        <v>38</v>
      </c>
      <c r="G1017" t="s">
        <v>38</v>
      </c>
      <c r="H1017">
        <v>2</v>
      </c>
      <c r="I1017">
        <v>0</v>
      </c>
      <c r="J1017" t="s">
        <v>43</v>
      </c>
      <c r="K1017" t="s">
        <v>42</v>
      </c>
      <c r="L1017" t="s">
        <v>43</v>
      </c>
      <c r="M1017" t="s">
        <v>42</v>
      </c>
      <c r="N1017" t="s">
        <v>42</v>
      </c>
      <c r="O1017">
        <v>2</v>
      </c>
      <c r="P1017">
        <v>3</v>
      </c>
      <c r="Q1017">
        <v>4</v>
      </c>
      <c r="R1017" t="s">
        <v>61</v>
      </c>
      <c r="S1017">
        <v>1</v>
      </c>
      <c r="T1017" s="1">
        <v>14.666666666666666</v>
      </c>
      <c r="U1017" t="s">
        <v>61</v>
      </c>
    </row>
    <row r="1018" spans="1:21" x14ac:dyDescent="0.35">
      <c r="A1018" t="s">
        <v>34</v>
      </c>
      <c r="B1018">
        <v>17</v>
      </c>
      <c r="C1018" t="s">
        <v>52</v>
      </c>
      <c r="D1018" t="s">
        <v>36</v>
      </c>
      <c r="E1018" t="s">
        <v>44</v>
      </c>
      <c r="F1018" t="s">
        <v>45</v>
      </c>
      <c r="G1018" t="s">
        <v>48</v>
      </c>
      <c r="H1018">
        <v>2</v>
      </c>
      <c r="I1018">
        <v>0</v>
      </c>
      <c r="J1018" t="s">
        <v>43</v>
      </c>
      <c r="K1018" t="s">
        <v>43</v>
      </c>
      <c r="L1018" t="s">
        <v>43</v>
      </c>
      <c r="M1018" t="s">
        <v>43</v>
      </c>
      <c r="N1018" t="s">
        <v>43</v>
      </c>
      <c r="O1018">
        <v>3</v>
      </c>
      <c r="P1018">
        <v>2</v>
      </c>
      <c r="Q1018">
        <v>2</v>
      </c>
      <c r="R1018" t="s">
        <v>61</v>
      </c>
      <c r="S1018">
        <v>0</v>
      </c>
      <c r="T1018" s="1">
        <v>13</v>
      </c>
      <c r="U1018" t="s">
        <v>62</v>
      </c>
    </row>
    <row r="1019" spans="1:21" x14ac:dyDescent="0.35">
      <c r="A1019" t="s">
        <v>50</v>
      </c>
      <c r="B1019">
        <v>18</v>
      </c>
      <c r="C1019" t="s">
        <v>52</v>
      </c>
      <c r="D1019" t="s">
        <v>36</v>
      </c>
      <c r="E1019" t="s">
        <v>44</v>
      </c>
      <c r="F1019" t="s">
        <v>38</v>
      </c>
      <c r="G1019" t="s">
        <v>45</v>
      </c>
      <c r="H1019">
        <v>2</v>
      </c>
      <c r="I1019">
        <v>0</v>
      </c>
      <c r="J1019" t="s">
        <v>43</v>
      </c>
      <c r="K1019" t="s">
        <v>42</v>
      </c>
      <c r="L1019" t="s">
        <v>42</v>
      </c>
      <c r="M1019" t="s">
        <v>43</v>
      </c>
      <c r="N1019" t="s">
        <v>43</v>
      </c>
      <c r="O1019">
        <v>3</v>
      </c>
      <c r="P1019">
        <v>3</v>
      </c>
      <c r="Q1019">
        <v>4</v>
      </c>
      <c r="R1019" t="s">
        <v>61</v>
      </c>
      <c r="S1019">
        <v>1</v>
      </c>
      <c r="T1019" s="1">
        <v>9</v>
      </c>
      <c r="U1019" t="s">
        <v>63</v>
      </c>
    </row>
    <row r="1020" spans="1:21" x14ac:dyDescent="0.35">
      <c r="A1020" t="s">
        <v>50</v>
      </c>
      <c r="B1020">
        <v>18</v>
      </c>
      <c r="C1020" t="s">
        <v>35</v>
      </c>
      <c r="D1020" t="s">
        <v>47</v>
      </c>
      <c r="E1020" t="s">
        <v>44</v>
      </c>
      <c r="F1020" t="s">
        <v>39</v>
      </c>
      <c r="G1020" t="s">
        <v>48</v>
      </c>
      <c r="H1020">
        <v>3</v>
      </c>
      <c r="I1020">
        <v>0</v>
      </c>
      <c r="J1020" t="s">
        <v>43</v>
      </c>
      <c r="K1020" t="s">
        <v>43</v>
      </c>
      <c r="L1020" t="s">
        <v>43</v>
      </c>
      <c r="M1020" t="s">
        <v>43</v>
      </c>
      <c r="N1020" t="s">
        <v>42</v>
      </c>
      <c r="O1020">
        <v>4</v>
      </c>
      <c r="P1020">
        <v>2</v>
      </c>
      <c r="Q1020">
        <v>2</v>
      </c>
      <c r="R1020" t="s">
        <v>61</v>
      </c>
      <c r="S1020">
        <v>0</v>
      </c>
      <c r="T1020" s="1">
        <v>15.666666666666666</v>
      </c>
      <c r="U1020" t="s">
        <v>62</v>
      </c>
    </row>
    <row r="1021" spans="1:21" x14ac:dyDescent="0.35">
      <c r="A1021" t="s">
        <v>34</v>
      </c>
      <c r="B1021">
        <v>17</v>
      </c>
      <c r="C1021" t="s">
        <v>52</v>
      </c>
      <c r="D1021" t="s">
        <v>36</v>
      </c>
      <c r="E1021" t="s">
        <v>44</v>
      </c>
      <c r="F1021" t="s">
        <v>45</v>
      </c>
      <c r="G1021" t="s">
        <v>48</v>
      </c>
      <c r="H1021">
        <v>1</v>
      </c>
      <c r="I1021">
        <v>1</v>
      </c>
      <c r="J1021" t="s">
        <v>43</v>
      </c>
      <c r="K1021" t="s">
        <v>42</v>
      </c>
      <c r="L1021" t="s">
        <v>43</v>
      </c>
      <c r="M1021" t="s">
        <v>43</v>
      </c>
      <c r="N1021" t="s">
        <v>42</v>
      </c>
      <c r="O1021">
        <v>5</v>
      </c>
      <c r="P1021">
        <v>2</v>
      </c>
      <c r="Q1021">
        <v>1</v>
      </c>
      <c r="R1021" t="s">
        <v>61</v>
      </c>
      <c r="S1021">
        <v>0</v>
      </c>
      <c r="T1021" s="1">
        <v>8.3333333333333339</v>
      </c>
      <c r="U1021" t="s">
        <v>62</v>
      </c>
    </row>
    <row r="1022" spans="1:21" x14ac:dyDescent="0.35">
      <c r="A1022" t="s">
        <v>34</v>
      </c>
      <c r="B1022">
        <v>18</v>
      </c>
      <c r="C1022" t="s">
        <v>35</v>
      </c>
      <c r="D1022" t="s">
        <v>36</v>
      </c>
      <c r="E1022" t="s">
        <v>44</v>
      </c>
      <c r="F1022" t="s">
        <v>38</v>
      </c>
      <c r="G1022" t="s">
        <v>48</v>
      </c>
      <c r="H1022">
        <v>1</v>
      </c>
      <c r="I1022">
        <v>0</v>
      </c>
      <c r="J1022" t="s">
        <v>43</v>
      </c>
      <c r="K1022" t="s">
        <v>42</v>
      </c>
      <c r="L1022" t="s">
        <v>43</v>
      </c>
      <c r="M1022" t="s">
        <v>43</v>
      </c>
      <c r="N1022" t="s">
        <v>42</v>
      </c>
      <c r="O1022">
        <v>5</v>
      </c>
      <c r="P1022">
        <v>2</v>
      </c>
      <c r="Q1022">
        <v>3</v>
      </c>
      <c r="R1022" t="s">
        <v>61</v>
      </c>
      <c r="S1022">
        <v>0</v>
      </c>
      <c r="T1022" s="1">
        <v>10</v>
      </c>
      <c r="U1022" t="s">
        <v>62</v>
      </c>
    </row>
    <row r="1023" spans="1:21" x14ac:dyDescent="0.35">
      <c r="A1023" t="s">
        <v>34</v>
      </c>
      <c r="B1023">
        <v>18</v>
      </c>
      <c r="C1023" t="s">
        <v>52</v>
      </c>
      <c r="D1023" t="s">
        <v>36</v>
      </c>
      <c r="E1023" t="s">
        <v>44</v>
      </c>
      <c r="F1023" t="s">
        <v>45</v>
      </c>
      <c r="G1023" t="s">
        <v>39</v>
      </c>
      <c r="H1023">
        <v>2</v>
      </c>
      <c r="I1023">
        <v>0</v>
      </c>
      <c r="J1023" t="s">
        <v>43</v>
      </c>
      <c r="K1023" t="s">
        <v>42</v>
      </c>
      <c r="L1023" t="s">
        <v>43</v>
      </c>
      <c r="M1023" t="s">
        <v>43</v>
      </c>
      <c r="N1023" t="s">
        <v>42</v>
      </c>
      <c r="O1023">
        <v>3</v>
      </c>
      <c r="P1023">
        <v>2</v>
      </c>
      <c r="Q1023">
        <v>2</v>
      </c>
      <c r="R1023" t="s">
        <v>61</v>
      </c>
      <c r="S1023">
        <v>2</v>
      </c>
      <c r="T1023" s="1">
        <v>4</v>
      </c>
      <c r="U1023" t="s">
        <v>63</v>
      </c>
    </row>
    <row r="1024" spans="1:21" x14ac:dyDescent="0.35">
      <c r="A1024" t="s">
        <v>50</v>
      </c>
      <c r="B1024">
        <v>18</v>
      </c>
      <c r="C1024" t="s">
        <v>52</v>
      </c>
      <c r="D1024" t="s">
        <v>47</v>
      </c>
      <c r="E1024" t="s">
        <v>44</v>
      </c>
      <c r="F1024" t="s">
        <v>38</v>
      </c>
      <c r="G1024" t="s">
        <v>48</v>
      </c>
      <c r="H1024">
        <v>1</v>
      </c>
      <c r="I1024">
        <v>0</v>
      </c>
      <c r="J1024" t="s">
        <v>43</v>
      </c>
      <c r="K1024" t="s">
        <v>42</v>
      </c>
      <c r="L1024" t="s">
        <v>43</v>
      </c>
      <c r="M1024" t="s">
        <v>42</v>
      </c>
      <c r="N1024" t="s">
        <v>42</v>
      </c>
      <c r="O1024">
        <v>4</v>
      </c>
      <c r="P1024">
        <v>3</v>
      </c>
      <c r="Q1024">
        <v>3</v>
      </c>
      <c r="R1024" t="s">
        <v>61</v>
      </c>
      <c r="S1024">
        <v>0</v>
      </c>
      <c r="T1024" s="1">
        <v>9.6666666666666661</v>
      </c>
      <c r="U1024" t="s">
        <v>63</v>
      </c>
    </row>
    <row r="1025" spans="1:21" x14ac:dyDescent="0.35">
      <c r="A1025" t="s">
        <v>34</v>
      </c>
      <c r="B1025">
        <v>17</v>
      </c>
      <c r="C1025" t="s">
        <v>35</v>
      </c>
      <c r="D1025" t="s">
        <v>36</v>
      </c>
      <c r="E1025" t="s">
        <v>44</v>
      </c>
      <c r="F1025" t="s">
        <v>45</v>
      </c>
      <c r="G1025" t="s">
        <v>38</v>
      </c>
      <c r="H1025">
        <v>3</v>
      </c>
      <c r="I1025">
        <v>0</v>
      </c>
      <c r="J1025" t="s">
        <v>43</v>
      </c>
      <c r="K1025" t="s">
        <v>43</v>
      </c>
      <c r="L1025" t="s">
        <v>43</v>
      </c>
      <c r="M1025" t="s">
        <v>42</v>
      </c>
      <c r="N1025" t="s">
        <v>42</v>
      </c>
      <c r="O1025">
        <v>3</v>
      </c>
      <c r="P1025">
        <v>4</v>
      </c>
      <c r="Q1025">
        <v>3</v>
      </c>
      <c r="R1025" t="s">
        <v>62</v>
      </c>
      <c r="S1025">
        <v>0</v>
      </c>
      <c r="T1025" s="1">
        <v>11</v>
      </c>
      <c r="U1025" t="s">
        <v>61</v>
      </c>
    </row>
    <row r="1026" spans="1:21" x14ac:dyDescent="0.35">
      <c r="A1026" t="s">
        <v>34</v>
      </c>
      <c r="B1026">
        <v>17</v>
      </c>
      <c r="C1026" t="s">
        <v>52</v>
      </c>
      <c r="D1026" t="s">
        <v>36</v>
      </c>
      <c r="E1026" t="s">
        <v>44</v>
      </c>
      <c r="F1026" t="s">
        <v>45</v>
      </c>
      <c r="G1026" t="s">
        <v>45</v>
      </c>
      <c r="H1026">
        <v>1</v>
      </c>
      <c r="I1026">
        <v>0</v>
      </c>
      <c r="J1026" t="s">
        <v>43</v>
      </c>
      <c r="K1026" t="s">
        <v>43</v>
      </c>
      <c r="L1026" t="s">
        <v>43</v>
      </c>
      <c r="M1026" t="s">
        <v>42</v>
      </c>
      <c r="N1026" t="s">
        <v>43</v>
      </c>
      <c r="O1026">
        <v>3</v>
      </c>
      <c r="P1026">
        <v>5</v>
      </c>
      <c r="Q1026">
        <v>5</v>
      </c>
      <c r="R1026" t="s">
        <v>61</v>
      </c>
      <c r="S1026">
        <v>0</v>
      </c>
      <c r="T1026" s="1">
        <v>8</v>
      </c>
      <c r="U1026" t="s">
        <v>62</v>
      </c>
    </row>
    <row r="1027" spans="1:21" x14ac:dyDescent="0.35">
      <c r="A1027" t="s">
        <v>34</v>
      </c>
      <c r="B1027">
        <v>18</v>
      </c>
      <c r="C1027" t="s">
        <v>52</v>
      </c>
      <c r="D1027" t="s">
        <v>47</v>
      </c>
      <c r="E1027" t="s">
        <v>44</v>
      </c>
      <c r="F1027" t="s">
        <v>45</v>
      </c>
      <c r="G1027" t="s">
        <v>45</v>
      </c>
      <c r="H1027">
        <v>3</v>
      </c>
      <c r="I1027">
        <v>0</v>
      </c>
      <c r="J1027" t="s">
        <v>43</v>
      </c>
      <c r="K1027" t="s">
        <v>43</v>
      </c>
      <c r="L1027" t="s">
        <v>43</v>
      </c>
      <c r="M1027" t="s">
        <v>43</v>
      </c>
      <c r="N1027" t="s">
        <v>43</v>
      </c>
      <c r="O1027">
        <v>5</v>
      </c>
      <c r="P1027">
        <v>4</v>
      </c>
      <c r="Q1027">
        <v>4</v>
      </c>
      <c r="R1027" t="s">
        <v>61</v>
      </c>
      <c r="S1027">
        <v>0</v>
      </c>
      <c r="T1027" s="1">
        <v>16.333333333333332</v>
      </c>
      <c r="U1027" t="s">
        <v>61</v>
      </c>
    </row>
    <row r="1028" spans="1:21" x14ac:dyDescent="0.35">
      <c r="A1028" t="s">
        <v>34</v>
      </c>
      <c r="B1028">
        <v>18</v>
      </c>
      <c r="C1028" t="s">
        <v>52</v>
      </c>
      <c r="D1028" t="s">
        <v>36</v>
      </c>
      <c r="E1028" t="s">
        <v>44</v>
      </c>
      <c r="F1028" t="s">
        <v>45</v>
      </c>
      <c r="G1028" t="s">
        <v>45</v>
      </c>
      <c r="H1028">
        <v>3</v>
      </c>
      <c r="I1028">
        <v>0</v>
      </c>
      <c r="J1028" t="s">
        <v>43</v>
      </c>
      <c r="K1028" t="s">
        <v>43</v>
      </c>
      <c r="L1028" t="s">
        <v>43</v>
      </c>
      <c r="M1028" t="s">
        <v>43</v>
      </c>
      <c r="N1028" t="s">
        <v>43</v>
      </c>
      <c r="O1028">
        <v>4</v>
      </c>
      <c r="P1028">
        <v>3</v>
      </c>
      <c r="Q1028">
        <v>2</v>
      </c>
      <c r="R1028" t="s">
        <v>61</v>
      </c>
      <c r="S1028">
        <v>0</v>
      </c>
      <c r="T1028" s="1">
        <v>11</v>
      </c>
      <c r="U1028" t="s">
        <v>62</v>
      </c>
    </row>
    <row r="1029" spans="1:21" x14ac:dyDescent="0.35">
      <c r="A1029" t="s">
        <v>34</v>
      </c>
      <c r="B1029">
        <v>19</v>
      </c>
      <c r="C1029" t="s">
        <v>52</v>
      </c>
      <c r="D1029" t="s">
        <v>36</v>
      </c>
      <c r="E1029" t="s">
        <v>44</v>
      </c>
      <c r="F1029" t="s">
        <v>38</v>
      </c>
      <c r="G1029" t="s">
        <v>45</v>
      </c>
      <c r="H1029">
        <v>2</v>
      </c>
      <c r="I1029">
        <v>1</v>
      </c>
      <c r="J1029" t="s">
        <v>43</v>
      </c>
      <c r="K1029" t="s">
        <v>42</v>
      </c>
      <c r="L1029" t="s">
        <v>43</v>
      </c>
      <c r="M1029" t="s">
        <v>43</v>
      </c>
      <c r="N1029" t="s">
        <v>42</v>
      </c>
      <c r="O1029">
        <v>4</v>
      </c>
      <c r="P1029">
        <v>3</v>
      </c>
      <c r="Q1029">
        <v>3</v>
      </c>
      <c r="R1029" t="s">
        <v>61</v>
      </c>
      <c r="S1029">
        <v>0</v>
      </c>
      <c r="T1029" s="1">
        <v>8</v>
      </c>
      <c r="U1029" t="s">
        <v>61</v>
      </c>
    </row>
    <row r="1030" spans="1:21" x14ac:dyDescent="0.35">
      <c r="A1030" t="s">
        <v>34</v>
      </c>
      <c r="B1030">
        <v>18</v>
      </c>
      <c r="C1030" t="s">
        <v>52</v>
      </c>
      <c r="D1030" t="s">
        <v>47</v>
      </c>
      <c r="E1030" t="s">
        <v>44</v>
      </c>
      <c r="F1030" t="s">
        <v>39</v>
      </c>
      <c r="G1030" t="s">
        <v>48</v>
      </c>
      <c r="H1030">
        <v>2</v>
      </c>
      <c r="I1030">
        <v>0</v>
      </c>
      <c r="J1030" t="s">
        <v>43</v>
      </c>
      <c r="K1030" t="s">
        <v>43</v>
      </c>
      <c r="L1030" t="s">
        <v>43</v>
      </c>
      <c r="M1030" t="s">
        <v>42</v>
      </c>
      <c r="N1030" t="s">
        <v>43</v>
      </c>
      <c r="O1030">
        <v>5</v>
      </c>
      <c r="P1030">
        <v>4</v>
      </c>
      <c r="Q1030">
        <v>3</v>
      </c>
      <c r="R1030" t="s">
        <v>61</v>
      </c>
      <c r="S1030">
        <v>0</v>
      </c>
      <c r="T1030" s="1">
        <v>13.666666666666666</v>
      </c>
      <c r="U1030" t="s">
        <v>63</v>
      </c>
    </row>
    <row r="1031" spans="1:21" x14ac:dyDescent="0.35">
      <c r="A1031" t="s">
        <v>34</v>
      </c>
      <c r="B1031">
        <v>18</v>
      </c>
      <c r="C1031" t="s">
        <v>35</v>
      </c>
      <c r="D1031" t="s">
        <v>36</v>
      </c>
      <c r="E1031" t="s">
        <v>44</v>
      </c>
      <c r="F1031" t="s">
        <v>45</v>
      </c>
      <c r="G1031" t="s">
        <v>45</v>
      </c>
      <c r="H1031">
        <v>2</v>
      </c>
      <c r="I1031">
        <v>0</v>
      </c>
      <c r="J1031" t="s">
        <v>43</v>
      </c>
      <c r="K1031" t="s">
        <v>43</v>
      </c>
      <c r="L1031" t="s">
        <v>43</v>
      </c>
      <c r="M1031" t="s">
        <v>43</v>
      </c>
      <c r="N1031" t="s">
        <v>42</v>
      </c>
      <c r="O1031">
        <v>4</v>
      </c>
      <c r="P1031">
        <v>1</v>
      </c>
      <c r="Q1031">
        <v>3</v>
      </c>
      <c r="R1031" t="s">
        <v>61</v>
      </c>
      <c r="S1031">
        <v>0</v>
      </c>
      <c r="T1031" s="1">
        <v>16</v>
      </c>
      <c r="U1031" t="s">
        <v>62</v>
      </c>
    </row>
    <row r="1032" spans="1:21" x14ac:dyDescent="0.35">
      <c r="A1032" t="s">
        <v>34</v>
      </c>
      <c r="B1032">
        <v>17</v>
      </c>
      <c r="C1032" t="s">
        <v>52</v>
      </c>
      <c r="D1032" t="s">
        <v>36</v>
      </c>
      <c r="E1032" t="s">
        <v>44</v>
      </c>
      <c r="F1032" t="s">
        <v>38</v>
      </c>
      <c r="G1032" t="s">
        <v>45</v>
      </c>
      <c r="H1032">
        <v>2</v>
      </c>
      <c r="I1032">
        <v>0</v>
      </c>
      <c r="J1032" t="s">
        <v>43</v>
      </c>
      <c r="K1032" t="s">
        <v>42</v>
      </c>
      <c r="L1032" t="s">
        <v>43</v>
      </c>
      <c r="M1032" t="s">
        <v>42</v>
      </c>
      <c r="N1032" t="s">
        <v>43</v>
      </c>
      <c r="O1032">
        <v>4</v>
      </c>
      <c r="P1032">
        <v>5</v>
      </c>
      <c r="Q1032">
        <v>4</v>
      </c>
      <c r="R1032" t="s">
        <v>63</v>
      </c>
      <c r="S1032">
        <v>0</v>
      </c>
      <c r="T1032" s="1">
        <v>8.6666666666666661</v>
      </c>
      <c r="U1032" t="s">
        <v>63</v>
      </c>
    </row>
    <row r="1033" spans="1:21" x14ac:dyDescent="0.35">
      <c r="A1033" t="s">
        <v>50</v>
      </c>
      <c r="B1033">
        <v>18</v>
      </c>
      <c r="C1033" t="s">
        <v>35</v>
      </c>
      <c r="D1033" t="s">
        <v>36</v>
      </c>
      <c r="E1033" t="s">
        <v>44</v>
      </c>
      <c r="F1033" t="s">
        <v>39</v>
      </c>
      <c r="G1033" t="s">
        <v>39</v>
      </c>
      <c r="H1033">
        <v>2</v>
      </c>
      <c r="I1033">
        <v>0</v>
      </c>
      <c r="J1033" t="s">
        <v>43</v>
      </c>
      <c r="K1033" t="s">
        <v>43</v>
      </c>
      <c r="L1033" t="s">
        <v>43</v>
      </c>
      <c r="M1033" t="s">
        <v>42</v>
      </c>
      <c r="N1033" t="s">
        <v>43</v>
      </c>
      <c r="O1033">
        <v>3</v>
      </c>
      <c r="P1033">
        <v>2</v>
      </c>
      <c r="Q1033">
        <v>4</v>
      </c>
      <c r="R1033" t="s">
        <v>61</v>
      </c>
      <c r="S1033">
        <v>0</v>
      </c>
      <c r="T1033" s="1">
        <v>18</v>
      </c>
      <c r="U1033" t="s">
        <v>63</v>
      </c>
    </row>
    <row r="1034" spans="1:21" x14ac:dyDescent="0.35">
      <c r="A1034" t="s">
        <v>50</v>
      </c>
      <c r="B1034">
        <v>18</v>
      </c>
      <c r="C1034" t="s">
        <v>52</v>
      </c>
      <c r="D1034" t="s">
        <v>36</v>
      </c>
      <c r="E1034" t="s">
        <v>44</v>
      </c>
      <c r="F1034" t="s">
        <v>45</v>
      </c>
      <c r="G1034" t="s">
        <v>45</v>
      </c>
      <c r="H1034">
        <v>1</v>
      </c>
      <c r="I1034">
        <v>0</v>
      </c>
      <c r="J1034" t="s">
        <v>43</v>
      </c>
      <c r="K1034" t="s">
        <v>43</v>
      </c>
      <c r="L1034" t="s">
        <v>43</v>
      </c>
      <c r="M1034" t="s">
        <v>42</v>
      </c>
      <c r="N1034" t="s">
        <v>42</v>
      </c>
      <c r="O1034">
        <v>4</v>
      </c>
      <c r="P1034">
        <v>4</v>
      </c>
      <c r="Q1034">
        <v>3</v>
      </c>
      <c r="R1034" t="s">
        <v>61</v>
      </c>
      <c r="S1034">
        <v>1</v>
      </c>
      <c r="T1034" s="1">
        <v>4.666666666666667</v>
      </c>
      <c r="U1034" t="s">
        <v>62</v>
      </c>
    </row>
    <row r="1035" spans="1:21" x14ac:dyDescent="0.35">
      <c r="A1035" t="s">
        <v>50</v>
      </c>
      <c r="B1035">
        <v>17</v>
      </c>
      <c r="C1035" t="s">
        <v>35</v>
      </c>
      <c r="D1035" t="s">
        <v>36</v>
      </c>
      <c r="E1035" t="s">
        <v>44</v>
      </c>
      <c r="F1035" t="s">
        <v>45</v>
      </c>
      <c r="G1035" t="s">
        <v>48</v>
      </c>
      <c r="H1035">
        <v>2</v>
      </c>
      <c r="I1035">
        <v>0</v>
      </c>
      <c r="J1035" t="s">
        <v>43</v>
      </c>
      <c r="K1035" t="s">
        <v>43</v>
      </c>
      <c r="L1035" t="s">
        <v>43</v>
      </c>
      <c r="M1035" t="s">
        <v>42</v>
      </c>
      <c r="N1035" t="s">
        <v>43</v>
      </c>
      <c r="O1035">
        <v>4</v>
      </c>
      <c r="P1035">
        <v>4</v>
      </c>
      <c r="Q1035">
        <v>3</v>
      </c>
      <c r="R1035" t="s">
        <v>61</v>
      </c>
      <c r="S1035">
        <v>0</v>
      </c>
      <c r="T1035" s="1">
        <v>15</v>
      </c>
      <c r="U1035" t="s">
        <v>61</v>
      </c>
    </row>
    <row r="1036" spans="1:21" x14ac:dyDescent="0.35">
      <c r="A1036" t="s">
        <v>50</v>
      </c>
      <c r="B1036">
        <v>19</v>
      </c>
      <c r="C1036" t="s">
        <v>52</v>
      </c>
      <c r="D1036" t="s">
        <v>36</v>
      </c>
      <c r="E1036" t="s">
        <v>44</v>
      </c>
      <c r="F1036" t="s">
        <v>45</v>
      </c>
      <c r="G1036" t="s">
        <v>48</v>
      </c>
      <c r="H1036">
        <v>1</v>
      </c>
      <c r="I1036">
        <v>1</v>
      </c>
      <c r="J1036" t="s">
        <v>43</v>
      </c>
      <c r="K1036" t="s">
        <v>43</v>
      </c>
      <c r="L1036" t="s">
        <v>43</v>
      </c>
      <c r="M1036" t="s">
        <v>43</v>
      </c>
      <c r="N1036" t="s">
        <v>43</v>
      </c>
      <c r="O1036">
        <v>4</v>
      </c>
      <c r="P1036">
        <v>3</v>
      </c>
      <c r="Q1036">
        <v>2</v>
      </c>
      <c r="R1036" t="s">
        <v>61</v>
      </c>
      <c r="S1036">
        <v>1</v>
      </c>
      <c r="T1036" s="1">
        <v>4.333333333333333</v>
      </c>
      <c r="U1036" t="s">
        <v>62</v>
      </c>
    </row>
    <row r="1037" spans="1:21" x14ac:dyDescent="0.35">
      <c r="A1037" t="s">
        <v>50</v>
      </c>
      <c r="B1037">
        <v>18</v>
      </c>
      <c r="C1037" t="s">
        <v>52</v>
      </c>
      <c r="D1037" t="s">
        <v>36</v>
      </c>
      <c r="E1037" t="s">
        <v>44</v>
      </c>
      <c r="F1037" t="s">
        <v>45</v>
      </c>
      <c r="G1037" t="s">
        <v>45</v>
      </c>
      <c r="H1037">
        <v>1</v>
      </c>
      <c r="I1037">
        <v>1</v>
      </c>
      <c r="J1037" t="s">
        <v>43</v>
      </c>
      <c r="K1037" t="s">
        <v>43</v>
      </c>
      <c r="L1037" t="s">
        <v>42</v>
      </c>
      <c r="M1037" t="s">
        <v>43</v>
      </c>
      <c r="N1037" t="s">
        <v>43</v>
      </c>
      <c r="O1037">
        <v>5</v>
      </c>
      <c r="P1037">
        <v>4</v>
      </c>
      <c r="Q1037">
        <v>3</v>
      </c>
      <c r="R1037" t="s">
        <v>61</v>
      </c>
      <c r="S1037">
        <v>1</v>
      </c>
      <c r="T1037" s="1">
        <v>4.666666666666667</v>
      </c>
      <c r="U1037" t="s">
        <v>63</v>
      </c>
    </row>
    <row r="1038" spans="1:21" x14ac:dyDescent="0.35">
      <c r="A1038" t="s">
        <v>34</v>
      </c>
      <c r="B1038">
        <v>18</v>
      </c>
      <c r="C1038" t="s">
        <v>52</v>
      </c>
      <c r="D1038" t="s">
        <v>36</v>
      </c>
      <c r="E1038" t="s">
        <v>44</v>
      </c>
      <c r="F1038" t="s">
        <v>38</v>
      </c>
      <c r="G1038" t="s">
        <v>45</v>
      </c>
      <c r="H1038">
        <v>3</v>
      </c>
      <c r="I1038">
        <v>0</v>
      </c>
      <c r="J1038" t="s">
        <v>43</v>
      </c>
      <c r="K1038" t="s">
        <v>43</v>
      </c>
      <c r="L1038" t="s">
        <v>43</v>
      </c>
      <c r="M1038" t="s">
        <v>43</v>
      </c>
      <c r="N1038" t="s">
        <v>43</v>
      </c>
      <c r="O1038">
        <v>5</v>
      </c>
      <c r="P1038">
        <v>3</v>
      </c>
      <c r="Q1038">
        <v>3</v>
      </c>
      <c r="R1038" t="s">
        <v>61</v>
      </c>
      <c r="S1038">
        <v>1</v>
      </c>
      <c r="T1038" s="1">
        <v>15.333333333333334</v>
      </c>
      <c r="U1038" t="s">
        <v>62</v>
      </c>
    </row>
    <row r="1039" spans="1:21" x14ac:dyDescent="0.35">
      <c r="A1039" t="s">
        <v>34</v>
      </c>
      <c r="B1039">
        <v>17</v>
      </c>
      <c r="C1039" t="s">
        <v>35</v>
      </c>
      <c r="D1039" t="s">
        <v>36</v>
      </c>
      <c r="E1039" t="s">
        <v>44</v>
      </c>
      <c r="F1039" t="s">
        <v>39</v>
      </c>
      <c r="G1039" t="s">
        <v>45</v>
      </c>
      <c r="H1039">
        <v>2</v>
      </c>
      <c r="I1039">
        <v>0</v>
      </c>
      <c r="J1039" t="s">
        <v>43</v>
      </c>
      <c r="K1039" t="s">
        <v>43</v>
      </c>
      <c r="L1039" t="s">
        <v>43</v>
      </c>
      <c r="M1039" t="s">
        <v>43</v>
      </c>
      <c r="N1039" t="s">
        <v>43</v>
      </c>
      <c r="O1039">
        <v>5</v>
      </c>
      <c r="P1039">
        <v>5</v>
      </c>
      <c r="Q1039">
        <v>4</v>
      </c>
      <c r="R1039" t="s">
        <v>61</v>
      </c>
      <c r="S1039">
        <v>0</v>
      </c>
      <c r="T1039" s="1">
        <v>8.6666666666666661</v>
      </c>
      <c r="U1039" t="s">
        <v>61</v>
      </c>
    </row>
    <row r="1040" spans="1:21" x14ac:dyDescent="0.35">
      <c r="A1040" t="s">
        <v>34</v>
      </c>
      <c r="B1040">
        <v>18</v>
      </c>
      <c r="C1040" t="s">
        <v>52</v>
      </c>
      <c r="D1040" t="s">
        <v>36</v>
      </c>
      <c r="E1040" t="s">
        <v>44</v>
      </c>
      <c r="F1040" t="s">
        <v>39</v>
      </c>
      <c r="G1040" t="s">
        <v>38</v>
      </c>
      <c r="H1040">
        <v>1</v>
      </c>
      <c r="I1040">
        <v>0</v>
      </c>
      <c r="J1040" t="s">
        <v>43</v>
      </c>
      <c r="K1040" t="s">
        <v>42</v>
      </c>
      <c r="L1040" t="s">
        <v>43</v>
      </c>
      <c r="M1040" t="s">
        <v>42</v>
      </c>
      <c r="N1040" t="s">
        <v>42</v>
      </c>
      <c r="O1040">
        <v>4</v>
      </c>
      <c r="P1040">
        <v>4</v>
      </c>
      <c r="Q1040">
        <v>3</v>
      </c>
      <c r="R1040" t="s">
        <v>61</v>
      </c>
      <c r="S1040">
        <v>0</v>
      </c>
      <c r="T1040" s="1">
        <v>8.6666666666666661</v>
      </c>
      <c r="U1040" t="s">
        <v>62</v>
      </c>
    </row>
    <row r="1041" spans="1:21" x14ac:dyDescent="0.35">
      <c r="A1041" t="s">
        <v>34</v>
      </c>
      <c r="B1041">
        <v>19</v>
      </c>
      <c r="C1041" t="s">
        <v>52</v>
      </c>
      <c r="D1041" t="s">
        <v>36</v>
      </c>
      <c r="E1041" t="s">
        <v>44</v>
      </c>
      <c r="F1041" t="s">
        <v>48</v>
      </c>
      <c r="G1041" t="s">
        <v>45</v>
      </c>
      <c r="H1041">
        <v>3</v>
      </c>
      <c r="I1041">
        <v>1</v>
      </c>
      <c r="J1041" t="s">
        <v>43</v>
      </c>
      <c r="K1041" t="s">
        <v>43</v>
      </c>
      <c r="L1041" t="s">
        <v>43</v>
      </c>
      <c r="M1041" t="s">
        <v>42</v>
      </c>
      <c r="N1041" t="s">
        <v>43</v>
      </c>
      <c r="O1041">
        <v>5</v>
      </c>
      <c r="P1041">
        <v>4</v>
      </c>
      <c r="Q1041">
        <v>2</v>
      </c>
      <c r="R1041" t="s">
        <v>61</v>
      </c>
      <c r="S1041">
        <v>1</v>
      </c>
      <c r="T1041" s="1">
        <v>10.333333333333334</v>
      </c>
      <c r="U1041" t="s">
        <v>62</v>
      </c>
    </row>
    <row r="1042" spans="1:21" x14ac:dyDescent="0.35">
      <c r="A1042" t="s">
        <v>34</v>
      </c>
      <c r="B1042">
        <v>18</v>
      </c>
      <c r="C1042" t="s">
        <v>35</v>
      </c>
      <c r="D1042" t="s">
        <v>47</v>
      </c>
      <c r="E1042" t="s">
        <v>44</v>
      </c>
      <c r="F1042" t="s">
        <v>39</v>
      </c>
      <c r="G1042" t="s">
        <v>48</v>
      </c>
      <c r="H1042">
        <v>2</v>
      </c>
      <c r="I1042">
        <v>0</v>
      </c>
      <c r="J1042" t="s">
        <v>43</v>
      </c>
      <c r="K1042" t="s">
        <v>42</v>
      </c>
      <c r="L1042" t="s">
        <v>43</v>
      </c>
      <c r="M1042" t="s">
        <v>43</v>
      </c>
      <c r="N1042" t="s">
        <v>43</v>
      </c>
      <c r="O1042">
        <v>4</v>
      </c>
      <c r="P1042">
        <v>3</v>
      </c>
      <c r="Q1042">
        <v>4</v>
      </c>
      <c r="R1042" t="s">
        <v>61</v>
      </c>
      <c r="S1042">
        <v>0</v>
      </c>
      <c r="T1042" s="1">
        <v>15.333333333333334</v>
      </c>
      <c r="U1042" t="s">
        <v>61</v>
      </c>
    </row>
    <row r="1043" spans="1:21" x14ac:dyDescent="0.35">
      <c r="A1043" t="s">
        <v>34</v>
      </c>
      <c r="B1043">
        <v>18</v>
      </c>
      <c r="C1043" t="s">
        <v>35</v>
      </c>
      <c r="D1043" t="s">
        <v>36</v>
      </c>
      <c r="E1043" t="s">
        <v>44</v>
      </c>
      <c r="F1043" t="s">
        <v>45</v>
      </c>
      <c r="G1043" t="s">
        <v>45</v>
      </c>
      <c r="H1043">
        <v>2</v>
      </c>
      <c r="I1043">
        <v>0</v>
      </c>
      <c r="J1043" t="s">
        <v>43</v>
      </c>
      <c r="K1043" t="s">
        <v>43</v>
      </c>
      <c r="L1043" t="s">
        <v>43</v>
      </c>
      <c r="M1043" t="s">
        <v>42</v>
      </c>
      <c r="N1043" t="s">
        <v>43</v>
      </c>
      <c r="O1043">
        <v>1</v>
      </c>
      <c r="P1043">
        <v>1</v>
      </c>
      <c r="Q1043">
        <v>1</v>
      </c>
      <c r="R1043" t="s">
        <v>62</v>
      </c>
      <c r="S1043">
        <v>1</v>
      </c>
      <c r="T1043" s="1">
        <v>10.666666666666666</v>
      </c>
      <c r="U1043" t="s">
        <v>61</v>
      </c>
    </row>
    <row r="1044" spans="1:21" x14ac:dyDescent="0.35">
      <c r="A1044" t="s">
        <v>50</v>
      </c>
      <c r="B1044">
        <v>17</v>
      </c>
      <c r="C1044" t="s">
        <v>35</v>
      </c>
      <c r="D1044" t="s">
        <v>47</v>
      </c>
      <c r="E1044" t="s">
        <v>44</v>
      </c>
      <c r="F1044" t="s">
        <v>48</v>
      </c>
      <c r="G1044" t="s">
        <v>48</v>
      </c>
      <c r="H1044">
        <v>1</v>
      </c>
      <c r="I1044">
        <v>0</v>
      </c>
      <c r="J1044" t="s">
        <v>43</v>
      </c>
      <c r="K1044" t="s">
        <v>43</v>
      </c>
      <c r="L1044" t="s">
        <v>43</v>
      </c>
      <c r="M1044" t="s">
        <v>43</v>
      </c>
      <c r="N1044" t="s">
        <v>43</v>
      </c>
      <c r="O1044">
        <v>2</v>
      </c>
      <c r="P1044">
        <v>4</v>
      </c>
      <c r="Q1044">
        <v>5</v>
      </c>
      <c r="R1044" t="s">
        <v>62</v>
      </c>
      <c r="S1044">
        <v>0</v>
      </c>
      <c r="T1044" s="1">
        <v>10</v>
      </c>
      <c r="U1044" t="s">
        <v>63</v>
      </c>
    </row>
    <row r="1045" spans="1:21" x14ac:dyDescent="0.35">
      <c r="A1045" t="s">
        <v>50</v>
      </c>
      <c r="B1045">
        <v>18</v>
      </c>
      <c r="C1045" t="s">
        <v>52</v>
      </c>
      <c r="D1045" t="s">
        <v>47</v>
      </c>
      <c r="E1045" t="s">
        <v>44</v>
      </c>
      <c r="F1045" t="s">
        <v>48</v>
      </c>
      <c r="G1045" t="s">
        <v>45</v>
      </c>
      <c r="H1045">
        <v>1</v>
      </c>
      <c r="I1045">
        <v>0</v>
      </c>
      <c r="J1045" t="s">
        <v>43</v>
      </c>
      <c r="K1045" t="s">
        <v>43</v>
      </c>
      <c r="L1045" t="s">
        <v>43</v>
      </c>
      <c r="M1045" t="s">
        <v>43</v>
      </c>
      <c r="N1045" t="s">
        <v>43</v>
      </c>
      <c r="O1045">
        <v>4</v>
      </c>
      <c r="P1045">
        <v>4</v>
      </c>
      <c r="Q1045">
        <v>1</v>
      </c>
      <c r="R1045" t="s">
        <v>61</v>
      </c>
      <c r="S1045">
        <v>0</v>
      </c>
      <c r="T1045" s="1">
        <v>10.666666666666666</v>
      </c>
      <c r="U104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student-merged</vt:lpstr>
      <vt:lpstr>Relevant Data</vt:lpstr>
      <vt:lpstr>Work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Boaz Abisror</dc:creator>
  <cp:lastModifiedBy>Boaz Abisror</cp:lastModifiedBy>
  <dcterms:created xsi:type="dcterms:W3CDTF">2022-01-03T13:43:32Z</dcterms:created>
  <dcterms:modified xsi:type="dcterms:W3CDTF">2022-01-03T14:35:09Z</dcterms:modified>
</cp:coreProperties>
</file>